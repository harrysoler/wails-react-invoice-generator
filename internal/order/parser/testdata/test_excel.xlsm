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xl/ctrlProps/ctrlProps2.xml" ContentType="application/vnd.ms-excel.controlproperties+xml"/>
  <Override PartName="/xl/ctrlProps/ctrlProps5.xml" ContentType="application/vnd.ms-excel.controlproperties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_rels/drawing3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vmlDrawing2.vml" ContentType="application/vnd.openxmlformats-officedocument.vmlDrawing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_rels/workbook.xml.rels" ContentType="application/vnd.openxmlformats-package.relationships+xml"/>
  <Override PartName="/xl/media/image1.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1" activeTab="1"/>
  </bookViews>
  <sheets>
    <sheet name="TE" sheetId="1" state="hidden" r:id="rId4"/>
    <sheet name="BD_ORDENES" sheetId="2" state="visible" r:id="rId5"/>
    <sheet name="LISTA DE DESPACHO" sheetId="3" state="visible" r:id="rId6"/>
    <sheet name="BD_GUIAS" sheetId="4" state="visible" r:id="rId7"/>
    <sheet name="DPCache_Sheet1" sheetId="5" state="hidden" r:id="rId8"/>
  </sheets>
  <definedNames>
    <definedName function="false" hidden="false" localSheetId="2" name="_xlnm.Print_Area" vbProcedure="false">'LISTA DE DESPACHO'!$C$3:$V$803</definedName>
    <definedName function="false" hidden="false" localSheetId="2" name="_xlnm.Print_Titles" vbProcedure="false">'LISTA DE DESPACHO'!$3:$7</definedName>
    <definedName function="false" hidden="true" localSheetId="2" name="_xlnm._FilterDatabase" vbProcedure="false">'LISTA DE DESPACHO'!$D$7:$V$660</definedName>
  </definedNames>
  <calcPr iterateCount="100" refMode="A1" iterate="false" iterateDelta="0.0001"/>
  <pivotCaches>
    <pivotCache cacheId="1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<sst xmlns="http://schemas.openxmlformats.org/spreadsheetml/2006/main" count="13094" uniqueCount="2567">
  <si>
    <t xml:space="preserve">REPLICAR (F5 + CELDAS EN BLANCO)</t>
  </si>
  <si>
    <t xml:space="preserve">(empty)</t>
  </si>
  <si>
    <t xml:space="preserve">CONTRA ENTREGA SALDO</t>
  </si>
  <si>
    <t xml:space="preserve">ENVIO TUNJA - SIN SALDO</t>
  </si>
  <si>
    <t xml:space="preserve">GUIA CON RECAUDO</t>
  </si>
  <si>
    <t xml:space="preserve">PROV. ALM. DOMICILIO</t>
  </si>
  <si>
    <t xml:space="preserve">PROV. CLIENTE</t>
  </si>
  <si>
    <t xml:space="preserve">RECOGE EN FABRICA</t>
  </si>
  <si>
    <t xml:space="preserve">RECOGE EN FABRICA - SALDO CONTRAENTREGA</t>
  </si>
  <si>
    <t xml:space="preserve">Tipo de envio</t>
  </si>
  <si>
    <t xml:space="preserve">TRANSPORTADORA</t>
  </si>
  <si>
    <t xml:space="preserve">TRANSPORTADORA HVM BGT</t>
  </si>
  <si>
    <t xml:space="preserve">Total Result</t>
  </si>
  <si>
    <t xml:space="preserve">NO FILTRO</t>
  </si>
  <si>
    <t xml:space="preserve">REVISAR VACIOS REPLICAR (F5 + CELDAS EN BLANCO)</t>
  </si>
  <si>
    <t xml:space="preserve">REVISAR VACIOS 
REPLICAR (F5 + CELDAS EN BLANCO)</t>
  </si>
  <si>
    <t xml:space="preserve">NO FILTRO2</t>
  </si>
  <si>
    <t xml:space="preserve">ID</t>
  </si>
  <si>
    <t xml:space="preserve">Referencia del cliente</t>
  </si>
  <si>
    <t xml:space="preserve">Fecha de venta</t>
  </si>
  <si>
    <t xml:space="preserve">Fecha Produccion</t>
  </si>
  <si>
    <t xml:space="preserve">Fecha Envio</t>
  </si>
  <si>
    <t xml:space="preserve">Facturas/Fecha de despacho</t>
  </si>
  <si>
    <t xml:space="preserve">Fecha max trans</t>
  </si>
  <si>
    <t xml:space="preserve">Campaña</t>
  </si>
  <si>
    <t xml:space="preserve">Líneas del pedido/Producto/Categoría de producto</t>
  </si>
  <si>
    <t xml:space="preserve">Líneas del pedido/Producto/ID</t>
  </si>
  <si>
    <t xml:space="preserve">Líneas del pedido/Producto</t>
  </si>
  <si>
    <t xml:space="preserve">Líneas del pedido/Cantidad</t>
  </si>
  <si>
    <t xml:space="preserve">Líneas del pedido/Observación producto</t>
  </si>
  <si>
    <t xml:space="preserve">Líneas del pedido/Producto/Linea</t>
  </si>
  <si>
    <t xml:space="preserve">Líneas del pedido/Producto/Producto</t>
  </si>
  <si>
    <t xml:space="preserve">Líneas del pedido/Producto/Ref. Producto</t>
  </si>
  <si>
    <t xml:space="preserve">Líneas del pedido/Producto/Tipo Tela</t>
  </si>
  <si>
    <t xml:space="preserve">Líneas del pedido/Producto/Color Producto</t>
  </si>
  <si>
    <t xml:space="preserve">Líneas del pedido/Producto/Color Patas</t>
  </si>
  <si>
    <t xml:space="preserve">Cliente</t>
  </si>
  <si>
    <t xml:space="preserve">Tipo de entrega</t>
  </si>
  <si>
    <t xml:space="preserve">Facturas/Observación entrega</t>
  </si>
  <si>
    <t xml:space="preserve">Dirección de entrega/Ciudad</t>
  </si>
  <si>
    <t xml:space="preserve">Dirección de entrega/Provincia</t>
  </si>
  <si>
    <t xml:space="preserve">F12</t>
  </si>
  <si>
    <t xml:space="preserve">Cliente/NIF</t>
  </si>
  <si>
    <t xml:space="preserve">Dirección de entrega/Calle</t>
  </si>
  <si>
    <t xml:space="preserve">Cliente/Móvil</t>
  </si>
  <si>
    <t xml:space="preserve">Cliente/Teléfono</t>
  </si>
  <si>
    <t xml:space="preserve">SKU</t>
  </si>
  <si>
    <t xml:space="preserve">Total Unid. Logisticas</t>
  </si>
  <si>
    <t xml:space="preserve">Facturas</t>
  </si>
  <si>
    <t xml:space="preserve">Facturas/Importe adeudado</t>
  </si>
  <si>
    <t xml:space="preserve">Estado</t>
  </si>
  <si>
    <t xml:space="preserve">Líneas del pedido/Precio unitario</t>
  </si>
  <si>
    <t xml:space="preserve">Líneas del pedido/Descuento (%)</t>
  </si>
  <si>
    <t xml:space="preserve">Líneas del pedido/Total</t>
  </si>
  <si>
    <t xml:space="preserve">Líneas del pedido/Total de impuestos</t>
  </si>
  <si>
    <t xml:space="preserve">Cliente/Correo electrónico</t>
  </si>
  <si>
    <t xml:space="preserve">Asesor comercial</t>
  </si>
  <si>
    <t xml:space="preserve">Líneas del pedido</t>
  </si>
  <si>
    <t xml:space="preserve">Total</t>
  </si>
  <si>
    <t xml:space="preserve">Dirección de factura/Calle</t>
  </si>
  <si>
    <t xml:space="preserve">Dirección de factura/Ciudad</t>
  </si>
  <si>
    <t xml:space="preserve">Dirección de factura/Teléfono</t>
  </si>
  <si>
    <t xml:space="preserve">Dirección de factura/Móvil</t>
  </si>
  <si>
    <t xml:space="preserve">Dirección de factura</t>
  </si>
  <si>
    <t xml:space="preserve">Dirección de factura/NIF</t>
  </si>
  <si>
    <t xml:space="preserve">Líneas del pedido/Ruta</t>
  </si>
  <si>
    <t xml:space="preserve">Líneas del pedido/Ruta/Ruta</t>
  </si>
  <si>
    <t xml:space="preserve">Compañía</t>
  </si>
  <si>
    <t xml:space="preserve">Novedad de envio</t>
  </si>
  <si>
    <t xml:space="preserve">Referencia del pedido</t>
  </si>
  <si>
    <t xml:space="preserve">Columna55</t>
  </si>
  <si>
    <t xml:space="preserve">__export__.sale_order_286918_2a3252ba</t>
  </si>
  <si>
    <t xml:space="preserve">EC001-TIENDA MEDELLIN AV 80-2</t>
  </si>
  <si>
    <t xml:space="preserve">GARANTIA</t>
  </si>
  <si>
    <t xml:space="preserve">PRODUCTO EN PROCESO / EMPAQUE</t>
  </si>
  <si>
    <t xml:space="preserve">__export__.product_product_334778_8d27fd72</t>
  </si>
  <si>
    <t xml:space="preserve">PAQUETE TORNILLOS MESA WISCONSIN</t>
  </si>
  <si>
    <t xml:space="preserve">LAURA SOFIA MARTINEZ PEREZ</t>
  </si>
  <si>
    <t xml:space="preserve">ENVIAR CON ENVIA COMO PAQUETERIA</t>
  </si>
  <si>
    <t xml:space="preserve">MEDELLIN</t>
  </si>
  <si>
    <t xml:space="preserve">ANTIOQUIA (CO)</t>
  </si>
  <si>
    <t xml:space="preserve">1013458919</t>
  </si>
  <si>
    <t xml:space="preserve">CALLE 34 Nª 86 A - 67 BLOQ 3 APTO 322 UND RESIDENCIAL GUADARAMA 2 , ALMERIAS  CERCA UNV ADVENTISTA</t>
  </si>
  <si>
    <t xml:space="preserve">3193292844- 3237568013</t>
  </si>
  <si>
    <t xml:space="preserve">1</t>
  </si>
  <si>
    <t xml:space="preserve">Pedido de venta</t>
  </si>
  <si>
    <t xml:space="preserve">leonorperezmorenocl@gmail.com</t>
  </si>
  <si>
    <t xml:space="preserve">SANDRA GIL</t>
  </si>
  <si>
    <t xml:space="preserve">S273713 - PAQUETE TORNILLOS MESA WISCONSIN (LAURA SOFIA MARTINEZ PEREZ)</t>
  </si>
  <si>
    <t xml:space="preserve">Obtener Bajo Pedido (MTO)</t>
  </si>
  <si>
    <t xml:space="preserve">Hogar Venecia Muebles SAS</t>
  </si>
  <si>
    <t xml:space="preserve">S273713</t>
  </si>
  <si>
    <t xml:space="preserve">1 ENVIA</t>
  </si>
  <si>
    <t xml:space="preserve">All</t>
  </si>
  <si>
    <t xml:space="preserve">__export__.product_product_323680_a9449391</t>
  </si>
  <si>
    <t xml:space="preserve">FLETE ENVIO GARANTIA</t>
  </si>
  <si>
    <t xml:space="preserve">S273713 - FLETE ENVIO GARANTIA (LAURA SOFIA MARTINEZ PEREZ)</t>
  </si>
  <si>
    <t xml:space="preserve">__export__.sale_order_286914_47f66fc6</t>
  </si>
  <si>
    <t xml:space="preserve">13779430-HOME-3</t>
  </si>
  <si>
    <t xml:space="preserve">__export__.product_product_334720_23d732b4</t>
  </si>
  <si>
    <t xml:space="preserve">PAQUETE TORNILLOS MESA RIO</t>
  </si>
  <si>
    <t xml:space="preserve">PAQUETE-TORNILLOS-MESA-RIO</t>
  </si>
  <si>
    <t xml:space="preserve">LORENA  GUTIERREZ</t>
  </si>
  <si>
    <t xml:space="preserve">BARRANQUILLA</t>
  </si>
  <si>
    <t xml:space="preserve">Atlántico (CO)</t>
  </si>
  <si>
    <t xml:space="preserve">1129565217</t>
  </si>
  <si>
    <t xml:space="preserve">Cra 55 n 82 181</t>
  </si>
  <si>
    <t xml:space="preserve">+57 300 5184987</t>
  </si>
  <si>
    <t xml:space="preserve">3005184987</t>
  </si>
  <si>
    <t xml:space="preserve">HGMT9GPQND@PRIVATERELAY.APPLEID.COM</t>
  </si>
  <si>
    <t xml:space="preserve">DAIRA LOPEZ</t>
  </si>
  <si>
    <t xml:space="preserve">S273709 - PAQUETE TORNILLOS MESA RIO (LORENA  GUTIERREZ)</t>
  </si>
  <si>
    <t xml:space="preserve">S273709</t>
  </si>
  <si>
    <t xml:space="preserve">S273709 - FLETE ENVIO GARANTIA (LORENA  GUTIERREZ)</t>
  </si>
  <si>
    <t xml:space="preserve">__export__.sale_order_286841_7a210b70</t>
  </si>
  <si>
    <t xml:space="preserve">691106-EBANI-2</t>
  </si>
  <si>
    <t xml:space="preserve">__export__.product_product_334595_df98e5bb</t>
  </si>
  <si>
    <t xml:space="preserve">PAQUETE TORNILLOS MESA SOHO</t>
  </si>
  <si>
    <t xml:space="preserve">VALIDAR LAS MEDIDAS</t>
  </si>
  <si>
    <t xml:space="preserve">PAQUETE-TORNILLOS-MESA-SOHO</t>
  </si>
  <si>
    <t xml:space="preserve">ERIKA MAYERLY ANDRADE GUERRERO</t>
  </si>
  <si>
    <t xml:space="preserve">IBAGUE</t>
  </si>
  <si>
    <t xml:space="preserve">Tolima (CO)</t>
  </si>
  <si>
    <t xml:space="preserve">1110447663</t>
  </si>
  <si>
    <t xml:space="preserve">Barrio Restrepo Carrera 6a 39 28 Casa Tres Pisos Color Verde Con Dos Arboles Afuera</t>
  </si>
  <si>
    <t xml:space="preserve">3187673537</t>
  </si>
  <si>
    <t xml:space="preserve">ROCAEBANI98</t>
  </si>
  <si>
    <t xml:space="preserve">eka.andrade86@hotmail.com</t>
  </si>
  <si>
    <t xml:space="preserve">ANDREA CARMONA</t>
  </si>
  <si>
    <t xml:space="preserve">S273636 - PAQUETE TORNILLOS MESA SOHO (ERIKA MAYERLY ANDRADE GUERRERO)</t>
  </si>
  <si>
    <t xml:space="preserve">Muebles y Decoración Roca</t>
  </si>
  <si>
    <t xml:space="preserve">S273636</t>
  </si>
  <si>
    <t xml:space="preserve">S273636 - FLETE ENVIO GARANTIA (ERIKA MAYERLY ANDRADE GUERRERO)</t>
  </si>
  <si>
    <t xml:space="preserve">__export__.sale_order_277130_20258315</t>
  </si>
  <si>
    <t xml:space="preserve">EL078-VF</t>
  </si>
  <si>
    <t xml:space="preserve">PRODUCTO TERMINADO / COMEDORES / MESA</t>
  </si>
  <si>
    <t xml:space="preserve">__export__.product_product_163713_9ef5b5f1</t>
  </si>
  <si>
    <t xml:space="preserve">MESA MERIDA JG4 MACULA</t>
  </si>
  <si>
    <t xml:space="preserve">COMEDOR</t>
  </si>
  <si>
    <t xml:space="preserve">MESA</t>
  </si>
  <si>
    <t xml:space="preserve">MERIDA-JG4</t>
  </si>
  <si>
    <t xml:space="preserve">MACULA</t>
  </si>
  <si>
    <t xml:space="preserve">MAYERLY QUIROGA</t>
  </si>
  <si>
    <t xml:space="preserve">TUNJA</t>
  </si>
  <si>
    <t xml:space="preserve">Boyacá (CO)</t>
  </si>
  <si>
    <t xml:space="preserve">23782072</t>
  </si>
  <si>
    <t xml:space="preserve">AVENIDA UNIVERSITARIA # 53 - 114 TORRE 3 APTO 707 EDI RESVAS DEL BOSQUE</t>
  </si>
  <si>
    <t xml:space="preserve">3114571985 - 3153358335</t>
  </si>
  <si>
    <t xml:space="preserve">mayitaquies@gmail.com</t>
  </si>
  <si>
    <t xml:space="preserve">S262704 - MESA MERIDA JG4 MACULA (MAYERLY QUIROGA)</t>
  </si>
  <si>
    <t xml:space="preserve">BODEGA LISTO</t>
  </si>
  <si>
    <t xml:space="preserve">S262704</t>
  </si>
  <si>
    <t xml:space="preserve">0 BODEGA</t>
  </si>
  <si>
    <t xml:space="preserve">PRODUCTO TERMINADO / COMEDORES / BUTACO</t>
  </si>
  <si>
    <t xml:space="preserve">__export__.product_product_326365_3c9770fd</t>
  </si>
  <si>
    <t xml:space="preserve">BUTACO ARKANSAS 2P SKY MOSTAZA (MATIZ CAOBA)</t>
  </si>
  <si>
    <t xml:space="preserve">BUTACO</t>
  </si>
  <si>
    <t xml:space="preserve">ARKANSAS-2P</t>
  </si>
  <si>
    <t xml:space="preserve">SKY</t>
  </si>
  <si>
    <t xml:space="preserve">MOSTAZA</t>
  </si>
  <si>
    <t xml:space="preserve">MATIZ-CAOBA</t>
  </si>
  <si>
    <t xml:space="preserve">S262704 - BUTACO ARKANSAS 2P SKY MOSTAZA (MATIZ CAOBA) (MAYERLY QUIROGA)</t>
  </si>
  <si>
    <t xml:space="preserve">__export__.product_product_308661_f841291a</t>
  </si>
  <si>
    <t xml:space="preserve">COMPENSACION</t>
  </si>
  <si>
    <t xml:space="preserve">S262704 - COMPENSACION (MAYERLY QUIROGA)</t>
  </si>
  <si>
    <t xml:space="preserve">S262704 - FLETE ENVIO GARANTIA (MAYERLY QUIROGA)</t>
  </si>
  <si>
    <t xml:space="preserve">__export__.product_product_308660_55cb3efa</t>
  </si>
  <si>
    <t xml:space="preserve">FLETE RECOLECCION GARANTIA</t>
  </si>
  <si>
    <t xml:space="preserve">FLETE-RECOLECCION-GARANTIA</t>
  </si>
  <si>
    <t xml:space="preserve">S262704 - FLETE RECOLECCION GARANTIA (MAYERLY QUIROGA)</t>
  </si>
  <si>
    <t xml:space="preserve">__export__.sale_order_286393_2b05791f</t>
  </si>
  <si>
    <t xml:space="preserve">AR2343-TIENDA GALERIAS</t>
  </si>
  <si>
    <t xml:space="preserve">PRODUCTO EN PROCESO / PINTURA METALICA</t>
  </si>
  <si>
    <t xml:space="preserve">__export__.product_product_191728_4d9737d9</t>
  </si>
  <si>
    <t xml:space="preserve">ARAÑA (METALICA NATURAL)</t>
  </si>
  <si>
    <t xml:space="preserve">ARAÑA</t>
  </si>
  <si>
    <t xml:space="preserve">METALICO-MATIZ-NATURAL</t>
  </si>
  <si>
    <t xml:space="preserve">SERGIO ANDRES DIAZ OSORIO</t>
  </si>
  <si>
    <t xml:space="preserve">BOGOTA</t>
  </si>
  <si>
    <t xml:space="preserve">Cundinamarca (CO)</t>
  </si>
  <si>
    <t xml:space="preserve">1019120295</t>
  </si>
  <si>
    <t xml:space="preserve">calle 73A#112B-11 barrio villas de Granada CASA</t>
  </si>
  <si>
    <t xml:space="preserve"> 3228547347 3138461912 </t>
  </si>
  <si>
    <t xml:space="preserve">sergio.9612@hotmail.com</t>
  </si>
  <si>
    <t xml:space="preserve">S273200 - ARAÑA (METALICA NATURAL) (SERGIO ANDRES DIAZ OSORIO)</t>
  </si>
  <si>
    <t xml:space="preserve">S273200</t>
  </si>
  <si>
    <t xml:space="preserve">8 VENECIA</t>
  </si>
  <si>
    <t xml:space="preserve">S273200 - FLETE ENVIO GARANTIA (SERGIO ANDRES DIAZ OSORIO)</t>
  </si>
  <si>
    <t xml:space="preserve">S273200 - FLETE RECOLECCION GARANTIA (SERGIO ANDRES DIAZ OSORIO)</t>
  </si>
  <si>
    <t xml:space="preserve">__export__.sale_order_286475_601678e1</t>
  </si>
  <si>
    <t xml:space="preserve">1512894699527-01</t>
  </si>
  <si>
    <t xml:space="preserve">PPGG</t>
  </si>
  <si>
    <t xml:space="preserve">PRODUCTO TERMINADO / INFANTIL / CAMA</t>
  </si>
  <si>
    <t xml:space="preserve">__export__.product_product_308914_a59305e6</t>
  </si>
  <si>
    <t xml:space="preserve">CAMA INFANTIL LAZIO BLANCO MATIZ-NATURAL</t>
  </si>
  <si>
    <t xml:space="preserve">DORMITORIO</t>
  </si>
  <si>
    <t xml:space="preserve">CAMA-MADERA</t>
  </si>
  <si>
    <t xml:space="preserve">INFANTIL-LAZIO</t>
  </si>
  <si>
    <t xml:space="preserve">BLANCO</t>
  </si>
  <si>
    <t xml:space="preserve">MATIZ-NATURAL</t>
  </si>
  <si>
    <t xml:space="preserve">LEIDY DANIELA VASQUEZ CASTANEDA</t>
  </si>
  <si>
    <t xml:space="preserve">Bogotá, D.c.</t>
  </si>
  <si>
    <t xml:space="preserve">Bogotá (CO)</t>
  </si>
  <si>
    <t xml:space="preserve">1022426468</t>
  </si>
  <si>
    <t xml:space="preserve">Carrera 60 # 3 - 25  Conjunto torcoroma 1 apto 508 Galan</t>
  </si>
  <si>
    <t xml:space="preserve">3178947090</t>
  </si>
  <si>
    <t xml:space="preserve">125459357</t>
  </si>
  <si>
    <t xml:space="preserve">0</t>
  </si>
  <si>
    <t xml:space="preserve">S273282 - Sin descripción (LEIDY DANIELA VASQUEZ CASTANEDA )</t>
  </si>
  <si>
    <t xml:space="preserve">S273282</t>
  </si>
  <si>
    <t xml:space="preserve">__export__.product_product_189488_706a3114</t>
  </si>
  <si>
    <t xml:space="preserve">FLETE</t>
  </si>
  <si>
    <t xml:space="preserve">__export__.sale_order_286474_ffa06070</t>
  </si>
  <si>
    <t xml:space="preserve">1512934699623-01</t>
  </si>
  <si>
    <t xml:space="preserve">PRODUCTO TERMINADO / SALAS / SOFA</t>
  </si>
  <si>
    <t xml:space="preserve">__export__.product_product_331370_6e78ddf9</t>
  </si>
  <si>
    <t xml:space="preserve">SOFA SUIZA DORSEY INDIGO (MATIZ CAOBA)</t>
  </si>
  <si>
    <t xml:space="preserve">SALA</t>
  </si>
  <si>
    <t xml:space="preserve">SOFA</t>
  </si>
  <si>
    <t xml:space="preserve">SUIZA</t>
  </si>
  <si>
    <t xml:space="preserve">DORSEY</t>
  </si>
  <si>
    <t xml:space="preserve">INDIGO</t>
  </si>
  <si>
    <t xml:space="preserve">BRAYAN LONDONO</t>
  </si>
  <si>
    <t xml:space="preserve">Cali</t>
  </si>
  <si>
    <t xml:space="preserve">Valle del Cauca (CO)</t>
  </si>
  <si>
    <t xml:space="preserve">1144058545</t>
  </si>
  <si>
    <t xml:space="preserve">Carrera 13 # 3 - 89  Casa San Cayetano</t>
  </si>
  <si>
    <t xml:space="preserve">3153164910</t>
  </si>
  <si>
    <t xml:space="preserve">125473294</t>
  </si>
  <si>
    <t xml:space="preserve">S273281 - Sin descripción (BRAYAN LONDONO)</t>
  </si>
  <si>
    <t xml:space="preserve">S273281</t>
  </si>
  <si>
    <t xml:space="preserve">__export__.sale_order_286380_88a6f8af</t>
  </si>
  <si>
    <t xml:space="preserve">FALABELLA SELLER</t>
  </si>
  <si>
    <t xml:space="preserve">__export__.product_product_334530_989bd39b</t>
  </si>
  <si>
    <t xml:space="preserve">SOFA BEIRA SKY AZUL (MATIZ CAOBA)</t>
  </si>
  <si>
    <t xml:space="preserve">BEIRA</t>
  </si>
  <si>
    <t xml:space="preserve">AZUL</t>
  </si>
  <si>
    <t xml:space="preserve">JUAN PABLO RICO</t>
  </si>
  <si>
    <t xml:space="preserve">CHAPINERO</t>
  </si>
  <si>
    <t xml:space="preserve">Cll 67 # 11-63 709</t>
  </si>
  <si>
    <t xml:space="preserve">S273187 - Sin descripción (JUAN PABLO RICO )</t>
  </si>
  <si>
    <t xml:space="preserve">PRODUCCION</t>
  </si>
  <si>
    <t xml:space="preserve">S273187</t>
  </si>
  <si>
    <t xml:space="preserve">__export__.sale_order_285980_c30c4c17</t>
  </si>
  <si>
    <t xml:space="preserve">TBC046</t>
  </si>
  <si>
    <t xml:space="preserve">EXHIBICION TIENDA CEDRITOS</t>
  </si>
  <si>
    <t xml:space="preserve">PRODUCTO TERMINADO / SALAS / COJIN</t>
  </si>
  <si>
    <t xml:space="preserve">__export__.product_product_301334_f84a59a5</t>
  </si>
  <si>
    <t xml:space="preserve">COJIN DECORATIVO BALLS COLORS</t>
  </si>
  <si>
    <t xml:space="preserve">AMBIENTES</t>
  </si>
  <si>
    <t xml:space="preserve">COJIN</t>
  </si>
  <si>
    <t xml:space="preserve">DECORATIVO</t>
  </si>
  <si>
    <t xml:space="preserve">BALLS-COLORS</t>
  </si>
  <si>
    <t xml:space="preserve">Calle 142 # 18A - 44 Local 2 Piso 2</t>
  </si>
  <si>
    <t xml:space="preserve">+57 318 3878560</t>
  </si>
  <si>
    <t xml:space="preserve">318 3878560</t>
  </si>
  <si>
    <t xml:space="preserve">S272828 - Sin descripción (EXHIBICION TIENDA CEDRITOS)</t>
  </si>
  <si>
    <t xml:space="preserve">Retiro DECORACION POR ENTREGAR</t>
  </si>
  <si>
    <t xml:space="preserve">S272828</t>
  </si>
  <si>
    <t xml:space="preserve">__export__.product_product_331700_825e88ce</t>
  </si>
  <si>
    <t xml:space="preserve">COJIN DECORATIVO FLOR ROJA</t>
  </si>
  <si>
    <t xml:space="preserve">DECORATIVO-FLOR-ROJA</t>
  </si>
  <si>
    <t xml:space="preserve">__export__.product_product_263436_796fa4e2</t>
  </si>
  <si>
    <t xml:space="preserve">COJIN DECORATIVO MANDALA AZUL</t>
  </si>
  <si>
    <t xml:space="preserve">MANDALA-AZUL</t>
  </si>
  <si>
    <t xml:space="preserve">__export__.product_product_325399_46ab0d67</t>
  </si>
  <si>
    <t xml:space="preserve">COJIN DECORATIVO PLANTAS</t>
  </si>
  <si>
    <t xml:space="preserve">DECORATIVO-PLATAS</t>
  </si>
  <si>
    <t xml:space="preserve">__export__.product_product_331698_2aeb67e4</t>
  </si>
  <si>
    <t xml:space="preserve">COJIN DECORATIVO SILVESTRE</t>
  </si>
  <si>
    <t xml:space="preserve">DECORATIVO-SILVESTRE</t>
  </si>
  <si>
    <t xml:space="preserve">__export__.product_product_325395_d968f2c6</t>
  </si>
  <si>
    <t xml:space="preserve">COJIN DECORATIVO TRIANGULO GRIS ROSA</t>
  </si>
  <si>
    <t xml:space="preserve">DECORATIVO-TRIANGULO-GRIS-ROSA</t>
  </si>
  <si>
    <t xml:space="preserve">__export__.product_product_301333_f434bdf2</t>
  </si>
  <si>
    <t xml:space="preserve">COJIN DECORATIVO ELEFANTE</t>
  </si>
  <si>
    <t xml:space="preserve">ELEFANTE</t>
  </si>
  <si>
    <t xml:space="preserve">__export__.product_product_245283_867b75e1</t>
  </si>
  <si>
    <t xml:space="preserve">COJIN DECORATIVO GRIS WELL LETRAS</t>
  </si>
  <si>
    <t xml:space="preserve">GRIS-WELL-LETRAS</t>
  </si>
  <si>
    <t xml:space="preserve">__export__.product_product_281913_a00cdb34</t>
  </si>
  <si>
    <t xml:space="preserve">COJIN DECORATIVO HOME</t>
  </si>
  <si>
    <t xml:space="preserve">HOME</t>
  </si>
  <si>
    <t xml:space="preserve">__export__.product_product_244757_57c15718</t>
  </si>
  <si>
    <t xml:space="preserve">COJIN DECORATIVO MENTA WELL LETRAS</t>
  </si>
  <si>
    <t xml:space="preserve">MENTA-WELL-LETRAS</t>
  </si>
  <si>
    <t xml:space="preserve">__export__.product_product_188226_e3bfb043</t>
  </si>
  <si>
    <t xml:space="preserve">COJIN DECORATIVO TRIANGULO ROSA</t>
  </si>
  <si>
    <t xml:space="preserve">TRIANGULO-ROSA</t>
  </si>
  <si>
    <t xml:space="preserve">__export__.product_product_325391_3adbf486</t>
  </si>
  <si>
    <t xml:space="preserve">COJIN DECORATIVO COLORES RECTANGULO</t>
  </si>
  <si>
    <t xml:space="preserve">DECORATIVO-COLORES-RECTANGULO</t>
  </si>
  <si>
    <t xml:space="preserve">PRODUCTO TERMINADO / AMBIENTES / CUADRO</t>
  </si>
  <si>
    <t xml:space="preserve">__export__.product_product_322166_fb2b05f7</t>
  </si>
  <si>
    <t xml:space="preserve">CUADRO ARCOIRIS L INFANTIL (60X60)</t>
  </si>
  <si>
    <t xml:space="preserve">CUADRO</t>
  </si>
  <si>
    <t xml:space="preserve">ARCOIRIS-L-(60X60)</t>
  </si>
  <si>
    <t xml:space="preserve">__export__.product_product_208243_7b518e67</t>
  </si>
  <si>
    <t xml:space="preserve">CUADRO BICICLETA L (60X60)</t>
  </si>
  <si>
    <t xml:space="preserve">BICICLETA-L-(60X60)</t>
  </si>
  <si>
    <t xml:space="preserve">__export__.product_product_297304_7653588e</t>
  </si>
  <si>
    <t xml:space="preserve">CUADRO BOSQUE XL (120X80)</t>
  </si>
  <si>
    <t xml:space="preserve">BOSQUE-XL-(120X80)</t>
  </si>
  <si>
    <t xml:space="preserve">__export__.product_product_285061_9a4bf66c</t>
  </si>
  <si>
    <t xml:space="preserve">CUADRO CALLE ANTIGUA M (70X45)</t>
  </si>
  <si>
    <t xml:space="preserve">CALLE-ANTIGUA-M-(70X45)</t>
  </si>
  <si>
    <t xml:space="preserve">__export__.product_product_285063_dcb0d96c</t>
  </si>
  <si>
    <t xml:space="preserve">CUADRO CALLE ANTIGUA XL (120X80)</t>
  </si>
  <si>
    <t xml:space="preserve">CALLE-ANTIGUA-XL-(120X80)</t>
  </si>
  <si>
    <t xml:space="preserve">__export__.product_product_286721_cb4d872b</t>
  </si>
  <si>
    <t xml:space="preserve">CUADRO ELEFANTE BEBE L (60X60)</t>
  </si>
  <si>
    <t xml:space="preserve">ELEFANTE-BEBE-L-(60X60)</t>
  </si>
  <si>
    <t xml:space="preserve">__export__.product_product_286725_fecc8820</t>
  </si>
  <si>
    <t xml:space="preserve">CUADRO ELEFANTE BEBE M (70X45)</t>
  </si>
  <si>
    <t xml:space="preserve">ELEFANTE-BEBE-M-(70X45)</t>
  </si>
  <si>
    <t xml:space="preserve">__export__.product_product_216614_dbaa87cb</t>
  </si>
  <si>
    <t xml:space="preserve">CUADRO ELEFANTE PINTURA L (60X60)</t>
  </si>
  <si>
    <t xml:space="preserve">ELEFANTE-PINTURA-L-(60X60)</t>
  </si>
  <si>
    <t xml:space="preserve">__export__.product_product_281715_232d83e1</t>
  </si>
  <si>
    <t xml:space="preserve">CUADRO LEOPARDO ACUARELA XL (120X80)</t>
  </si>
  <si>
    <t xml:space="preserve">LEOPARDO-ACUARELA-XL-(120X80)</t>
  </si>
  <si>
    <t xml:space="preserve">__export__.product_product_286724_6a1346cb</t>
  </si>
  <si>
    <t xml:space="preserve">CUADRO PERRO CARA PINTADO M (70X45)</t>
  </si>
  <si>
    <t xml:space="preserve">PERRO-CARA-PINTADO-M-(70X45)</t>
  </si>
  <si>
    <t xml:space="preserve">__export__.product_product_286723_5be2ebde</t>
  </si>
  <si>
    <t xml:space="preserve">CUADRO PERRO CARA PINTADO XL (120X80)</t>
  </si>
  <si>
    <t xml:space="preserve">PERRO-CARA-PINTADO-XL-(120X80)</t>
  </si>
  <si>
    <t xml:space="preserve">__export__.product_product_285299_04ebbd95</t>
  </si>
  <si>
    <t xml:space="preserve">CUADRO ROSTRO ACUARELA M (70X45)</t>
  </si>
  <si>
    <t xml:space="preserve">ROSTRO-ACUARELA-M-(70X45)</t>
  </si>
  <si>
    <t xml:space="preserve">__export__.product_product_283801_12372af4</t>
  </si>
  <si>
    <t xml:space="preserve">CUADRO ARTE ABSTRACT M (70X45)</t>
  </si>
  <si>
    <t xml:space="preserve">ARTE-ABSTRACT-M-(70X45)</t>
  </si>
  <si>
    <t xml:space="preserve">__export__.product_product_281865_7864acfd</t>
  </si>
  <si>
    <t xml:space="preserve">CUADRO CALLE CUBA XL (120X80)</t>
  </si>
  <si>
    <t xml:space="preserve">CALLE-CUBA-XL-(120X80)</t>
  </si>
  <si>
    <t xml:space="preserve">__export__.product_product_281868_357922ec</t>
  </si>
  <si>
    <t xml:space="preserve">CUADRO CALLE LONDRES M (70X45)</t>
  </si>
  <si>
    <t xml:space="preserve">CALLE-LONDRES-M-(70X45)</t>
  </si>
  <si>
    <t xml:space="preserve">__export__.product_product_285297_83b4d1da</t>
  </si>
  <si>
    <t xml:space="preserve">CUADRO COLORES HUMO M (70X45)</t>
  </si>
  <si>
    <t xml:space="preserve">COLORES-HUMO-M-(70X45)</t>
  </si>
  <si>
    <t xml:space="preserve">__export__.product_product_263304_83b09730</t>
  </si>
  <si>
    <t xml:space="preserve">CUADRO PERRO BLANCO Y NEGRO L (60X60)</t>
  </si>
  <si>
    <t xml:space="preserve">PERRO-BLANCO-Y-NEGRO-L-(60X60)</t>
  </si>
  <si>
    <t xml:space="preserve">PRODUCTO TERMINADO / AMBIENTES / PORCELANA</t>
  </si>
  <si>
    <t xml:space="preserve">__export__.product_product_332964_9ac4ffd4</t>
  </si>
  <si>
    <t xml:space="preserve">PORCELANA FLORA BRONCE</t>
  </si>
  <si>
    <t xml:space="preserve">PORCELANA</t>
  </si>
  <si>
    <t xml:space="preserve">FLORA</t>
  </si>
  <si>
    <t xml:space="preserve">BRONCE</t>
  </si>
  <si>
    <t xml:space="preserve">__export__.product_product_332960_0da09bb5</t>
  </si>
  <si>
    <t xml:space="preserve">PORCELANA NEXIS BLANCO TEXTURIZADO</t>
  </si>
  <si>
    <t xml:space="preserve">NEXIS</t>
  </si>
  <si>
    <t xml:space="preserve">__export__.product_product_332969_d6f8243f</t>
  </si>
  <si>
    <t xml:space="preserve">PORCELANA AURA BLANCO TEXTURIZADO SET</t>
  </si>
  <si>
    <t xml:space="preserve">AURA</t>
  </si>
  <si>
    <t xml:space="preserve">__export__.product_product_301313_59b386ef</t>
  </si>
  <si>
    <t xml:space="preserve">PORCELANA ELEFANTE GORDO L BRONCE</t>
  </si>
  <si>
    <t xml:space="preserve">ELEFANTE-GORDO-L-BRONCE</t>
  </si>
  <si>
    <t xml:space="preserve">__export__.product_product_301314_40e27c45</t>
  </si>
  <si>
    <t xml:space="preserve">PORCELANA ELEFANTE GORDO M BRONCE</t>
  </si>
  <si>
    <t xml:space="preserve">ELEFANTE-GORDO-M-BRONCE</t>
  </si>
  <si>
    <t xml:space="preserve">__export__.product_product_301315_f0257c1b</t>
  </si>
  <si>
    <t xml:space="preserve">PORCELANA ELEFANTE GORDO S BRONCE</t>
  </si>
  <si>
    <t xml:space="preserve">ELEFANTE-GORDO-S-BRONCE</t>
  </si>
  <si>
    <t xml:space="preserve">__export__.product_product_326208_51f43e49</t>
  </si>
  <si>
    <t xml:space="preserve">PORCELANA ELEFANTE ORIGAMI L BLANCO AZUL</t>
  </si>
  <si>
    <t xml:space="preserve">ELEFANTE-ORIGAMI-L-BLANCO-AZUL</t>
  </si>
  <si>
    <t xml:space="preserve">__export__.product_product_326209_64cd2371</t>
  </si>
  <si>
    <t xml:space="preserve">PORCELANA ELEFANTE ORIGAMI M BLANCO AZUL</t>
  </si>
  <si>
    <t xml:space="preserve">ELEFANTE-ORIGAMI-M-BLANCO-AZUL</t>
  </si>
  <si>
    <t xml:space="preserve">__export__.product_product_326210_9686e823</t>
  </si>
  <si>
    <t xml:space="preserve">PORCELANA ELEFANTE ORIGAMI S BLANCO AZUL</t>
  </si>
  <si>
    <t xml:space="preserve">ELEFANTE-ORIGAMI-S-BLANCO-AZUL</t>
  </si>
  <si>
    <t xml:space="preserve">__export__.product_product_301310_fe6b24dc</t>
  </si>
  <si>
    <t xml:space="preserve">PORCELANA ELEFANTE TROMPA LARGA L BRONCE</t>
  </si>
  <si>
    <t xml:space="preserve">ELEFANTE-TROMPA-LARGA-L-BRONCE</t>
  </si>
  <si>
    <t xml:space="preserve">__export__.product_product_301311_0f57ecfd</t>
  </si>
  <si>
    <t xml:space="preserve">PORCELANA ELEFANTE TROMPA LARGA M BRONCE</t>
  </si>
  <si>
    <t xml:space="preserve">ELEFANTE-TROMPA-LARGA-M-BRONCE</t>
  </si>
  <si>
    <t xml:space="preserve">__export__.product_product_301312_6eb60316</t>
  </si>
  <si>
    <t xml:space="preserve">PORCELANA ELEFANTE TROMPA LARGA S BRONCE</t>
  </si>
  <si>
    <t xml:space="preserve">ELEFANTE-TROMPA-LARGA-S-BRONCE</t>
  </si>
  <si>
    <t xml:space="preserve">__export__.product_product_331444_fe5a4adf</t>
  </si>
  <si>
    <t xml:space="preserve">PORCELANA FLORA BLANCO TEXTURIZADO</t>
  </si>
  <si>
    <t xml:space="preserve">__export__.product_product_332963_70c108ee</t>
  </si>
  <si>
    <t xml:space="preserve">PORCELANA FLORA NEGRO MATE</t>
  </si>
  <si>
    <t xml:space="preserve">NEGRO</t>
  </si>
  <si>
    <t xml:space="preserve">__export__.product_product_332965_aeb95927</t>
  </si>
  <si>
    <t xml:space="preserve">PORCELANA FLORA TERRACOTA</t>
  </si>
  <si>
    <t xml:space="preserve">TERRACOTA</t>
  </si>
  <si>
    <t xml:space="preserve">__export__.product_product_332961_03532444</t>
  </si>
  <si>
    <t xml:space="preserve">PORCELANA NEXIS TERRACOTA</t>
  </si>
  <si>
    <t xml:space="preserve">__export__.product_product_332957_92243c87</t>
  </si>
  <si>
    <t xml:space="preserve">PORCELANA NOVO BLANCO TEXTURIZADO</t>
  </si>
  <si>
    <t xml:space="preserve">NOVO</t>
  </si>
  <si>
    <t xml:space="preserve">__export__.product_product_331445_c62ba339</t>
  </si>
  <si>
    <t xml:space="preserve">PORCELANA NOVO NEGRO MATE</t>
  </si>
  <si>
    <t xml:space="preserve">__export__.product_product_332959_28b07d57</t>
  </si>
  <si>
    <t xml:space="preserve">PORCELANA NOVO TERRACOTA</t>
  </si>
  <si>
    <t xml:space="preserve">__export__.product_product_332968_5c0d98bc</t>
  </si>
  <si>
    <t xml:space="preserve">PORCELANA AURA BRONCE SET</t>
  </si>
  <si>
    <t xml:space="preserve">__export__.product_product_332966_a7f4e1dd</t>
  </si>
  <si>
    <t xml:space="preserve">PORCELANA AURA NEGRO MATE SET</t>
  </si>
  <si>
    <t xml:space="preserve">__export__.product_product_325390_677cf6e1</t>
  </si>
  <si>
    <t xml:space="preserve">PORCELANA TORO CERAMICA BLANCO AZUL</t>
  </si>
  <si>
    <t xml:space="preserve">TORO-CERAMICA-BLANCO-AZUL</t>
  </si>
  <si>
    <t xml:space="preserve">__export__.product_product_206277_befc8b72</t>
  </si>
  <si>
    <t xml:space="preserve">PORCELANA TORO CERAMICA BRONCE</t>
  </si>
  <si>
    <t xml:space="preserve">TORO-CERAMICA-BRONCE</t>
  </si>
  <si>
    <t xml:space="preserve">__export__.product_product_323849_aef81076</t>
  </si>
  <si>
    <t xml:space="preserve">PORCELANA TORO CERAMICA NEGRO</t>
  </si>
  <si>
    <t xml:space="preserve">TORO-CERAMICA-NEGRO</t>
  </si>
  <si>
    <t xml:space="preserve">__export__.product_product_326205_d42a0aba</t>
  </si>
  <si>
    <t xml:space="preserve">PORCELANA ELEFANTE GORDO L BLANCO AZUL</t>
  </si>
  <si>
    <t xml:space="preserve">ELEFANTE-GORDO-L-BLANCO-AZUL</t>
  </si>
  <si>
    <t xml:space="preserve">__export__.product_product_326206_8f8a86e7</t>
  </si>
  <si>
    <t xml:space="preserve">PORCELANA ELEFANTE GORDO M BLANCO AZUL</t>
  </si>
  <si>
    <t xml:space="preserve">ELEFANTE-GORDO-M-BLANCO-AZUL</t>
  </si>
  <si>
    <t xml:space="preserve">__export__.product_product_326207_ff3dd7db</t>
  </si>
  <si>
    <t xml:space="preserve">PORCELANA ELEFANTE GORDO S BLANCO AZUL</t>
  </si>
  <si>
    <t xml:space="preserve">ELEFANTE-GORDO-S-BLANCO-AZUL</t>
  </si>
  <si>
    <t xml:space="preserve">__export__.product_product_331443_8f6bc944</t>
  </si>
  <si>
    <t xml:space="preserve">PORCELANA NEXIS NEGRO MATE</t>
  </si>
  <si>
    <t xml:space="preserve">__export__.product_product_332967_6f95b757</t>
  </si>
  <si>
    <t xml:space="preserve">PORCELANA AURA TERRACOTA SET</t>
  </si>
  <si>
    <t xml:space="preserve">__export__.product_product_325389_27c2f897</t>
  </si>
  <si>
    <t xml:space="preserve">PORCELANA TORO CERAMICA BLANCO ROJO</t>
  </si>
  <si>
    <t xml:space="preserve">TORO-CERAMICA-BLANCO-ROJO</t>
  </si>
  <si>
    <t xml:space="preserve">__export__.sale_order_284951_7970043e</t>
  </si>
  <si>
    <t xml:space="preserve">RETAIL HOME</t>
  </si>
  <si>
    <t xml:space="preserve">__export__.product_product_268784_420d0f69</t>
  </si>
  <si>
    <t xml:space="preserve">SOFA LUCERNA DENVER PETROLEO (MATIZ CARAMELO)</t>
  </si>
  <si>
    <t xml:space="preserve">LUCERNA</t>
  </si>
  <si>
    <t xml:space="preserve">DENVER</t>
  </si>
  <si>
    <t xml:space="preserve">PETROLEO</t>
  </si>
  <si>
    <t xml:space="preserve">MATIZ-CARAMELO</t>
  </si>
  <si>
    <t xml:space="preserve">HOMECENTER</t>
  </si>
  <si>
    <t xml:space="preserve">BOGOTA. D.C.</t>
  </si>
  <si>
    <t xml:space="preserve">800242106-2</t>
  </si>
  <si>
    <t xml:space="preserve">CR 68 D 80 70</t>
  </si>
  <si>
    <t xml:space="preserve">704908-704909</t>
  </si>
  <si>
    <t xml:space="preserve">S270541 - Sin descripción (HOMECENTER)</t>
  </si>
  <si>
    <t xml:space="preserve">Bogotá</t>
  </si>
  <si>
    <t xml:space="preserve">+57 310 5824307</t>
  </si>
  <si>
    <t xml:space="preserve">S270541</t>
  </si>
  <si>
    <t xml:space="preserve">__export__.product_product_268787_30a0d6ce</t>
  </si>
  <si>
    <t xml:space="preserve">SOFA LUCERNA DENVER PLATA (MATIZ CARAMELO)</t>
  </si>
  <si>
    <t xml:space="preserve">PLATA</t>
  </si>
  <si>
    <t xml:space="preserve">__export__.sale_order_284943_cba85d4f</t>
  </si>
  <si>
    <t xml:space="preserve">__export__.product_product_162986_3b8f01ab</t>
  </si>
  <si>
    <t xml:space="preserve">BUTACO TEXAS DUSTER CHOCOLATE (NEGRO)</t>
  </si>
  <si>
    <t xml:space="preserve">TEXAS</t>
  </si>
  <si>
    <t xml:space="preserve">DUSTER</t>
  </si>
  <si>
    <t xml:space="preserve">CHOCOLATE</t>
  </si>
  <si>
    <t xml:space="preserve">METALICO-NEGRO</t>
  </si>
  <si>
    <t xml:space="preserve">MARLENY  VARGAS</t>
  </si>
  <si>
    <t xml:space="preserve">KILOMETRO 0.5, GLORIETA SIBERIA, TENJO, CUNDINAMARCA</t>
  </si>
  <si>
    <t xml:space="preserve">S270533 - Sin descripción (MARLENY  VARGAS )</t>
  </si>
  <si>
    <t xml:space="preserve">S270533</t>
  </si>
  <si>
    <t xml:space="preserve">1.1 ENVIA</t>
  </si>
  <si>
    <t xml:space="preserve">__export__.sale_order_283796_1a5ef5d0</t>
  </si>
  <si>
    <t xml:space="preserve">TF072</t>
  </si>
  <si>
    <t xml:space="preserve">EXHIBICION TIENDA FABRICA</t>
  </si>
  <si>
    <t xml:space="preserve">__export__.product_product_326860_aeadbb65</t>
  </si>
  <si>
    <t xml:space="preserve">SOFA VERGE SKY PLATA (MATIZ CAOBA)</t>
  </si>
  <si>
    <t xml:space="preserve">CASH</t>
  </si>
  <si>
    <t xml:space="preserve">SORACA</t>
  </si>
  <si>
    <t xml:space="preserve">901282489-5</t>
  </si>
  <si>
    <t xml:space="preserve">KILOMETRO 1 VIA TUNJA SORACA-VEREDA OTRO LADO</t>
  </si>
  <si>
    <t xml:space="preserve">+57 322 8511000</t>
  </si>
  <si>
    <t xml:space="preserve">PD13247 (TF072)</t>
  </si>
  <si>
    <t xml:space="preserve">comedoresvenecia@gmail.com</t>
  </si>
  <si>
    <t xml:space="preserve">S269382 - SOFA VERGE SKY PLATA (MATIZ CAOBA) (EXHIBICION TIENDA FABRICA)</t>
  </si>
  <si>
    <t xml:space="preserve">S269382</t>
  </si>
  <si>
    <t xml:space="preserve">__export__.product_product_331135_f15f5c20</t>
  </si>
  <si>
    <t xml:space="preserve">SOFA SUIZA DORSEY PLATA (MATIZ CAOBA)</t>
  </si>
  <si>
    <t xml:space="preserve">S269382 - SOFA SUIZA DORSEY PLATA (MATIZ CAOBA) (EXHIBICION TIENDA FABRICA)</t>
  </si>
  <si>
    <t xml:space="preserve">PRODUCTO TERMINADO / SALAS / POLTRONA</t>
  </si>
  <si>
    <t xml:space="preserve">__export__.product_product_327122_68051710</t>
  </si>
  <si>
    <t xml:space="preserve">POLTRONA CANNES SKY MOSTAZA (MATIZ CAOBA)</t>
  </si>
  <si>
    <t xml:space="preserve">POLTRONA</t>
  </si>
  <si>
    <t xml:space="preserve">CANNES</t>
  </si>
  <si>
    <t xml:space="preserve">S269382 - POLTRONA CANNES SKY MOSTAZA (MATIZ CAOBA) (EXHIBICION TIENDA FABRICA)</t>
  </si>
  <si>
    <t xml:space="preserve">__export__.product_product_325700_97410366</t>
  </si>
  <si>
    <t xml:space="preserve">SOFA LOTUS DORSEY PETROLEO (MATIZ NATURAL)</t>
  </si>
  <si>
    <t xml:space="preserve">LOTUS</t>
  </si>
  <si>
    <t xml:space="preserve">S269382 - SOFA LOTUS DORSEY PETROLEO (MATIZ NATURAL) (EXHIBICION TIENDA FABRICA)</t>
  </si>
  <si>
    <t xml:space="preserve">__export__.product_product_237173_087fa1cd</t>
  </si>
  <si>
    <t xml:space="preserve">MESA ANDARA JG4 BLANCO (MATIZ NATURAL)</t>
  </si>
  <si>
    <t xml:space="preserve">ANDARA-JG4</t>
  </si>
  <si>
    <t xml:space="preserve">S269382 - MESA ANDARA JG4 BLANCO (MATIZ NATURAL) (EXHIBICION TIENDA FABRICA)</t>
  </si>
  <si>
    <t xml:space="preserve">PRODUCTO TERMINADO / COMEDORES / SILLA</t>
  </si>
  <si>
    <t xml:space="preserve">__export__.product_product_328436_3f4c68de</t>
  </si>
  <si>
    <t xml:space="preserve">SILLA SABINA SKY MOSTAZA (MATIZ CAOBA)</t>
  </si>
  <si>
    <t xml:space="preserve">SILLA</t>
  </si>
  <si>
    <t xml:space="preserve">SABINA</t>
  </si>
  <si>
    <t xml:space="preserve">S269382 - SILLA SABINA SKY MOSTAZA (MATIZ CAOBA) (EXHIBICION TIENDA FABRICA)</t>
  </si>
  <si>
    <t xml:space="preserve">__export__.product_product_330472_723b816d</t>
  </si>
  <si>
    <t xml:space="preserve">BUTACO VIENA EUREKA PLATA (MATIZ NATURAL)</t>
  </si>
  <si>
    <t xml:space="preserve">VIENA</t>
  </si>
  <si>
    <t xml:space="preserve">EUREKA</t>
  </si>
  <si>
    <t xml:space="preserve">S269382 - BUTACO VIENA EUREKA PLATA (MATIZ NATURAL) (EXHIBICION TIENDA FABRICA)</t>
  </si>
  <si>
    <t xml:space="preserve">__export__.product_product_326349_9882cf6d</t>
  </si>
  <si>
    <t xml:space="preserve">MESA BRIXTON JG4 DUNA (MATIZ NEGRO)</t>
  </si>
  <si>
    <t xml:space="preserve">BRIXTON-JG4</t>
  </si>
  <si>
    <t xml:space="preserve">DUNA</t>
  </si>
  <si>
    <t xml:space="preserve">MATIZ-NEGRO</t>
  </si>
  <si>
    <t xml:space="preserve">S269382 - MESA BRIXTON JG4 DUNA (MATIZ NEGRO) (EXHIBICION TIENDA FABRICA)</t>
  </si>
  <si>
    <t xml:space="preserve">__export__.product_product_287514_b4e068d5</t>
  </si>
  <si>
    <t xml:space="preserve">SOFA BARU DENVER GRIS (MATIZ NATURAL)</t>
  </si>
  <si>
    <t xml:space="preserve">BARU</t>
  </si>
  <si>
    <t xml:space="preserve">GRIS</t>
  </si>
  <si>
    <t xml:space="preserve">S269382 - SOFA BARU DENVER GRIS (MATIZ NATURAL) (EXHIBICION TIENDA FABRICA)</t>
  </si>
  <si>
    <t xml:space="preserve">__export__.product_product_324104_37ec83e6</t>
  </si>
  <si>
    <t xml:space="preserve">SOFA ROMA SKY BEIGE (MATIZ CAOBA)</t>
  </si>
  <si>
    <t xml:space="preserve">ROMA</t>
  </si>
  <si>
    <t xml:space="preserve">BEIGE</t>
  </si>
  <si>
    <t xml:space="preserve">S269382 - SOFA ROMA SKY BEIGE (MATIZ CAOBA) (EXHIBICION TIENDA FABRICA)</t>
  </si>
  <si>
    <t xml:space="preserve">__export__.product_product_208446_ba10dd64</t>
  </si>
  <si>
    <t xml:space="preserve">SILLA LIVERPOOL DENVER PLATA (MATIZ NATURAL)</t>
  </si>
  <si>
    <t xml:space="preserve">SILLA-MADERA</t>
  </si>
  <si>
    <t xml:space="preserve">LIVERPOOL</t>
  </si>
  <si>
    <t xml:space="preserve">S269382 - SILLA LIVERPOOL DENVER PLATA (MATIZ NATURAL) (EXHIBICION TIENDA FABRICA)</t>
  </si>
  <si>
    <t xml:space="preserve">Retiro Inventario Bodega</t>
  </si>
  <si>
    <t xml:space="preserve">__export__.product_product_208362_e56a232f</t>
  </si>
  <si>
    <t xml:space="preserve">BUTACO LIVERPOOL DENVER PLATA (MATIZ NATURAL)</t>
  </si>
  <si>
    <t xml:space="preserve">S269382 - BUTACO LIVERPOOL DENVER PLATA (MATIZ NATURAL) (EXHIBICION TIENDA FABRICA)</t>
  </si>
  <si>
    <t xml:space="preserve">PRODUCTO TERMINADO / SALAS / MESA DE CENTRO</t>
  </si>
  <si>
    <t xml:space="preserve">__export__.product_product_187450_25242268</t>
  </si>
  <si>
    <t xml:space="preserve">MESA DE CENTRO VALENCIA GRANDE BLANCO (MATIZ NATURAL)</t>
  </si>
  <si>
    <t xml:space="preserve">MESA-AUXILIAR</t>
  </si>
  <si>
    <t xml:space="preserve">VALENCIA-GRANDE</t>
  </si>
  <si>
    <t xml:space="preserve">S269382 - MESA DE CENTRO VALENCIA GRANDE BLANCO (MATIZ NATURAL) (EXHIBICION TIENDA FABRICA)</t>
  </si>
  <si>
    <t xml:space="preserve">__export__.product_product_187477_08859d47</t>
  </si>
  <si>
    <t xml:space="preserve">MESA DE CENTRO VALENCIA PEQUEÑA BLANCO (MATIZ NATURAL)</t>
  </si>
  <si>
    <t xml:space="preserve">VALENCIA-PEQUEÑA</t>
  </si>
  <si>
    <t xml:space="preserve">S269382 - MESA DE CENTRO VALENCIA PEQUEÑA BLANCO (MATIZ NATURAL) (EXHIBICION TIENDA FABRICA)</t>
  </si>
  <si>
    <t xml:space="preserve">__export__.product_product_186853_6831599b</t>
  </si>
  <si>
    <t xml:space="preserve">MESA DE CENTRO BARZA BLANCO (MATIZ NATURAL)</t>
  </si>
  <si>
    <t xml:space="preserve">MESA-CENTRO</t>
  </si>
  <si>
    <t xml:space="preserve">BARZA</t>
  </si>
  <si>
    <t xml:space="preserve">S269382 - MESA DE CENTRO BARZA BLANCO (MATIZ NATURAL) (EXHIBICION TIENDA FABRICA)</t>
  </si>
  <si>
    <t xml:space="preserve">__export__.product_product_315496_ed2edd0e</t>
  </si>
  <si>
    <t xml:space="preserve">MESA DE CENTRO ESCOCIA L BLANCO (MATIZ NATURAL)</t>
  </si>
  <si>
    <t xml:space="preserve">ESCOCIA-L</t>
  </si>
  <si>
    <t xml:space="preserve">S269382 - MESA DE CENTRO ESCOCIA L BLANCO (MATIZ NATURAL) (EXHIBICION TIENDA FABRICA)</t>
  </si>
  <si>
    <t xml:space="preserve">__export__.product_product_315490_7a292c60</t>
  </si>
  <si>
    <t xml:space="preserve">MESA DE CENTRO ESCOCIA S BLANCO (MATIZ NATURAL)</t>
  </si>
  <si>
    <t xml:space="preserve">ESCOCIA-S</t>
  </si>
  <si>
    <t xml:space="preserve">S269382 - MESA DE CENTRO ESCOCIA S BLANCO (MATIZ NATURAL) (EXHIBICION TIENDA FABRICA)</t>
  </si>
  <si>
    <t xml:space="preserve">__export__.product_product_327342_538c0d3e</t>
  </si>
  <si>
    <t xml:space="preserve">SILLA TOKYO SKY PLATA (METALICA LISO NEGRO)</t>
  </si>
  <si>
    <t xml:space="preserve">TOKYO</t>
  </si>
  <si>
    <t xml:space="preserve">S269382 - SILLA TOKYO SKY PLATA (METALICA LISO NEGRO) (EXHIBICION TIENDA FABRICA)</t>
  </si>
  <si>
    <t xml:space="preserve">__export__.product_product_206463_3dc78ddb</t>
  </si>
  <si>
    <t xml:space="preserve">MESA DE CENTRO DAMASCO S DUNA (NEGRO)</t>
  </si>
  <si>
    <t xml:space="preserve">DAMASCO-S</t>
  </si>
  <si>
    <t xml:space="preserve">S269382 - MESA DE CENTRO DAMASCO S DUNA (NEGRO) (EXHIBICION TIENDA FABRICA)</t>
  </si>
  <si>
    <t xml:space="preserve">__export__.product_product_326272_5c63a50d</t>
  </si>
  <si>
    <t xml:space="preserve">MESA DE CENTRO PIERRE BLANCO-MACULA</t>
  </si>
  <si>
    <t xml:space="preserve">PIERRE</t>
  </si>
  <si>
    <t xml:space="preserve">BLANCO-MACULA</t>
  </si>
  <si>
    <t xml:space="preserve">S269382 - MESA DE CENTRO PIERRE BLANCO-MACULA (EXHIBICION TIENDA FABRICA)</t>
  </si>
  <si>
    <t xml:space="preserve">__export__.product_product_321402_f0fa4c47</t>
  </si>
  <si>
    <t xml:space="preserve">MESA DE CENTRO MONTREAL GRANDE BLANCO</t>
  </si>
  <si>
    <t xml:space="preserve">MONTREAL-GRANDE</t>
  </si>
  <si>
    <t xml:space="preserve">S269382 - MESA DE CENTRO MONTREAL GRANDE BLANCO (EXHIBICION TIENDA FABRICA)</t>
  </si>
  <si>
    <t xml:space="preserve">__export__.product_product_188046_6388469c</t>
  </si>
  <si>
    <t xml:space="preserve">MESA DE CENTRO MONTREAL PEQUEÑA DUNA</t>
  </si>
  <si>
    <t xml:space="preserve">MONTREAL-PEQUEÑA</t>
  </si>
  <si>
    <t xml:space="preserve">S269382 - MESA DE CENTRO MONTREAL PEQUEÑA DUNA (EXHIBICION TIENDA FABRICA)</t>
  </si>
  <si>
    <t xml:space="preserve">__export__.product_product_327472_f7c688df</t>
  </si>
  <si>
    <t xml:space="preserve">MESA NARA JG4 MACULA (MATIZ CAOBA)</t>
  </si>
  <si>
    <t xml:space="preserve">NARA-JG4</t>
  </si>
  <si>
    <t xml:space="preserve">S269382 - MESA NARA JG4 MACULA (MATIZ CAOBA) (EXHIBICION TIENDA FABRICA)</t>
  </si>
  <si>
    <t xml:space="preserve">__export__.product_product_327023_e9c45b6b</t>
  </si>
  <si>
    <t xml:space="preserve">SILLA NOTO DENVER GRIS (MATIZ CAOBA)</t>
  </si>
  <si>
    <t xml:space="preserve">NOTO</t>
  </si>
  <si>
    <t xml:space="preserve">S269382 - SILLA NOTO DENVER GRIS (MATIZ CAOBA) (EXHIBICION TIENDA FABRICA)</t>
  </si>
  <si>
    <t xml:space="preserve">__export__.product_product_318954_ff1c2dbc</t>
  </si>
  <si>
    <t xml:space="preserve">BUTACO LIVERPOOL DENVER MOSTAZA (MATIZ CAOBA)</t>
  </si>
  <si>
    <t xml:space="preserve">S269382 - BUTACO LIVERPOOL DENVER MOSTAZA (MATIZ CAOBA) (EXHIBICION TIENDA FABRICA)</t>
  </si>
  <si>
    <t xml:space="preserve">__export__.product_product_299568_45c19dca</t>
  </si>
  <si>
    <t xml:space="preserve">SILLA SIDNEY BLANCO (MATIZ NATURAL)</t>
  </si>
  <si>
    <t xml:space="preserve">SIDNEY</t>
  </si>
  <si>
    <t xml:space="preserve">S269382 - SILLA SIDNEY BLANCO (MATIZ NATURAL) (EXHIBICION TIENDA FABRICA)</t>
  </si>
  <si>
    <t xml:space="preserve">__export__.product_product_177470_3df9c58f</t>
  </si>
  <si>
    <t xml:space="preserve">POLTRONA LISBOA DICOSTA SALMON (MATIZ NATURAL)</t>
  </si>
  <si>
    <t xml:space="preserve">LISBOA</t>
  </si>
  <si>
    <t xml:space="preserve">DICOSTA</t>
  </si>
  <si>
    <t xml:space="preserve">SALMON</t>
  </si>
  <si>
    <t xml:space="preserve">S269382 - POLTRONA LISBOA DICOSTA SALMON (MATIZ NATURAL) (EXHIBICION TIENDA FABRICA)</t>
  </si>
  <si>
    <t xml:space="preserve">__export__.product_product_323401_681fea84</t>
  </si>
  <si>
    <t xml:space="preserve">SOFA DAYTONA 3P SKY GRIS (MATIZ CAOBA)</t>
  </si>
  <si>
    <t xml:space="preserve">DAYTONA-3P</t>
  </si>
  <si>
    <t xml:space="preserve">S269382 - SOFA DAYTONA 3P SKY GRIS (MATIZ CAOBA) (EXHIBICION TIENDA FABRICA)</t>
  </si>
  <si>
    <t xml:space="preserve">__export__.product_product_331707_88193fe6</t>
  </si>
  <si>
    <t xml:space="preserve">POLTRONA DAYTONA SKY GRIS (MATIZ CAOBA)</t>
  </si>
  <si>
    <t xml:space="preserve">DAYTONA</t>
  </si>
  <si>
    <t xml:space="preserve">S269382 - POLTRONA DAYTONA SKY GRIS (MATIZ CAOBA) (EXHIBICION TIENDA FABRICA)</t>
  </si>
  <si>
    <t xml:space="preserve">__export__.product_product_334630_90eeefe0</t>
  </si>
  <si>
    <t xml:space="preserve">SOFA HANNOVER 2P DORSEY GRIS (MATIZ NATURAL)</t>
  </si>
  <si>
    <t xml:space="preserve">HANNOVER-2P</t>
  </si>
  <si>
    <t xml:space="preserve">S269382 - SOFA HANNOVER 2P DORSEY GRIS (MATIZ NATURAL) (EXHIBICION TIENDA FABRICA)</t>
  </si>
  <si>
    <t xml:space="preserve">__export__.product_product_334634_5f16aac0</t>
  </si>
  <si>
    <t xml:space="preserve">MESA LIVERPOOL JG6 OASIS (MATIZ BLANCO)</t>
  </si>
  <si>
    <t xml:space="preserve">LIVERPOOL-JG6</t>
  </si>
  <si>
    <t xml:space="preserve">OASIS</t>
  </si>
  <si>
    <t xml:space="preserve">MATIZ-BLANCO</t>
  </si>
  <si>
    <t xml:space="preserve">S269382 - MESA LIVERPOOL JG6 OASIS (MATIZ BLANCO) (EXHIBICION TIENDA FABRICA)</t>
  </si>
  <si>
    <t xml:space="preserve">__export__.product_product_334638_201d0a3f</t>
  </si>
  <si>
    <t xml:space="preserve">POLTRONA BARCELONA DORSEY ROSA (MATIZ NATURAL)</t>
  </si>
  <si>
    <t xml:space="preserve">BARCELONA</t>
  </si>
  <si>
    <t xml:space="preserve">ROSA</t>
  </si>
  <si>
    <t xml:space="preserve">S269382 - POLTRONA BARCELONA DORSEY ROSA (MATIZ NATURAL) (EXHIBICION TIENDA FABRICA)</t>
  </si>
  <si>
    <t xml:space="preserve">__export__.product_product_334637_1ea072a1</t>
  </si>
  <si>
    <t xml:space="preserve">SILLA MURCIA SKY TURQUESA (MATIZ NEGRO)</t>
  </si>
  <si>
    <t xml:space="preserve">MURCIA</t>
  </si>
  <si>
    <t xml:space="preserve">TURQUESA</t>
  </si>
  <si>
    <t xml:space="preserve">S269382 - SILLA MURCIA SKY PETROLEO (MATIZ NEGRO) (EXHIBICION TIENDA FABRICA)</t>
  </si>
  <si>
    <t xml:space="preserve">__export__.product_product_325724_37935b90</t>
  </si>
  <si>
    <t xml:space="preserve">SILLA AURORA DENVER AZUL (METALICA LISO NEGRO)</t>
  </si>
  <si>
    <t xml:space="preserve">AURORA</t>
  </si>
  <si>
    <t xml:space="preserve">S269382 - SILLA AURORA DENVER AZUL (METALICA LISO NEGRO) (EXHIBICION TIENDA FABRICA)</t>
  </si>
  <si>
    <t xml:space="preserve">__export__.product_product_309078_381cef8b</t>
  </si>
  <si>
    <t xml:space="preserve">SOFA HAMBURGO 2P DENVER GRIS (MATIZ CARAMELO)</t>
  </si>
  <si>
    <t xml:space="preserve">HAMBURGO-2P</t>
  </si>
  <si>
    <t xml:space="preserve">S269382 - SOFA HAMBURGO 2P DENVER GRIS (MATIZ CARAMELO) (EXHIBICION TIENDA FABRICA)</t>
  </si>
  <si>
    <t xml:space="preserve">__export__.sale_order_284800_b4c4cf91</t>
  </si>
  <si>
    <t xml:space="preserve">__export__.product_product_225914_ce0bebf9</t>
  </si>
  <si>
    <t xml:space="preserve">MESA LUXOR JG4 BLANCO (MATIZ NATURAL)</t>
  </si>
  <si>
    <t xml:space="preserve">LUXOR-JG4</t>
  </si>
  <si>
    <t xml:space="preserve">JUAN SEBASTIAN VAQUIRO OSPINA</t>
  </si>
  <si>
    <t xml:space="preserve">S270390 - Sin descripción (JUAN SEBASTIAN VAQUIRO OSPINA)</t>
  </si>
  <si>
    <t xml:space="preserve">S270390</t>
  </si>
  <si>
    <t xml:space="preserve">__export__.sale_order_284799_77158012</t>
  </si>
  <si>
    <t xml:space="preserve">__export__.product_product_333396_ce713bec</t>
  </si>
  <si>
    <t xml:space="preserve">PUFF BEAN SKY GRIS</t>
  </si>
  <si>
    <t xml:space="preserve">PUFF</t>
  </si>
  <si>
    <t xml:space="preserve">BEAN</t>
  </si>
  <si>
    <t xml:space="preserve">IVÁN ORESTES GÓMEZ GÓMEZ</t>
  </si>
  <si>
    <t xml:space="preserve">IVANGOMEZG@GMAIL.COM</t>
  </si>
  <si>
    <t xml:space="preserve">S270389 - Sin descripción (IVÁN ORESTES GÓMEZ GÓMEZ)</t>
  </si>
  <si>
    <t xml:space="preserve">S270389</t>
  </si>
  <si>
    <t xml:space="preserve">__export__.sale_order_284798_af26fb5e</t>
  </si>
  <si>
    <t xml:space="preserve">JUAN PABLO MORENO</t>
  </si>
  <si>
    <t xml:space="preserve">JUANP.MORENO98@GMAIL.COM</t>
  </si>
  <si>
    <t xml:space="preserve">S270388 - Sin descripción (JUAN PABLO MORENO)</t>
  </si>
  <si>
    <t xml:space="preserve">S270388</t>
  </si>
  <si>
    <t xml:space="preserve">__export__.product_product_164329_c407382b</t>
  </si>
  <si>
    <t xml:space="preserve">SILLA MATIZ DUSTER AZUL (METALICA NATURAL)</t>
  </si>
  <si>
    <t xml:space="preserve">MATIZ</t>
  </si>
  <si>
    <t xml:space="preserve">__export__.product_product_191479_f7af5c80</t>
  </si>
  <si>
    <t xml:space="preserve">SOFA TOULOUSE DUSTER AZUL (MATIZ NATURAL)</t>
  </si>
  <si>
    <t xml:space="preserve">TOULOUSE</t>
  </si>
  <si>
    <t xml:space="preserve">__export__.product_product_189805_8adf235e</t>
  </si>
  <si>
    <t xml:space="preserve">POLTRONA TOULOUSE DUSTER AZUL (MATIZ NATURAL)</t>
  </si>
  <si>
    <t xml:space="preserve">__export__.product_product_186898_2d403f30</t>
  </si>
  <si>
    <t xml:space="preserve">MESA DE CENTRO CANNES M BLANCO (MATIZ NATURAL)</t>
  </si>
  <si>
    <t xml:space="preserve">CANNES-M</t>
  </si>
  <si>
    <t xml:space="preserve">__export__.sale_order_284797_1ea1d873</t>
  </si>
  <si>
    <t xml:space="preserve">PRODUCTO TERMINADO / SALAS / PUFF</t>
  </si>
  <si>
    <t xml:space="preserve">__export__.product_product_185071_e5f8a42f</t>
  </si>
  <si>
    <t xml:space="preserve">PUFF MONTECARLO DICOSTA TRIGO (MATIZ NATURAL)</t>
  </si>
  <si>
    <t xml:space="preserve">MONTECARLO</t>
  </si>
  <si>
    <t xml:space="preserve">TRIGO</t>
  </si>
  <si>
    <t xml:space="preserve">MARIA OLIVA</t>
  </si>
  <si>
    <t xml:space="preserve">PASTO</t>
  </si>
  <si>
    <t xml:space="preserve">Nariño (CO)</t>
  </si>
  <si>
    <t xml:space="preserve">CALLE 8 # 22D-44 OFICINA GARAJE BARRIO OBRERO|:=:|</t>
  </si>
  <si>
    <t xml:space="preserve">S270387 - Sin descripción (MARIA OLIVA)</t>
  </si>
  <si>
    <t xml:space="preserve">S270387</t>
  </si>
  <si>
    <t xml:space="preserve">__export__.sale_order_284796_9b8ddd8c</t>
  </si>
  <si>
    <t xml:space="preserve">__export__.product_product_283905_01814933</t>
  </si>
  <si>
    <t xml:space="preserve">SOFA HAMBURGO 3P DICOSTA GRIS (MATIZ NATURAL)</t>
  </si>
  <si>
    <t xml:space="preserve">HAMBURGO-3P</t>
  </si>
  <si>
    <t xml:space="preserve">MARIA ISABEL SANCHEZ</t>
  </si>
  <si>
    <t xml:space="preserve">S270386 - Sin descripción (MARIA ISABEL SANCHEZ)</t>
  </si>
  <si>
    <t xml:space="preserve">S270386</t>
  </si>
  <si>
    <t xml:space="preserve">__export__.sale_order_284794_2599cc68</t>
  </si>
  <si>
    <t xml:space="preserve">__export__.product_product_163247_71cf85fb</t>
  </si>
  <si>
    <t xml:space="preserve">MESA LYON JG4 BLANCO (MATIZ NATURAL)</t>
  </si>
  <si>
    <t xml:space="preserve">LYON-JG4</t>
  </si>
  <si>
    <t xml:space="preserve">JAMES RODRIGUEZ</t>
  </si>
  <si>
    <t xml:space="preserve">JAMESRODRIGUEZ_1231@HOTMAIL.COM</t>
  </si>
  <si>
    <t xml:space="preserve">S270384 - Sin descripción (JAMES RODRIGUEZ)</t>
  </si>
  <si>
    <t xml:space="preserve">S270384</t>
  </si>
  <si>
    <t xml:space="preserve">__export__.sale_order_284793_514c2557</t>
  </si>
  <si>
    <t xml:space="preserve">__export__.product_product_309300_47de7f33</t>
  </si>
  <si>
    <t xml:space="preserve">SOFA HAMBURGO 2P DUSTER BEIGE (MATIZ WENGUE)</t>
  </si>
  <si>
    <t xml:space="preserve">MATIZ-WENGUE</t>
  </si>
  <si>
    <t xml:space="preserve">WILMAR TANGARIFE</t>
  </si>
  <si>
    <t xml:space="preserve">S270383 - Sin descripción (WILMAR TANGARIFE)</t>
  </si>
  <si>
    <t xml:space="preserve">S270383</t>
  </si>
  <si>
    <t xml:space="preserve">__export__.sale_order_284792_553edb55</t>
  </si>
  <si>
    <t xml:space="preserve">PRODUCTO TERMINADO / DORMITORIO / MESA DE NOCHE</t>
  </si>
  <si>
    <t xml:space="preserve">__export__.product_product_309654_b36f8d78</t>
  </si>
  <si>
    <t xml:space="preserve">MESA DE NOCHE MOSCU CAJON BLANCO-TABACO (MATIZ CARAMELO)</t>
  </si>
  <si>
    <t xml:space="preserve">MESA-NOCHE</t>
  </si>
  <si>
    <t xml:space="preserve">MOSCU-CAJON</t>
  </si>
  <si>
    <t xml:space="preserve">BLANCO-TABACO</t>
  </si>
  <si>
    <t xml:space="preserve">MARITZA  DE HERNANDEZ</t>
  </si>
  <si>
    <t xml:space="preserve">S270382 - Sin descripción (MARITZA  DE HERNANDEZ)</t>
  </si>
  <si>
    <t xml:space="preserve">S270382</t>
  </si>
  <si>
    <t xml:space="preserve">__export__.sale_order_284790_dcc4c052</t>
  </si>
  <si>
    <t xml:space="preserve">PRODUCTO TERMINADO / OFICINA / ESCRITORIO</t>
  </si>
  <si>
    <t xml:space="preserve">__export__.product_product_187810_e7731583</t>
  </si>
  <si>
    <t xml:space="preserve">ESCRITORIO TAIRE DUNA (NEGRO)</t>
  </si>
  <si>
    <t xml:space="preserve">OFICINA</t>
  </si>
  <si>
    <t xml:space="preserve">ESCRITORIO</t>
  </si>
  <si>
    <t xml:space="preserve">TAIRE</t>
  </si>
  <si>
    <t xml:space="preserve">OTGLOBAL</t>
  </si>
  <si>
    <t xml:space="preserve">S270380 - Sin descripción (OTGLOBAL )</t>
  </si>
  <si>
    <t xml:space="preserve">S270380</t>
  </si>
  <si>
    <t xml:space="preserve">__export__.sale_order_284789_4116049d</t>
  </si>
  <si>
    <t xml:space="preserve">__export__.product_product_278387_8e8b7b40</t>
  </si>
  <si>
    <t xml:space="preserve">SOFA BARZA DORSEY TAUPE (MATIZ NATURAL)</t>
  </si>
  <si>
    <t xml:space="preserve">TAUPE</t>
  </si>
  <si>
    <t xml:space="preserve">JESSICA JOHANA  MONROY PEÃ¿A</t>
  </si>
  <si>
    <t xml:space="preserve">CARRERA 10 # 4 -60 BARRIO EL OBRERO APTO 201</t>
  </si>
  <si>
    <t xml:space="preserve">JESSMONROYR101@HOTMAIL.COM</t>
  </si>
  <si>
    <t xml:space="preserve">S270379 - Sin descripción (JESSICA JOHANA  MONROY PEÃ¿A)</t>
  </si>
  <si>
    <t xml:space="preserve">S270379</t>
  </si>
  <si>
    <t xml:space="preserve">__export__.product_product_278249_77db49f9</t>
  </si>
  <si>
    <t xml:space="preserve">POLTRONA BARZA DORSEY TAUPE (MATIZ NATURAL)</t>
  </si>
  <si>
    <t xml:space="preserve">__export__.sale_order_284698_06598f92</t>
  </si>
  <si>
    <t xml:space="preserve">__export__.product_product_296784_5527de45</t>
  </si>
  <si>
    <t xml:space="preserve">MESA VORU JG6 CEDRO</t>
  </si>
  <si>
    <t xml:space="preserve">VORU-JG6</t>
  </si>
  <si>
    <t xml:space="preserve">CEDRO</t>
  </si>
  <si>
    <t xml:space="preserve">JOHN URQUIJO OVIEDO</t>
  </si>
  <si>
    <t xml:space="preserve">JOHNURQUIJO@HOTMAIL.COM</t>
  </si>
  <si>
    <t xml:space="preserve">S270288 - Sin descripción (JOHN URQUIJO OVIEDO )</t>
  </si>
  <si>
    <t xml:space="preserve">S270288</t>
  </si>
  <si>
    <t xml:space="preserve">__export__.product_product_178398_bb382b1b</t>
  </si>
  <si>
    <t xml:space="preserve">SILLA VENECIA DUSTER PLATA</t>
  </si>
  <si>
    <t xml:space="preserve">VENECIA</t>
  </si>
  <si>
    <t xml:space="preserve">__export__.product_product_162601_9d465673</t>
  </si>
  <si>
    <t xml:space="preserve">BUTACO VIENA DUSTER PLATA (MATIZ CARAMELO)</t>
  </si>
  <si>
    <t xml:space="preserve">__export__.sale_order_284694_5c1460df</t>
  </si>
  <si>
    <t xml:space="preserve">__export__.product_product_332369_53c356e9</t>
  </si>
  <si>
    <t xml:space="preserve">POLTRONA DOMINIC DENVER PETROLEO (MATIZ NATURAL)</t>
  </si>
  <si>
    <t xml:space="preserve">DOMINIC</t>
  </si>
  <si>
    <t xml:space="preserve">JOSE FRANCISCO QUINTERO VIZCAINO</t>
  </si>
  <si>
    <t xml:space="preserve">VALLEDUPAR</t>
  </si>
  <si>
    <t xml:space="preserve">Cesar (CO)</t>
  </si>
  <si>
    <t xml:space="preserve">CL 37 A 5 A 136 AP 504 TO CONJUNTO CERRADO NIZA|:=:|TORRE 3 APARTAMENTO 504 CONJUNTO CERRADO NIZA</t>
  </si>
  <si>
    <t xml:space="preserve">S270284 - Sin descripción (JOSE FRANCISCO QUINTERO VIZCAINO )</t>
  </si>
  <si>
    <t xml:space="preserve">S270284</t>
  </si>
  <si>
    <t xml:space="preserve">__export__.sale_order_284692_073f66b6</t>
  </si>
  <si>
    <t xml:space="preserve">DIANA  CASTRO LIZARAZO</t>
  </si>
  <si>
    <t xml:space="preserve">AVENIDA 68 NO. 38-05 SUR</t>
  </si>
  <si>
    <t xml:space="preserve">PROV. ALM. RETIRO EN TIENDA</t>
  </si>
  <si>
    <t xml:space="preserve">S270282 - Sin descripción (DIANA  CASTRO LIZARAZO )</t>
  </si>
  <si>
    <t xml:space="preserve">LOGISTICA</t>
  </si>
  <si>
    <t xml:space="preserve">S270282</t>
  </si>
  <si>
    <t xml:space="preserve">__export__.sale_order_284689_e678dd1b</t>
  </si>
  <si>
    <t xml:space="preserve">__export__.product_product_179997_acd10bc4</t>
  </si>
  <si>
    <t xml:space="preserve">POLTRONA OSLO DUSTER ROJO (MATIZ NATURAL)</t>
  </si>
  <si>
    <t xml:space="preserve">OSLO</t>
  </si>
  <si>
    <t xml:space="preserve">ROJO</t>
  </si>
  <si>
    <t xml:space="preserve">FUNDACION  EDUCATIVA INTEGRAL</t>
  </si>
  <si>
    <t xml:space="preserve">POPAYAN</t>
  </si>
  <si>
    <t xml:space="preserve">Cauca (CO)</t>
  </si>
  <si>
    <t xml:space="preserve">POPAYAN,CARRERA 9 A 58 AN 04 |:=:|MORINDA</t>
  </si>
  <si>
    <t xml:space="preserve">341487-559178</t>
  </si>
  <si>
    <t xml:space="preserve">S270279 - Sin descripción (FUNDACION  EDUCATIVA INTEGRAL)</t>
  </si>
  <si>
    <t xml:space="preserve">S270279</t>
  </si>
  <si>
    <t xml:space="preserve">__export__.product_product_179982_24fd0404</t>
  </si>
  <si>
    <t xml:space="preserve">POLTRONA OSLO DUSTER AZUL (MATIZ NATURAL)</t>
  </si>
  <si>
    <t xml:space="preserve">__export__.sale_order_284687_1de6a0d6</t>
  </si>
  <si>
    <t xml:space="preserve">PARATODOYA SAS</t>
  </si>
  <si>
    <t xml:space="preserve">S270277 - Sin descripción (PARATODOYA SAS )</t>
  </si>
  <si>
    <t xml:space="preserve">S270277</t>
  </si>
  <si>
    <t xml:space="preserve">__export__.sale_order_284686_dc1de98c</t>
  </si>
  <si>
    <t xml:space="preserve">__export__.product_product_325809_33a10228</t>
  </si>
  <si>
    <t xml:space="preserve">SOFA HANNOVER 2P DICOSTA INDIGO (MATIZ CAOBA)</t>
  </si>
  <si>
    <t xml:space="preserve">EWDES ANDRES HERNANDEZ BASTILLA</t>
  </si>
  <si>
    <t xml:space="preserve">S270276 - Sin descripción (EWDES ANDRES HERNANDEZ BASTILLA)</t>
  </si>
  <si>
    <t xml:space="preserve">S270276</t>
  </si>
  <si>
    <t xml:space="preserve">__export__.sale_order_284685_28feb880</t>
  </si>
  <si>
    <t xml:space="preserve">__export__.product_product_177107_4c891aa0</t>
  </si>
  <si>
    <t xml:space="preserve">SOFA SION DUSTER PLATA (MATIZ NATURAL)</t>
  </si>
  <si>
    <t xml:space="preserve">SION</t>
  </si>
  <si>
    <t xml:space="preserve">JOSE ALEJANDRO MUÑOZ</t>
  </si>
  <si>
    <t xml:space="preserve">S270275 - Sin descripción (JOSE ALEJANDRO MUÑOZ)</t>
  </si>
  <si>
    <t xml:space="preserve">S270275</t>
  </si>
  <si>
    <t xml:space="preserve">__export__.sale_order_284684_7e866111</t>
  </si>
  <si>
    <t xml:space="preserve">__export__.product_product_245610_e77a913e</t>
  </si>
  <si>
    <t xml:space="preserve">MESA ORION JG6 DUNA (METALICA LISO NEGRO)</t>
  </si>
  <si>
    <t xml:space="preserve">ORION-JG6</t>
  </si>
  <si>
    <t xml:space="preserve">GERMAN PADILLA</t>
  </si>
  <si>
    <t xml:space="preserve">SAN MARTIN</t>
  </si>
  <si>
    <t xml:space="preserve">Meta (CO)</t>
  </si>
  <si>
    <t xml:space="preserve">CALLE 8 #8-95  |:=:|BARRIO PRIMAVERA</t>
  </si>
  <si>
    <t xml:space="preserve">S270274 - Sin descripción (GERMAN PADILLA)</t>
  </si>
  <si>
    <t xml:space="preserve">S270274</t>
  </si>
  <si>
    <t xml:space="preserve">__export__.sale_order_284683_767f2716</t>
  </si>
  <si>
    <t xml:space="preserve">__export__.product_product_239898_f2d4cd48</t>
  </si>
  <si>
    <t xml:space="preserve">BUTACO LIVERPOOL DENVER TAUPE (MATIZ NATURAL)</t>
  </si>
  <si>
    <t xml:space="preserve">EDGAR FRANCISCO AVILA ROJAS</t>
  </si>
  <si>
    <t xml:space="preserve">DIRECTOR.VIVENCIAS@GMAIL.COM</t>
  </si>
  <si>
    <t xml:space="preserve">S270273 - Sin descripción (EDGAR FRANCISCO AVILA ROJAS)</t>
  </si>
  <si>
    <t xml:space="preserve">S270273</t>
  </si>
  <si>
    <t xml:space="preserve">__export__.sale_order_284546_12492594</t>
  </si>
  <si>
    <t xml:space="preserve">__export__.product_product_324198_0a4eae53</t>
  </si>
  <si>
    <t xml:space="preserve">SOFA PENSILVANIA OMEGA PLATA (MATIZ CAOBA)</t>
  </si>
  <si>
    <t xml:space="preserve">PENSILVANIA</t>
  </si>
  <si>
    <t xml:space="preserve">OMEGA</t>
  </si>
  <si>
    <t xml:space="preserve">HELEM ALEJANDRA SANCHEZ</t>
  </si>
  <si>
    <t xml:space="preserve">HELEMALEJANDRA@GMAIL.COM</t>
  </si>
  <si>
    <t xml:space="preserve">S270136 - Sin descripción (HELEM ALEJANDRA SANCHEZ)</t>
  </si>
  <si>
    <t xml:space="preserve">S270136</t>
  </si>
  <si>
    <t xml:space="preserve">__export__.sale_order_284574_eeecf32e</t>
  </si>
  <si>
    <t xml:space="preserve">FL.COM</t>
  </si>
  <si>
    <t xml:space="preserve">__export__.product_product_175097_28ff392c</t>
  </si>
  <si>
    <t xml:space="preserve">SOFA GALES DUSTER PLATA (MATIZ NATURAL)</t>
  </si>
  <si>
    <t xml:space="preserve">GALES</t>
  </si>
  <si>
    <t xml:space="preserve">RENÉ ALEJANDRO ESPINOSA</t>
  </si>
  <si>
    <t xml:space="preserve">LOS MÁRTIRES                  </t>
  </si>
  <si>
    <t xml:space="preserve">calle 1 # 29-57  apto 302</t>
  </si>
  <si>
    <t xml:space="preserve">S270164 - Sin descripción (RENÉ ALEJANDRO ESPINOSA                                                                     )</t>
  </si>
  <si>
    <t xml:space="preserve">CL 99 11 A 32</t>
  </si>
  <si>
    <t xml:space="preserve">+57 310 5519108</t>
  </si>
  <si>
    <t xml:space="preserve">FALABELLA</t>
  </si>
  <si>
    <t xml:space="preserve">900.017.447-8</t>
  </si>
  <si>
    <t xml:space="preserve">S270164</t>
  </si>
  <si>
    <t xml:space="preserve">4 ROTTERDAN</t>
  </si>
  <si>
    <t xml:space="preserve">__export__.product_product_163193_38b656b4</t>
  </si>
  <si>
    <t xml:space="preserve">MESA LUGO MATIZ JG4 BLANCO (MATIZ NATURAL)</t>
  </si>
  <si>
    <t xml:space="preserve">LUGO-MATIZ-JG4</t>
  </si>
  <si>
    <t xml:space="preserve">__export__.product_product_173672_a3399dab</t>
  </si>
  <si>
    <t xml:space="preserve">SILLA VIENA DUSTER PLATA (METALICA NATURAL)</t>
  </si>
  <si>
    <t xml:space="preserve">__export__.product_product_162590_82bfee0b</t>
  </si>
  <si>
    <t xml:space="preserve">BUTACO VIENA DUSTER AZUL (MATIZ NATURAL)</t>
  </si>
  <si>
    <t xml:space="preserve">__export__.sale_order_284569_c2e0ca54</t>
  </si>
  <si>
    <t xml:space="preserve">__export__.product_product_175652_88812615</t>
  </si>
  <si>
    <t xml:space="preserve">SOFA MONTECARLO DICOSTA BEIGE (MATIZ NATURAL)</t>
  </si>
  <si>
    <t xml:space="preserve">LILIANA CASTRO</t>
  </si>
  <si>
    <t xml:space="preserve">BOGOTÁ D.C.                   </t>
  </si>
  <si>
    <t xml:space="preserve">Carrera 14A#151A-39  Apto 801 torre 1</t>
  </si>
  <si>
    <t xml:space="preserve">5639390-72801065</t>
  </si>
  <si>
    <t xml:space="preserve">S270159 - Sin descripción (LILIANA CASTRO                                                                              )</t>
  </si>
  <si>
    <t xml:space="preserve">S270159</t>
  </si>
  <si>
    <t xml:space="preserve">__export__.sale_order_284559_9cc4a2bc</t>
  </si>
  <si>
    <t xml:space="preserve">FINANCIAL AND RISK CONSULTING SAS</t>
  </si>
  <si>
    <t xml:space="preserve">USAQUÉN                       </t>
  </si>
  <si>
    <t xml:space="preserve">Carrera 7 Bis A # 124 70  Apto 402</t>
  </si>
  <si>
    <t xml:space="preserve">S270149 - Sin descripción (FINANCIAL AND RISK CONSULTING SAS                                                           )</t>
  </si>
  <si>
    <t xml:space="preserve">S270149</t>
  </si>
  <si>
    <t xml:space="preserve">__export__.sale_order_284544_710b97a4</t>
  </si>
  <si>
    <t xml:space="preserve">__export__.product_product_176870_c52e25b7</t>
  </si>
  <si>
    <t xml:space="preserve">SOFA PORTO DICOSTA INDIGO (MATIZ NATURAL)</t>
  </si>
  <si>
    <t xml:space="preserve">PORTO</t>
  </si>
  <si>
    <t xml:space="preserve">VALENTINA RAMIREZ CORREA</t>
  </si>
  <si>
    <t xml:space="preserve">PEREIRA</t>
  </si>
  <si>
    <t xml:space="preserve">Risaralda (CO)</t>
  </si>
  <si>
    <t xml:space="preserve">SAMARIA 1 MANZANA 4 CASA 25 PISO 3</t>
  </si>
  <si>
    <t xml:space="preserve">S270134 - Sin descripción (VALENTINA RAMIREZ CORREA)</t>
  </si>
  <si>
    <t xml:space="preserve">S270134</t>
  </si>
  <si>
    <t xml:space="preserve">__export__.product_product_180156_9c06f215</t>
  </si>
  <si>
    <t xml:space="preserve">POLTRONA PORTO DICOSTA INDIGO (MATIZ NATURAL)</t>
  </si>
  <si>
    <t xml:space="preserve">__export__.product_product_185863_6c19fa6b</t>
  </si>
  <si>
    <t xml:space="preserve">PUFF PORTO DICOSTA INDIGO (MATIZ NATURAL)</t>
  </si>
  <si>
    <t xml:space="preserve">__export__.product_product_187099_4a580d03</t>
  </si>
  <si>
    <t xml:space="preserve">MESA DE CENTRO NOVA BLANCO (MATIZ NATURAL)</t>
  </si>
  <si>
    <t xml:space="preserve">NOVA</t>
  </si>
  <si>
    <t xml:space="preserve">__export__.sale_order_284543_4ebbabb6</t>
  </si>
  <si>
    <t xml:space="preserve">__export__.product_product_286722_df109ec9</t>
  </si>
  <si>
    <t xml:space="preserve">CUADRO PERRO CARA PINTADO L (60X60)</t>
  </si>
  <si>
    <t xml:space="preserve">PERRO-CARA-PINTADO-L-(60X60)</t>
  </si>
  <si>
    <t xml:space="preserve">JONATHAN MORENO</t>
  </si>
  <si>
    <t xml:space="preserve">S270133 - Sin descripción (JONATHAN MORENO)</t>
  </si>
  <si>
    <t xml:space="preserve">S270133</t>
  </si>
  <si>
    <t xml:space="preserve">__export__.sale_order_284542_7f42df56</t>
  </si>
  <si>
    <t xml:space="preserve">__export__.product_product_332733_db845b0e</t>
  </si>
  <si>
    <t xml:space="preserve">SOFA DOMINIC DICOSTA TAUPE (MATIZ NATURAL)</t>
  </si>
  <si>
    <t xml:space="preserve">CARLOS ROJAS</t>
  </si>
  <si>
    <t xml:space="preserve">S270132 - Sin descripción (CARLOS ROJAS)</t>
  </si>
  <si>
    <t xml:space="preserve">S270132</t>
  </si>
  <si>
    <t xml:space="preserve">__export__.sale_order_284541_fd071203</t>
  </si>
  <si>
    <t xml:space="preserve">__export__.product_product_332361_1132f405</t>
  </si>
  <si>
    <t xml:space="preserve">POLTRONA DOMINIC DENVER GRIS (MATIZ NATURAL)</t>
  </si>
  <si>
    <t xml:space="preserve">LINA ACEVEDO</t>
  </si>
  <si>
    <t xml:space="preserve">LINAACE@GMAIL.COM</t>
  </si>
  <si>
    <t xml:space="preserve">S270131 - Sin descripción (LINA ACEVEDO)</t>
  </si>
  <si>
    <t xml:space="preserve">S270131</t>
  </si>
  <si>
    <t xml:space="preserve">__export__.sale_order_284540_31a65f62</t>
  </si>
  <si>
    <t xml:space="preserve">PRODUCTO TERMINADO / INFANTIL</t>
  </si>
  <si>
    <t xml:space="preserve">__export__.product_product_328393_0d44fb6a</t>
  </si>
  <si>
    <t xml:space="preserve">CAMA INFANTIL TWIST LADO DERECHO DICOSTA TRIGO (MATIZ NATURAL)</t>
  </si>
  <si>
    <t xml:space="preserve">CAMA</t>
  </si>
  <si>
    <t xml:space="preserve">INFANTIL-TWIST-LADO-DERECHO</t>
  </si>
  <si>
    <t xml:space="preserve">JUAN MONSALVE</t>
  </si>
  <si>
    <t xml:space="preserve">S270130 - Sin descripción (JUAN MONSALVE)</t>
  </si>
  <si>
    <t xml:space="preserve">S270130</t>
  </si>
  <si>
    <t xml:space="preserve">__export__.sale_order_284539_77dfd240</t>
  </si>
  <si>
    <t xml:space="preserve">__export__.product_product_206911_f60f3610</t>
  </si>
  <si>
    <t xml:space="preserve">SOFA PORTO DENVER GRIS (MATIZ NATURAL)</t>
  </si>
  <si>
    <t xml:space="preserve">TATIANA SILVA</t>
  </si>
  <si>
    <t xml:space="preserve">TATIS.SILVA@HOTMAIL.COM</t>
  </si>
  <si>
    <t xml:space="preserve">S270129 - Sin descripción (TATIANA SILVA)</t>
  </si>
  <si>
    <t xml:space="preserve">S270129</t>
  </si>
  <si>
    <t xml:space="preserve">__export__.sale_order_284538_3ea35de4</t>
  </si>
  <si>
    <t xml:space="preserve">__export__.product_product_306587_b9912c58</t>
  </si>
  <si>
    <t xml:space="preserve">SOFA LISBOA 2P DENVER PLATA (MATIZ NATURAL)</t>
  </si>
  <si>
    <t xml:space="preserve">LISBOA-2P</t>
  </si>
  <si>
    <t xml:space="preserve">OBRAS CIVILES Y ACABADOS RV SAS VILLA GALEANO</t>
  </si>
  <si>
    <t xml:space="preserve">OBRASCIVILESYACABADOSRV@HOTMAIL.COM</t>
  </si>
  <si>
    <t xml:space="preserve">S270128 - Sin descripción (OBRAS CIVILES Y ACABADOS RV SAS VILLA GALEANO )</t>
  </si>
  <si>
    <t xml:space="preserve">S270128</t>
  </si>
  <si>
    <t xml:space="preserve">__export__.sale_order_284537_e694ff43</t>
  </si>
  <si>
    <t xml:space="preserve">PRODUCTO TERMINADO / DORMITORIO / BASECAMA</t>
  </si>
  <si>
    <t xml:space="preserve">__export__.product_product_159911_643b39a5</t>
  </si>
  <si>
    <t xml:space="preserve">BASECAMA VERONA KING NAKANO TAUPE (MATIZ NATURAL)</t>
  </si>
  <si>
    <t xml:space="preserve">BASECAMA</t>
  </si>
  <si>
    <t xml:space="preserve">VERONA-KING</t>
  </si>
  <si>
    <t xml:space="preserve">NAKANO</t>
  </si>
  <si>
    <t xml:space="preserve">LUIS ROBERTO  MARTINEZ MUÑOZ</t>
  </si>
  <si>
    <t xml:space="preserve">S270127 - Sin descripción (LUIS ROBERTO  MARTINEZ MUÑOZ )</t>
  </si>
  <si>
    <t xml:space="preserve">S270127</t>
  </si>
  <si>
    <t xml:space="preserve">__export__.sale_order_284536_10ffce3f</t>
  </si>
  <si>
    <t xml:space="preserve">__export__.product_product_323839_b4b92e08</t>
  </si>
  <si>
    <t xml:space="preserve">SOFA ROMA SKY TAUPE (MATIZ NATURAL)</t>
  </si>
  <si>
    <t xml:space="preserve">JULIETA IDARRAGA</t>
  </si>
  <si>
    <t xml:space="preserve">CALLE 48#19-100, CS 71 LA CASTELLANA</t>
  </si>
  <si>
    <t xml:space="preserve">S270126 - Sin descripción (JULIETA IDARRAGA)</t>
  </si>
  <si>
    <t xml:space="preserve">S270126</t>
  </si>
  <si>
    <t xml:space="preserve">__export__.product_product_188034_39478741</t>
  </si>
  <si>
    <t xml:space="preserve">MESA DE CENTRO MONTREAL ENTAMBORADA GRANDE BLANCO</t>
  </si>
  <si>
    <t xml:space="preserve">MONTREAL-ENTAMBORADA-GRANDE</t>
  </si>
  <si>
    <t xml:space="preserve">__export__.sale_order_284535_1d1516a4</t>
  </si>
  <si>
    <t xml:space="preserve">PRODUCTO TERMINADO / DORMITORIO / CABECERO</t>
  </si>
  <si>
    <t xml:space="preserve">__export__.product_product_291160_edf44ffb</t>
  </si>
  <si>
    <t xml:space="preserve">CABECERO CAPITONEADO VERSALLES DOBLE DENVER NEGRO (MATIZ NATURAL)</t>
  </si>
  <si>
    <t xml:space="preserve">CABECERO-CAPITONEADO</t>
  </si>
  <si>
    <t xml:space="preserve">VERSALLES-DOBLE</t>
  </si>
  <si>
    <t xml:space="preserve">MARDEY  SIERRA</t>
  </si>
  <si>
    <t xml:space="preserve">S270125 - Sin descripción (MARDEY  SIERRA)</t>
  </si>
  <si>
    <t xml:space="preserve">S270125</t>
  </si>
  <si>
    <t xml:space="preserve">__export__.sale_order_284534_e5e56013</t>
  </si>
  <si>
    <t xml:space="preserve">PRODUCTO TERMINADO / DORMITORIO / CAMA</t>
  </si>
  <si>
    <t xml:space="preserve">__export__.product_product_286661_d9e8cf9b</t>
  </si>
  <si>
    <t xml:space="preserve">CAMACUNA CINCINNATI BLANCO (MATIZ NATURAL)</t>
  </si>
  <si>
    <t xml:space="preserve">CAMACUNA-CINCINNATI</t>
  </si>
  <si>
    <t xml:space="preserve">TRINIDAD GUERRERO</t>
  </si>
  <si>
    <t xml:space="preserve">RIONEGRO</t>
  </si>
  <si>
    <t xml:space="preserve">Antioquia (CO)</t>
  </si>
  <si>
    <t xml:space="preserve">VEREDA QUIRAMA PARCELACION LAGOS DEL CHAMIZO CASA  |:=:|FRENTE A LA UNIVERSIDAD DE ANTIOQUIA SECCIONAL ORIENTE, ENTRAR POR EL PARADERO DE BUSES</t>
  </si>
  <si>
    <t xml:space="preserve">TRINYGUERRERO@HOTMAIL.COM</t>
  </si>
  <si>
    <t xml:space="preserve">S270124 - Sin descripción (TRINIDAD GUERRERO )</t>
  </si>
  <si>
    <t xml:space="preserve">S270124</t>
  </si>
  <si>
    <t xml:space="preserve">__export__.sale_order_284533_bef78124</t>
  </si>
  <si>
    <t xml:space="preserve">PRODUCTO TERMINADO / SALAS / CHAISE</t>
  </si>
  <si>
    <t xml:space="preserve">__export__.product_product_186703_bf5d78bb</t>
  </si>
  <si>
    <t xml:space="preserve">CHAISE NAVARA DUSTER PLATA (MATIZ NATURAL)</t>
  </si>
  <si>
    <t xml:space="preserve">CHAISE</t>
  </si>
  <si>
    <t xml:space="preserve">NAVARA</t>
  </si>
  <si>
    <t xml:space="preserve">OSIRIA MACEBO</t>
  </si>
  <si>
    <t xml:space="preserve">ARMENIA</t>
  </si>
  <si>
    <t xml:space="preserve">Quindío (CO)</t>
  </si>
  <si>
    <t xml:space="preserve">CR 20 3 NORTE 00 TO 6 AP 105 PARQUE RESIDENCIAL DEL CAFE|:=:|TORRE 6 APT 105 PARQUE RESIDENCIAL DEL CAFÉ</t>
  </si>
  <si>
    <t xml:space="preserve">S270123 - Sin descripción (OSIRIA MACEBO)</t>
  </si>
  <si>
    <t xml:space="preserve">S270123</t>
  </si>
  <si>
    <t xml:space="preserve">__export__.sale_order_284532_795e9f94</t>
  </si>
  <si>
    <t xml:space="preserve">__export__.product_product_327179_e046e2db</t>
  </si>
  <si>
    <t xml:space="preserve">CAMA LENNON QUEEN SKY PLATA</t>
  </si>
  <si>
    <t xml:space="preserve">LENNON-QUEEN</t>
  </si>
  <si>
    <t xml:space="preserve">MARIA OSORIO GONZALEZ</t>
  </si>
  <si>
    <t xml:space="preserve">AVENIDA CARRERA 14 #160-90</t>
  </si>
  <si>
    <t xml:space="preserve">S270122 - Sin descripción (MARIA OSORIO GONZALEZ)</t>
  </si>
  <si>
    <t xml:space="preserve">S270122</t>
  </si>
  <si>
    <t xml:space="preserve">__export__.sale_order_284531_de7bddca</t>
  </si>
  <si>
    <t xml:space="preserve">__export__.product_product_173870_2261e5ee</t>
  </si>
  <si>
    <t xml:space="preserve">SOFA BARZA DICOSTA TAUPE (MATIZ NATURAL)</t>
  </si>
  <si>
    <t xml:space="preserve">ANGELA GARCIA</t>
  </si>
  <si>
    <t xml:space="preserve">ANGELAGT022@GMAIL.COM</t>
  </si>
  <si>
    <t xml:space="preserve">S270121 - Sin descripción (ANGELA GARCIA)</t>
  </si>
  <si>
    <t xml:space="preserve">S270121</t>
  </si>
  <si>
    <t xml:space="preserve">__export__.sale_order_284548_18dece32</t>
  </si>
  <si>
    <t xml:space="preserve">__export__.product_product_207968_048862ea</t>
  </si>
  <si>
    <t xml:space="preserve">SOFA MUNICH DENVER GRIS (MATIZ NATURAL)</t>
  </si>
  <si>
    <t xml:space="preserve">MUNICH</t>
  </si>
  <si>
    <t xml:space="preserve">HOFFMAN OLAYA</t>
  </si>
  <si>
    <t xml:space="preserve">SUBA                          </t>
  </si>
  <si>
    <t xml:space="preserve">calle 134 bis 89 a 05 casa 71  Quintas de provenza</t>
  </si>
  <si>
    <t xml:space="preserve">S270138 - Sin descripción (HOFFMAN OLAYA                                                                               )</t>
  </si>
  <si>
    <t xml:space="preserve">S270138</t>
  </si>
  <si>
    <t xml:space="preserve">__export__.sale_order_284525_24d82f14</t>
  </si>
  <si>
    <t xml:space="preserve">__export__.product_product_326075_d3400b7f</t>
  </si>
  <si>
    <t xml:space="preserve">SALA BETHEL L DERECHA DENVER CHOCOLATE (MADERA CROMO)</t>
  </si>
  <si>
    <t xml:space="preserve">BETHEL-L-DERECHA</t>
  </si>
  <si>
    <t xml:space="preserve">MADERA-CROMO</t>
  </si>
  <si>
    <t xml:space="preserve">JORGE  LAVERDE</t>
  </si>
  <si>
    <t xml:space="preserve">S270115 - Sin descripción (JORGE  LAVERDE)</t>
  </si>
  <si>
    <t xml:space="preserve">S270115</t>
  </si>
  <si>
    <t xml:space="preserve">__export__.sale_order_284519_b601a5da</t>
  </si>
  <si>
    <t xml:space="preserve">CER S.A.S.</t>
  </si>
  <si>
    <t xml:space="preserve">S270109 - Sin descripción (CER S.A.S.)</t>
  </si>
  <si>
    <t xml:space="preserve">S270109</t>
  </si>
  <si>
    <t xml:space="preserve">__export__.sale_order_284313_fb4b97d6</t>
  </si>
  <si>
    <t xml:space="preserve">__export__.product_product_320139_56627e89</t>
  </si>
  <si>
    <t xml:space="preserve">SOFA BOSNIA DICOSTA INDIGO</t>
  </si>
  <si>
    <t xml:space="preserve">BOSNIA</t>
  </si>
  <si>
    <t xml:space="preserve">JORGE GAVIRIA</t>
  </si>
  <si>
    <t xml:space="preserve">LA CEJA</t>
  </si>
  <si>
    <t xml:space="preserve">CALLE 6 # 18-96|:=:|</t>
  </si>
  <si>
    <t xml:space="preserve">JORGEGAVIRIA31@GMAIL.COM</t>
  </si>
  <si>
    <t xml:space="preserve">S269899 - Sin descripción (JORGE GAVIRIA)</t>
  </si>
  <si>
    <t xml:space="preserve">S269899</t>
  </si>
  <si>
    <t xml:space="preserve">__export__.sale_order_283797_e0befc7d</t>
  </si>
  <si>
    <t xml:space="preserve">EL201-ML</t>
  </si>
  <si>
    <t xml:space="preserve">__export__.product_product_332693_3c7d1bed</t>
  </si>
  <si>
    <t xml:space="preserve">SOFA DOMINIC DICOSTA BEIGE (MATIZ NATURAL)</t>
  </si>
  <si>
    <t xml:space="preserve">LEOPOLDO VASQUEZ</t>
  </si>
  <si>
    <t xml:space="preserve">BOGOTÁ D.C.</t>
  </si>
  <si>
    <t xml:space="preserve">CARRERA 9A 113-87 303 REFERENCIA: REALMENTE LA DIRECCIÓN ESTÁ EN LA ESQUINA DE LA CR 9A CON CALLE 115 - SANTA ANA, USAQUÉN</t>
  </si>
  <si>
    <t xml:space="preserve">+57 315 3120251</t>
  </si>
  <si>
    <t xml:space="preserve">NO REGISTRA</t>
  </si>
  <si>
    <t xml:space="preserve">S269383 - SOFA DOMINIC DICOSTA BEIGE (MATIZ NATURAL) (LEOPOLDO VASQUEZ)</t>
  </si>
  <si>
    <t xml:space="preserve">S269383</t>
  </si>
  <si>
    <t xml:space="preserve">S269383 - FLETE ENVIO GARANTIA (LEOPOLDO VASQUEZ)</t>
  </si>
  <si>
    <t xml:space="preserve">S269383 - FLETE RECOLECCION GARANTIA (LEOPOLDO VASQUEZ)</t>
  </si>
  <si>
    <t xml:space="preserve">__export__.sale_order_283709_3d4eb94f</t>
  </si>
  <si>
    <t xml:space="preserve">TB438</t>
  </si>
  <si>
    <t xml:space="preserve">TRABAJADOR</t>
  </si>
  <si>
    <t xml:space="preserve">GUTIERREZ LOPEZ NEIDER JAVIER</t>
  </si>
  <si>
    <t xml:space="preserve">SALDO PARA DESPACHO $479.900</t>
  </si>
  <si>
    <t xml:space="preserve">BODEGA</t>
  </si>
  <si>
    <t xml:space="preserve">+57 317 7429418</t>
  </si>
  <si>
    <t xml:space="preserve">PD13049 (TB438)</t>
  </si>
  <si>
    <t xml:space="preserve">S269295 - MESA LYON JG4 BLANCO (MATIZ NATURAL) (GUTIERREZ LOPEZ NEIDER JAVIER)</t>
  </si>
  <si>
    <t xml:space="preserve">S269295</t>
  </si>
  <si>
    <t xml:space="preserve">__export__.product_product_334610_af3f7526</t>
  </si>
  <si>
    <t xml:space="preserve">SILLA LYON SKY GRIS</t>
  </si>
  <si>
    <t xml:space="preserve">LYON</t>
  </si>
  <si>
    <t xml:space="preserve">S269295 - SILLA LYON SKY GRIS (GUTIERREZ LOPEZ NEIDER JAVIER)</t>
  </si>
  <si>
    <t xml:space="preserve">__export__.product_product_334611_5da10f0c</t>
  </si>
  <si>
    <t xml:space="preserve">SILLA LYON SKY BEIGE</t>
  </si>
  <si>
    <t xml:space="preserve">S269295 - SILLA LYON SKY BEIGE (GUTIERREZ LOPEZ NEIDER JAVIER)</t>
  </si>
  <si>
    <t xml:space="preserve">__export__.product_product_324816_f78bc542</t>
  </si>
  <si>
    <t xml:space="preserve">SOFA PORTO SKY GRIS (MATIZ NATURAL)</t>
  </si>
  <si>
    <t xml:space="preserve">S269295 - SOFA PORTO SKY GRIS (MATIZ NATURAL) (GUTIERREZ LOPEZ NEIDER JAVIER)</t>
  </si>
  <si>
    <t xml:space="preserve">__export__.sale_order_283899_b34022fd</t>
  </si>
  <si>
    <t xml:space="preserve">EXITO</t>
  </si>
  <si>
    <t xml:space="preserve">__export__.product_product_317481_fb26fde4</t>
  </si>
  <si>
    <t xml:space="preserve">CABECERO CAPITONEADO VARNA DOBLE DENVER PLATA (MATIZ NATURAL)</t>
  </si>
  <si>
    <t xml:space="preserve">YENNI PABON</t>
  </si>
  <si>
    <t xml:space="preserve">LA MESA </t>
  </si>
  <si>
    <t xml:space="preserve">Calle 9 # 26D - 85 Manzana 2 Casa 18 Conjunto El Refugio</t>
  </si>
  <si>
    <t xml:space="preserve">S269485 - Sin descripción (YENNI PABON)</t>
  </si>
  <si>
    <t xml:space="preserve">Colchones Total Comfort</t>
  </si>
  <si>
    <t xml:space="preserve">S269485</t>
  </si>
  <si>
    <t xml:space="preserve">__export__.sale_order_283883_c2289524</t>
  </si>
  <si>
    <t xml:space="preserve">__export__.product_product_245343_df9a25a3</t>
  </si>
  <si>
    <t xml:space="preserve">MESA TORONTO JG4 MATIZ NATURAL</t>
  </si>
  <si>
    <t xml:space="preserve">TORONTO-JG4</t>
  </si>
  <si>
    <t xml:space="preserve">ALMAGRICOLA SAS</t>
  </si>
  <si>
    <t xml:space="preserve">CESAR@ALMAGRICOLA.COM</t>
  </si>
  <si>
    <t xml:space="preserve">S269469 - Sin descripción (ALMAGRICOLA SAS)</t>
  </si>
  <si>
    <t xml:space="preserve">S269469</t>
  </si>
  <si>
    <t xml:space="preserve">__export__.product_product_173651_89bc3b78</t>
  </si>
  <si>
    <t xml:space="preserve">SILLA VIENA DICOSTA TAUPE (METALICA NATURAL)</t>
  </si>
  <si>
    <t xml:space="preserve">__export__.sale_order_283879_b2e68158</t>
  </si>
  <si>
    <t xml:space="preserve">__export__.product_product_332860_09a5759c</t>
  </si>
  <si>
    <t xml:space="preserve">SOFA TOGO 2P SKY GRIS (METALICA LISO NEGRO)</t>
  </si>
  <si>
    <t xml:space="preserve">TOGO-2P</t>
  </si>
  <si>
    <t xml:space="preserve">LUCAS AREIZA RUA</t>
  </si>
  <si>
    <t xml:space="preserve">CALLE 43 NO 54 - 139 C CIAL  SAN NICOLAS</t>
  </si>
  <si>
    <t xml:space="preserve">S269465 - Sin descripción (LUCAS AREIZA RUA)</t>
  </si>
  <si>
    <t xml:space="preserve">S269465</t>
  </si>
  <si>
    <t xml:space="preserve">__export__.product_product_332862_7c25f8fd</t>
  </si>
  <si>
    <t xml:space="preserve">PUFF TOGO 2P SKY GRIS (METALICA LISO NEGRO)</t>
  </si>
  <si>
    <t xml:space="preserve">__export__.sale_order_283877_010e35f8</t>
  </si>
  <si>
    <t xml:space="preserve">__export__.product_product_176708_647005ae</t>
  </si>
  <si>
    <t xml:space="preserve">SOFA OSLO DUSTER GRIS (MATIZ NATURAL)</t>
  </si>
  <si>
    <t xml:space="preserve">KEYLIS YISELL MEJIA DIAZ</t>
  </si>
  <si>
    <t xml:space="preserve">TRANSVERSAL 19  3  150</t>
  </si>
  <si>
    <t xml:space="preserve">KEYLISMEJIADIAZ@GMAIL.COM</t>
  </si>
  <si>
    <t xml:space="preserve">S269463 - Sin descripción (KEYLIS YISELL MEJIA DIAZ)</t>
  </si>
  <si>
    <t xml:space="preserve">S269463</t>
  </si>
  <si>
    <t xml:space="preserve">__export__.sale_order_283649_30628937</t>
  </si>
  <si>
    <t xml:space="preserve">HVM26483</t>
  </si>
  <si>
    <t xml:space="preserve">INVENTARIO HOGAR VENECIA</t>
  </si>
  <si>
    <t xml:space="preserve">__export__.product_product_331757_8f02b648</t>
  </si>
  <si>
    <t xml:space="preserve">SOFA DOMINIC DENVER PLATA (MATIZ NATURAL)</t>
  </si>
  <si>
    <t xml:space="preserve">HVM384</t>
  </si>
  <si>
    <t xml:space="preserve">S269235 - Sin descripción (INVENTARIO HOGAR VENECIA)</t>
  </si>
  <si>
    <t xml:space="preserve">S269235</t>
  </si>
  <si>
    <t xml:space="preserve">9 INVENTARIO</t>
  </si>
  <si>
    <t xml:space="preserve">__export__.sale_order_283648_6d9ef37e</t>
  </si>
  <si>
    <t xml:space="preserve">HVM26482</t>
  </si>
  <si>
    <t xml:space="preserve">S269234 - Sin descripción (INVENTARIO HOGAR VENECIA)</t>
  </si>
  <si>
    <t xml:space="preserve">S269234</t>
  </si>
  <si>
    <t xml:space="preserve">__export__.sale_order_283775_8ae7fec5</t>
  </si>
  <si>
    <t xml:space="preserve">__export__.product_product_239224_4cc97ade</t>
  </si>
  <si>
    <t xml:space="preserve">POLTRONA BALTIMORE DICOSTA MOSTAZA (MATIZ NATURAL)</t>
  </si>
  <si>
    <t xml:space="preserve">BALTIMORE</t>
  </si>
  <si>
    <t xml:space="preserve">NAHOMY TORRES</t>
  </si>
  <si>
    <t xml:space="preserve">SABANETA</t>
  </si>
  <si>
    <t xml:space="preserve">CALLE 75 B SUR #38-05 APTO307 TORRE 2</t>
  </si>
  <si>
    <t xml:space="preserve">LISSETHNAHOMY07@GMAIL.COM</t>
  </si>
  <si>
    <t xml:space="preserve">S269361 - Sin descripción (NAHOMY TORRES)</t>
  </si>
  <si>
    <t xml:space="preserve">S269361</t>
  </si>
  <si>
    <t xml:space="preserve">2 DIC</t>
  </si>
  <si>
    <t xml:space="preserve">__export__.sale_order_283769_8f354379</t>
  </si>
  <si>
    <t xml:space="preserve">__export__.product_product_286664_727824ec</t>
  </si>
  <si>
    <t xml:space="preserve">CAMAROTE MAKALU BLANCO (MATIZ NATURAL)</t>
  </si>
  <si>
    <t xml:space="preserve">CAMAROTE-MAKALU</t>
  </si>
  <si>
    <t xml:space="preserve">MARÍA DEL PILAR VÁSQUEZ LAMBIS</t>
  </si>
  <si>
    <t xml:space="preserve">CARTAGENA                     </t>
  </si>
  <si>
    <t xml:space="preserve">Bolívar (CO)</t>
  </si>
  <si>
    <t xml:space="preserve">Pozon sector primero de mayo M69 Lt 5  Casa 1</t>
  </si>
  <si>
    <t xml:space="preserve">S269355 - Sin descripción (MARÍA DEL PILAR VÁSQUEZ LAMBIS                                                              )</t>
  </si>
  <si>
    <t xml:space="preserve">S269355</t>
  </si>
  <si>
    <t xml:space="preserve">__export__.sale_order_283768_4b8c354d</t>
  </si>
  <si>
    <t xml:space="preserve">__export__.product_product_180372_e726def1</t>
  </si>
  <si>
    <t xml:space="preserve">POLTRONA SION DICOSTA TAUPE (MATIZ NATURAL)</t>
  </si>
  <si>
    <t xml:space="preserve">ALAN CAMILO TOBÓN VILLEGAS</t>
  </si>
  <si>
    <t xml:space="preserve">FACATATIVÁ                    </t>
  </si>
  <si>
    <t xml:space="preserve">Avenida Cundinamarca Vía Ecopetrol KM 1  Torre del Vigía B-310</t>
  </si>
  <si>
    <t xml:space="preserve">S269354 - Sin descripción (ALAN CAMILO TOBÓN VILLEGAS                                                                  )</t>
  </si>
  <si>
    <t xml:space="preserve">S269354</t>
  </si>
  <si>
    <t xml:space="preserve">__export__.sale_order_283763_c7112b5e</t>
  </si>
  <si>
    <t xml:space="preserve">__export__.product_product_325673_ab2a9974</t>
  </si>
  <si>
    <t xml:space="preserve">SOFA HANNOVER 3P DENVER GRIS (MATIZ CAOBA)</t>
  </si>
  <si>
    <t xml:space="preserve">HANNOVER-3P</t>
  </si>
  <si>
    <t xml:space="preserve">ANA MARÍA HIGUITA HINCAPIÉ</t>
  </si>
  <si>
    <t xml:space="preserve">MEDELLÍN                      </t>
  </si>
  <si>
    <t xml:space="preserve">Carrera 48 # 82-71  Casa</t>
  </si>
  <si>
    <t xml:space="preserve">S269349 - Sin descripción (ANA MARÍA HIGUITA HINCAPIÉ                                                                  )</t>
  </si>
  <si>
    <t xml:space="preserve">S269349</t>
  </si>
  <si>
    <t xml:space="preserve">__export__.sale_order_283760_1b8fb7a0</t>
  </si>
  <si>
    <t xml:space="preserve">__export__.product_product_331771_f7d515d6</t>
  </si>
  <si>
    <t xml:space="preserve">SOFA DOMINIC DENVER GRIS (MATIZ NATURAL)</t>
  </si>
  <si>
    <t xml:space="preserve">CILIA BECERRA</t>
  </si>
  <si>
    <t xml:space="preserve">CARRERA  1 #8-50  EDIFICIO PALMETTO APTO 2101</t>
  </si>
  <si>
    <t xml:space="preserve">S269346 - Sin descripción (CILIA BECERRA                                                                               )</t>
  </si>
  <si>
    <t xml:space="preserve">S269346</t>
  </si>
  <si>
    <t xml:space="preserve">__export__.sale_order_283589_d6631455</t>
  </si>
  <si>
    <t xml:space="preserve">OTROS120</t>
  </si>
  <si>
    <t xml:space="preserve">OTROS</t>
  </si>
  <si>
    <t xml:space="preserve">__export__.product_product_332798_38eeaed2</t>
  </si>
  <si>
    <t xml:space="preserve">SOFA DOMINIC SKY BEIGE (MATIZ CAOBA)</t>
  </si>
  <si>
    <t xml:space="preserve">ARQUIDIOCESIS DE TUNJA</t>
  </si>
  <si>
    <t xml:space="preserve">891800234-2</t>
  </si>
  <si>
    <t xml:space="preserve">Cra 2 # 59 - 390 Tunja Boyacá. Canal TeleSantiago</t>
  </si>
  <si>
    <t xml:space="preserve">+57 315 8202715</t>
  </si>
  <si>
    <t xml:space="preserve">PD13012 (OTROS120)</t>
  </si>
  <si>
    <t xml:space="preserve">admontunja@gmail.com</t>
  </si>
  <si>
    <t xml:space="preserve">NEIDER GUTIERREZ</t>
  </si>
  <si>
    <t xml:space="preserve">S269175 - SOFA DOMINIC SKY BEIGE (MATIZ CAOBA) (ARQUIDIOCESIS DE TUNJA)</t>
  </si>
  <si>
    <t xml:space="preserve">S269175</t>
  </si>
  <si>
    <t xml:space="preserve">__export__.product_product_332494_aa81ab25</t>
  </si>
  <si>
    <t xml:space="preserve">POLTRONA DOMINIC SKY SALMON (MATIZ CAOBA)</t>
  </si>
  <si>
    <t xml:space="preserve">S269175 - POLTRONA DOMINIC SKY SALMON (MATIZ CAOBA) (ARQUIDIOCESIS DE TUNJA)</t>
  </si>
  <si>
    <t xml:space="preserve">__export__.product_product_324115_8414de5b</t>
  </si>
  <si>
    <t xml:space="preserve">MESA AUXILIAR ANAHEIM GRANDE BLANCO (ORO METALICO)</t>
  </si>
  <si>
    <t xml:space="preserve">ANAHEIM-GRANDE</t>
  </si>
  <si>
    <t xml:space="preserve">METALICO-ORO</t>
  </si>
  <si>
    <t xml:space="preserve">S269175 - MESA AUXILIAR ANAHEIM GRANDE BLANCO (ORO METALICO) (ARQUIDIOCESIS DE TUNJA)</t>
  </si>
  <si>
    <t xml:space="preserve">__export__.product_product_320145_75509056</t>
  </si>
  <si>
    <t xml:space="preserve">MESA AUXILIAR ANAHEIM PEQUEÑA BLANCA (ORO METALICO)</t>
  </si>
  <si>
    <t xml:space="preserve">ANAHEIM-PEQUEÑA</t>
  </si>
  <si>
    <t xml:space="preserve">S269175 - MESA AUXILIAR ANAHEIM PEQUEÑA BLANCA (ORO METALICO) (ARQUIDIOCESIS DE TUNJA)</t>
  </si>
  <si>
    <t xml:space="preserve">__export__.product_product_327395_3742f1c8</t>
  </si>
  <si>
    <t xml:space="preserve">COJIN VENECIA SKY SALMON</t>
  </si>
  <si>
    <t xml:space="preserve">S269175 - COJIN VENECIA SKY SALMON (ARQUIDIOCESIS DE TUNJA)</t>
  </si>
  <si>
    <t xml:space="preserve">__export__.product_product_281854_23cdb469</t>
  </si>
  <si>
    <t xml:space="preserve">CUADRO MUJER AFRO M (70X45)</t>
  </si>
  <si>
    <t xml:space="preserve">MUJER-AFRO-M-(70X45)</t>
  </si>
  <si>
    <t xml:space="preserve">S269175 - CUADRO MUJER AFRO M (70X45) (ARQUIDIOCESIS DE TUNJA)</t>
  </si>
  <si>
    <t xml:space="preserve">Retiro Tienda FABRICA por Empacar</t>
  </si>
  <si>
    <t xml:space="preserve">S269175 - CUADRO BOSQUE XL (120X80) (ARQUIDIOCESIS DE TUNJA)</t>
  </si>
  <si>
    <t xml:space="preserve">S269175 - COJIN DECORATIVO HOME (ARQUIDIOCESIS DE TUNJA)</t>
  </si>
  <si>
    <t xml:space="preserve">S269175 - PORCELANA AURA TERRACOTA SET (ARQUIDIOCESIS DE TUNJA)</t>
  </si>
  <si>
    <t xml:space="preserve">__export__.product_product_263077_6ab368f8</t>
  </si>
  <si>
    <t xml:space="preserve">PORCELANA ELEFANTE ORIGAMI L BRONCE</t>
  </si>
  <si>
    <t xml:space="preserve">ELEFANTE-ORIGAMI-L-BRONCE</t>
  </si>
  <si>
    <t xml:space="preserve">S269175 - PORCELANA ELEFANTE ORIGAMI L BRONCE (ARQUIDIOCESIS DE TUNJA)</t>
  </si>
  <si>
    <t xml:space="preserve">__export__.product_product_263078_d07c44da</t>
  </si>
  <si>
    <t xml:space="preserve">PORCELANA ELEFANTE ORIGAMI M BRONCE</t>
  </si>
  <si>
    <t xml:space="preserve">ELEFANTE-ORIGAMI-M-BRONCE</t>
  </si>
  <si>
    <t xml:space="preserve">S269175 - PORCELANA ELEFANTE ORIGAMI M BRONCE (ARQUIDIOCESIS DE TUNJA)</t>
  </si>
  <si>
    <t xml:space="preserve">__export__.product_product_263079_5ee9a9e3</t>
  </si>
  <si>
    <t xml:space="preserve">PORCELANA ELEFANTE ORIGAMI S BRONCE</t>
  </si>
  <si>
    <t xml:space="preserve">ELEFANTE-ORIGAMI-S-BRONCE</t>
  </si>
  <si>
    <t xml:space="preserve">S269175 - PORCELANA ELEFANTE ORIGAMI S BRONCE (ARQUIDIOCESIS DE TUNJA)</t>
  </si>
  <si>
    <t xml:space="preserve">S269175 - FLETE (ARQUIDIOCESIS DE TUNJA)</t>
  </si>
  <si>
    <t xml:space="preserve">__export__.sale_order_283581_0fdee3eb</t>
  </si>
  <si>
    <t xml:space="preserve">LN659</t>
  </si>
  <si>
    <t xml:space="preserve">FB</t>
  </si>
  <si>
    <t xml:space="preserve">__export__.product_product_333411_3a4532b4</t>
  </si>
  <si>
    <t xml:space="preserve">SOFA MORETTO SKY TAUPE (MATIZ CAOBA)</t>
  </si>
  <si>
    <t xml:space="preserve">MORETTO</t>
  </si>
  <si>
    <t xml:space="preserve">PAULA LEONELA  RUIZ GRANADOS</t>
  </si>
  <si>
    <t xml:space="preserve">POR FAVOR LLAMAR ANTES DE LA ENTREGA</t>
  </si>
  <si>
    <t xml:space="preserve">VALLE DEL CAUCA (CO)</t>
  </si>
  <si>
    <t xml:space="preserve">Caso # 239084</t>
  </si>
  <si>
    <t xml:space="preserve">CRA 27 #29-46 El Recuerdo</t>
  </si>
  <si>
    <t xml:space="preserve">+57 301 5406528</t>
  </si>
  <si>
    <t xml:space="preserve">PD13005 (LN659)</t>
  </si>
  <si>
    <t xml:space="preserve">palerugra@gmail.com</t>
  </si>
  <si>
    <t xml:space="preserve">LAURA NUMPAQUE</t>
  </si>
  <si>
    <t xml:space="preserve">S269167 - SOFA MORETTO SKY TAUPE (MATIZ CAOBA) (PAULA LEONELA  RUIZ GRANADOS)</t>
  </si>
  <si>
    <t xml:space="preserve">S269167</t>
  </si>
  <si>
    <t xml:space="preserve">6 COORDINADORA</t>
  </si>
  <si>
    <t xml:space="preserve">S269167 - FLETE (PAULA LEONELA  RUIZ GRANADOS)</t>
  </si>
  <si>
    <t xml:space="preserve">__export__.sale_order_283576_7407d27c</t>
  </si>
  <si>
    <t xml:space="preserve">MB763</t>
  </si>
  <si>
    <t xml:space="preserve">TIENDA GALERIAS</t>
  </si>
  <si>
    <t xml:space="preserve">__export__.product_product_326009_765c5383</t>
  </si>
  <si>
    <t xml:space="preserve">MESA BRIXTON JG4 MACULA (MATIZ NEGRO)</t>
  </si>
  <si>
    <t xml:space="preserve">NATALIA ROMERO RAMIREZ</t>
  </si>
  <si>
    <t xml:space="preserve">Cra 4a # 26a - 50 Apto: 301, barrio Bosque Izquierdo, Bogotá</t>
  </si>
  <si>
    <t xml:space="preserve"> 3057961913 - 3178712385</t>
  </si>
  <si>
    <t xml:space="preserve">PD13002 (MB763)</t>
  </si>
  <si>
    <t xml:space="preserve">nataliarr94@gmail.com</t>
  </si>
  <si>
    <t xml:space="preserve">ANA CONTRERAS</t>
  </si>
  <si>
    <t xml:space="preserve">S269162 - MESA BRIXTON JG4 MACULA (MATIZ NEGRO) (NATALIA ROMERO RAMIREZ)</t>
  </si>
  <si>
    <t xml:space="preserve">S269162</t>
  </si>
  <si>
    <t xml:space="preserve">__export__.product_product_333512_6cd223c9</t>
  </si>
  <si>
    <t xml:space="preserve">SILLA NOTO DENVER NEGRO (MATIZ CAOBA)</t>
  </si>
  <si>
    <t xml:space="preserve">S269162 - SILLA NOTO DENVER NEGRO (MATIZ CAOBA) (NATALIA ROMERO RAMIREZ)</t>
  </si>
  <si>
    <t xml:space="preserve">S269162 - FLETE (NATALIA ROMERO RAMIREZ)</t>
  </si>
  <si>
    <t xml:space="preserve">__export__.sale_order_283573_c93efa67</t>
  </si>
  <si>
    <t xml:space="preserve">NG3500</t>
  </si>
  <si>
    <t xml:space="preserve">__export__.product_product_296967_56c6d251</t>
  </si>
  <si>
    <t xml:space="preserve">MESA VORU MADERA JG4 BLANCO (MATIZ NATURAL)</t>
  </si>
  <si>
    <t xml:space="preserve">VORU-MADERA-JG4</t>
  </si>
  <si>
    <t xml:space="preserve">ANAMARIA ROJAS GONZALEZ</t>
  </si>
  <si>
    <t xml:space="preserve">avenida universitaria #42A-30 Alameda de Unicentro apto 817 torre 3</t>
  </si>
  <si>
    <t xml:space="preserve">+57 317 3662216</t>
  </si>
  <si>
    <t xml:space="preserve">PD13000 (NG3500)</t>
  </si>
  <si>
    <t xml:space="preserve">ia.deyby2001@gmail.com</t>
  </si>
  <si>
    <t xml:space="preserve">S269159 - MESA VORU MADERA JG4 BLANCO (MATIZ NATURAL) (ANAMARIA ROJAS GONZALEZ)</t>
  </si>
  <si>
    <t xml:space="preserve">S269159</t>
  </si>
  <si>
    <t xml:space="preserve">__export__.product_product_322511_cf721947</t>
  </si>
  <si>
    <t xml:space="preserve">SILLA BANFIELD BLANCO (MATIZ NATURAL)</t>
  </si>
  <si>
    <t xml:space="preserve">BANFIELD</t>
  </si>
  <si>
    <t xml:space="preserve">S269159 - SILLA BANFIELD BLANCO (MATIZ NATURAL) (ANAMARIA ROJAS GONZALEZ)</t>
  </si>
  <si>
    <t xml:space="preserve">__export__.product_product_316818_393bfe88</t>
  </si>
  <si>
    <t xml:space="preserve">CAMA VICTORIA SEMIDOBLE DENVER PLATA (MATIZ NATURAL)</t>
  </si>
  <si>
    <t xml:space="preserve">VICTORIA-SEMIDOBLE</t>
  </si>
  <si>
    <t xml:space="preserve">S269159 - CAMA VICTORIA SEMIDOBLE DENVER PLATA (MATIZ NATURAL) (ANAMARIA ROJAS GONZALEZ)</t>
  </si>
  <si>
    <t xml:space="preserve">S269159 - FLETE (ANAMARIA ROJAS GONZALEZ)</t>
  </si>
  <si>
    <t xml:space="preserve">__export__.sale_order_283572_4aedcc06</t>
  </si>
  <si>
    <t xml:space="preserve">LN658</t>
  </si>
  <si>
    <t xml:space="preserve">VF</t>
  </si>
  <si>
    <t xml:space="preserve">__export__.product_product_278718_37c08b6e</t>
  </si>
  <si>
    <t xml:space="preserve">SOFA MUNICH DORSEY BEIGE (MATIZ CARAMELO)</t>
  </si>
  <si>
    <t xml:space="preserve">ALFONSO QUIROGA ESPITIA</t>
  </si>
  <si>
    <t xml:space="preserve">tunja</t>
  </si>
  <si>
    <t xml:space="preserve">carrera 3b n 44-03 barrio quince de mayo</t>
  </si>
  <si>
    <t xml:space="preserve">+57 311 4711546</t>
  </si>
  <si>
    <t xml:space="preserve">+57 314 3544656</t>
  </si>
  <si>
    <t xml:space="preserve">PD12999 (LN658)</t>
  </si>
  <si>
    <t xml:space="preserve">jennymil79@hotmail.com</t>
  </si>
  <si>
    <t xml:space="preserve">S269158 - SOFA MUNICH DORSEY BEIGE (MATIZ CARAMELO) (ALFONSO QUIROGA ESPITIA)</t>
  </si>
  <si>
    <t xml:space="preserve">S269158</t>
  </si>
  <si>
    <t xml:space="preserve">__export__.product_product_187101_a12a66eb</t>
  </si>
  <si>
    <t xml:space="preserve">MESA DE CENTRO NOVA BLANCO (MATIZ CARAMELO)</t>
  </si>
  <si>
    <t xml:space="preserve">S269158 - MESA DE CENTRO NOVA BLANCO (MATIZ CARAMELO) (ALFONSO QUIROGA ESPITIA)</t>
  </si>
  <si>
    <t xml:space="preserve">__export__.product_product_334614_60a72c9e</t>
  </si>
  <si>
    <t xml:space="preserve">POLTRONA MONTREAL DORSEY MOSTAZA (MATIZ CARAMELO)</t>
  </si>
  <si>
    <t xml:space="preserve">MONTREAL</t>
  </si>
  <si>
    <t xml:space="preserve">S269158 - POLTRONA MONTREAL DORSEY MOSTAZA (MATIZ CARAMELO) (ALFONSO QUIROGA ESPITIA)</t>
  </si>
  <si>
    <t xml:space="preserve">__export__.product_product_334673_e23c0701</t>
  </si>
  <si>
    <t xml:space="preserve">POLTRONA MONTREAL DORSEY ROSA (MATIZ CARAMELO)</t>
  </si>
  <si>
    <t xml:space="preserve">S269158 - POLTRONA MONTREAL DORSEY ROSA (MATIZ CARAMELO) (ALFONSO QUIROGA ESPITIA)</t>
  </si>
  <si>
    <t xml:space="preserve">__export__.sale_order_283562_079c7b6b</t>
  </si>
  <si>
    <t xml:space="preserve">CM351-FB</t>
  </si>
  <si>
    <t xml:space="preserve">__export__.product_product_194263_410fa75f</t>
  </si>
  <si>
    <t xml:space="preserve">SOFA MUNICH DICOSTA ACERO (MATIZ NATURAL)</t>
  </si>
  <si>
    <t xml:space="preserve">ACERO</t>
  </si>
  <si>
    <t xml:space="preserve">ANDREA SANDOVAL</t>
  </si>
  <si>
    <t xml:space="preserve">diagonal  79a#5-299, cedros de la colina apto 533</t>
  </si>
  <si>
    <t xml:space="preserve">+57 314 2857465</t>
  </si>
  <si>
    <t xml:space="preserve">+57 320 4077625</t>
  </si>
  <si>
    <t xml:space="preserve">asandoval0919@gmail.com</t>
  </si>
  <si>
    <t xml:space="preserve">S269148 - SOFA MUNICH DICOSTA ACERO (MATIZ NATURAL) (ANDREA SANDOVAL)</t>
  </si>
  <si>
    <t xml:space="preserve">S269148</t>
  </si>
  <si>
    <t xml:space="preserve">S269148 - FLETE RECOLECCION GARANTIA (ANDREA SANDOVAL)</t>
  </si>
  <si>
    <t xml:space="preserve">S269148 - FLETE ENVIO GARANTIA (ANDREA SANDOVAL)</t>
  </si>
  <si>
    <t xml:space="preserve">__export__.sale_order_283537_47c14f89</t>
  </si>
  <si>
    <t xml:space="preserve">LN657</t>
  </si>
  <si>
    <t xml:space="preserve">__export__.product_product_316240_9895f29b</t>
  </si>
  <si>
    <t xml:space="preserve">MESA LUGO MATIZ JG6 BLANCO (MATIZ CAOBA)</t>
  </si>
  <si>
    <t xml:space="preserve">LUGO-MATIZ-JG6</t>
  </si>
  <si>
    <t xml:space="preserve">JUAN CAMILO ZAPATA SALAZAR</t>
  </si>
  <si>
    <t xml:space="preserve">Cra 12 # 64-35 BARRIO VILLAS DEL NORTE</t>
  </si>
  <si>
    <t xml:space="preserve">+57 312 5962155</t>
  </si>
  <si>
    <t xml:space="preserve">+57 319 2311071</t>
  </si>
  <si>
    <t xml:space="preserve">PD12990 (LN657)</t>
  </si>
  <si>
    <t xml:space="preserve">zapatajuan1301@gmail.com</t>
  </si>
  <si>
    <t xml:space="preserve">S269123 - MESA LUGO MATIZ JG6 BLANCO (MATIZ CAOBA) (JUAN CAMILO ZAPATA SALAZAR)</t>
  </si>
  <si>
    <t xml:space="preserve">S269123</t>
  </si>
  <si>
    <t xml:space="preserve">__export__.product_product_327029_fe1888cd</t>
  </si>
  <si>
    <t xml:space="preserve">SILLA LIVERPOOL SKY PLATA (MATIZ CAOBA)</t>
  </si>
  <si>
    <t xml:space="preserve">S269123 - SILLA LIVERPOOL SKY PLATA (MATIZ CAOBA) (JUAN CAMILO ZAPATA SALAZAR)</t>
  </si>
  <si>
    <t xml:space="preserve">S269123 - FLETE (JUAN CAMILO ZAPATA SALAZAR)</t>
  </si>
  <si>
    <t xml:space="preserve">__export__.sale_order_283534_82f8c521</t>
  </si>
  <si>
    <t xml:space="preserve">LN656</t>
  </si>
  <si>
    <t xml:space="preserve">__export__.product_product_325442_2b990ba8</t>
  </si>
  <si>
    <t xml:space="preserve">SOFA PORTO SKY GRIS (MATIZ CAOBA)</t>
  </si>
  <si>
    <t xml:space="preserve">EDGAR ROLANDO  DUITAMA VERGARA</t>
  </si>
  <si>
    <t xml:space="preserve">Caso # 239322</t>
  </si>
  <si>
    <t xml:space="preserve">CALLE 16A N 4 -60 APTO 407 REMANSO DE LOS PATRIOTAS TORRE 1</t>
  </si>
  <si>
    <t xml:space="preserve">+57 311 5366945</t>
  </si>
  <si>
    <t xml:space="preserve">+57 310 3361322</t>
  </si>
  <si>
    <t xml:space="preserve">PD12988 (LN656)</t>
  </si>
  <si>
    <t xml:space="preserve">ED_ROLANDU@HOTMAIL.COM</t>
  </si>
  <si>
    <t xml:space="preserve">S269120 - SOFA PORTO SKY GRIS (MATIZ CAOBA) (EDGAR ROLANDO  DUITAMA VERGARA)</t>
  </si>
  <si>
    <t xml:space="preserve">S269120</t>
  </si>
  <si>
    <t xml:space="preserve">__export__.product_product_327053_f6ec6a9b</t>
  </si>
  <si>
    <t xml:space="preserve">PUFF PORTO SKY GRIS (MATIZ CAOBA)</t>
  </si>
  <si>
    <t xml:space="preserve">S269120 - PUFF PORTO SKY GRIS (MATIZ CAOBA) (EDGAR ROLANDO  DUITAMA VERGARA)</t>
  </si>
  <si>
    <t xml:space="preserve">__export__.product_product_326706_2b9ad6d1</t>
  </si>
  <si>
    <t xml:space="preserve">POLTRONA PORTO SKY AZUL (MATIZ CAOBA)</t>
  </si>
  <si>
    <t xml:space="preserve">S269120 - POLTRONA PORTO SKY AZUL (MATIZ CAOBA) (EDGAR ROLANDO  DUITAMA VERGARA)</t>
  </si>
  <si>
    <t xml:space="preserve">__export__.product_product_316167_dcaf9150</t>
  </si>
  <si>
    <t xml:space="preserve">MESA DE CENTRO NOVA BLANCO (MATIZ CAOBA)</t>
  </si>
  <si>
    <t xml:space="preserve">S269120 - MESA DE CENTRO NOVA BLANCO (MATIZ CAOBA) (EDGAR ROLANDO  DUITAMA VERGARA)</t>
  </si>
  <si>
    <t xml:space="preserve">S269120 - FLETE (EDGAR ROLANDO  DUITAMA VERGARA)</t>
  </si>
  <si>
    <t xml:space="preserve">PRODUCTO TERMINADO / OBSEQUIO / COJINES</t>
  </si>
  <si>
    <t xml:space="preserve">__export__.product_product_329351_2b933bee</t>
  </si>
  <si>
    <t xml:space="preserve">OBSEQUIO COJIN VENECIA SKY AZUL</t>
  </si>
  <si>
    <t xml:space="preserve">OBSEQUIO-VENECIA</t>
  </si>
  <si>
    <t xml:space="preserve">S269120 - OBSEQUIO COJIN VENECIA SKY AZUL (EDGAR ROLANDO  DUITAMA VERGARA)</t>
  </si>
  <si>
    <t xml:space="preserve">__export__.sale_order_283528_831d1301</t>
  </si>
  <si>
    <t xml:space="preserve">NDR368</t>
  </si>
  <si>
    <t xml:space="preserve">__export__.product_product_333487_8022648a</t>
  </si>
  <si>
    <t xml:space="preserve">SOFA FELTON DICOSTA INDIGO</t>
  </si>
  <si>
    <t xml:space="preserve">SEBASTIAN RIOS GRANADOS</t>
  </si>
  <si>
    <t xml:space="preserve">LLAMAR ANTES DE LA ENTREGA</t>
  </si>
  <si>
    <t xml:space="preserve">CALLE 6C NO 82A 57 CONJUNTO CIPRES DE CASTILLA TORRE 5 APTO 1210 KENNEDY BARRIO CASTILLA LA NUEVA</t>
  </si>
  <si>
    <t xml:space="preserve">3224781511 / 3167201213</t>
  </si>
  <si>
    <t xml:space="preserve">+57 322 4781511</t>
  </si>
  <si>
    <t xml:space="preserve">NDR368 (NDR368)</t>
  </si>
  <si>
    <t xml:space="preserve">granadoszett@gmail.com</t>
  </si>
  <si>
    <t xml:space="preserve">NATALIA NUMPAQUE</t>
  </si>
  <si>
    <t xml:space="preserve">S269114 - SOFA FELTON DICOSTA INDIGO (SEBASTIAN RIOS GRANADOS)</t>
  </si>
  <si>
    <t xml:space="preserve">S269114</t>
  </si>
  <si>
    <t xml:space="preserve">S269114 - FLETE (SEBASTIAN RIOS GRANADOS)</t>
  </si>
  <si>
    <t xml:space="preserve">__export__.sale_order_283776_1608cb94</t>
  </si>
  <si>
    <t xml:space="preserve">__export__.product_product_327096_476e037e</t>
  </si>
  <si>
    <t xml:space="preserve">POLTRONA THOR DORSEY INDIGO (MATIZ NEGRO)</t>
  </si>
  <si>
    <t xml:space="preserve">THOR</t>
  </si>
  <si>
    <t xml:space="preserve">CONSTRUCCCION Y MANTENIMIENTO HOBRE</t>
  </si>
  <si>
    <t xml:space="preserve">ENGATIVÁ                      </t>
  </si>
  <si>
    <t xml:space="preserve">cr 73 76 03  casa</t>
  </si>
  <si>
    <t xml:space="preserve">S269362 - Sin descripción (CONSTRUCCCION Y MANTENIMIENTO HOBRE                                                         )</t>
  </si>
  <si>
    <t xml:space="preserve">S269362</t>
  </si>
  <si>
    <t xml:space="preserve">__export__.sale_order_283632_417c0d34</t>
  </si>
  <si>
    <t xml:space="preserve">LUISA OSPINA</t>
  </si>
  <si>
    <t xml:space="preserve">ARMENIA                       </t>
  </si>
  <si>
    <t xml:space="preserve">Carrera 6 # 19-25  TORRES DEL RIO BL 6 APT 503</t>
  </si>
  <si>
    <t xml:space="preserve">S269218 - Sin descripción (LUISA OSPINA                                                                                )</t>
  </si>
  <si>
    <t xml:space="preserve">S269218</t>
  </si>
  <si>
    <t xml:space="preserve">__export__.sale_order_283623_0536ed78</t>
  </si>
  <si>
    <t xml:space="preserve">DAVID JARAMILLO</t>
  </si>
  <si>
    <t xml:space="preserve">ITAGUI                        </t>
  </si>
  <si>
    <t xml:space="preserve">Calle39#49-49  1803 Torre Humanitas</t>
  </si>
  <si>
    <t xml:space="preserve">S269209 - Sin descripción (DAVID JARAMILLO                                                                             )</t>
  </si>
  <si>
    <t xml:space="preserve">S269209</t>
  </si>
  <si>
    <t xml:space="preserve">__export__.sale_order_283447_2b202726</t>
  </si>
  <si>
    <t xml:space="preserve">ET2309</t>
  </si>
  <si>
    <t xml:space="preserve">TIENDA SUBA</t>
  </si>
  <si>
    <t xml:space="preserve">__export__.product_product_320774_3167a78d</t>
  </si>
  <si>
    <t xml:space="preserve">MESA LUXOR JG4 CHANTILLY (MATIZ CAOBA)</t>
  </si>
  <si>
    <t xml:space="preserve">CHANTILLY</t>
  </si>
  <si>
    <t xml:space="preserve">FREDDY ANDRÉS GUEVARA PINTO</t>
  </si>
  <si>
    <t xml:space="preserve">CLIENTE NO PUEDE RECIBIR DESPUÉS DE LAS 5 PM</t>
  </si>
  <si>
    <t xml:space="preserve">CARRERA 100 # 148-78 TORRE 1 APTO 212 VALLE DE REFOUS 2</t>
  </si>
  <si>
    <t xml:space="preserve">3006278106 3105324767</t>
  </si>
  <si>
    <t xml:space="preserve">PD12982 (ET2309)</t>
  </si>
  <si>
    <t xml:space="preserve">andruguepin09@gmail.com</t>
  </si>
  <si>
    <t xml:space="preserve">ENMANUEL TOVAR</t>
  </si>
  <si>
    <t xml:space="preserve">S269033 - MESA LUXOR JG4 CHANTILLY (MATIZ CAOBA) (FREDDY ANDRÉS GUEVARA PINTO)</t>
  </si>
  <si>
    <t xml:space="preserve">S269033</t>
  </si>
  <si>
    <t xml:space="preserve">__export__.product_product_330968_d71ad6f0</t>
  </si>
  <si>
    <t xml:space="preserve">SILLA NOTO DORSEY MOSTAZA (MATIZ CAOBA)</t>
  </si>
  <si>
    <t xml:space="preserve">S269033 - SILLA NOTO DORSEY MOSTAZA (MATIZ CAOBA) (FREDDY ANDRÉS GUEVARA PINTO)</t>
  </si>
  <si>
    <t xml:space="preserve">__export__.product_product_331098_6114c7d7</t>
  </si>
  <si>
    <t xml:space="preserve">SOFA BARBADOS DICOSTA GRIS (MATIZ CAOBA)</t>
  </si>
  <si>
    <t xml:space="preserve">BARBADOS</t>
  </si>
  <si>
    <t xml:space="preserve">S269033 - SOFA BARBADOS DICOSTA GRIS (MATIZ CAOBA) (FREDDY ANDRÉS GUEVARA PINTO)</t>
  </si>
  <si>
    <t xml:space="preserve">__export__.product_product_330335_b9f3de3d</t>
  </si>
  <si>
    <t xml:space="preserve">OBSEQUIO COJIN VENECIA DICOSTA AQUA</t>
  </si>
  <si>
    <t xml:space="preserve">AQUA</t>
  </si>
  <si>
    <t xml:space="preserve">S269033 - OBSEQUIO COJIN VENECIA DICOSTA AQUA (FREDDY ANDRÉS GUEVARA PINTO)</t>
  </si>
  <si>
    <t xml:space="preserve">S269033 - FLETE (FREDDY ANDRÉS GUEVARA PINTO)</t>
  </si>
  <si>
    <t xml:space="preserve">__export__.sale_order_283442_9cb74010</t>
  </si>
  <si>
    <t xml:space="preserve">LN655</t>
  </si>
  <si>
    <t xml:space="preserve">FABIAN MAURICIO JARAMILLO GALLEGO</t>
  </si>
  <si>
    <t xml:space="preserve">Montenegro</t>
  </si>
  <si>
    <t xml:space="preserve">Caso # 239148</t>
  </si>
  <si>
    <t xml:space="preserve">Cl 20 16-24 Urbanización de Poporo Torre 1 Apto 402</t>
  </si>
  <si>
    <t xml:space="preserve">+57 317 2743723</t>
  </si>
  <si>
    <t xml:space="preserve">PD12977 (LN655)</t>
  </si>
  <si>
    <t xml:space="preserve">fmao0188@gmail.com</t>
  </si>
  <si>
    <t xml:space="preserve">S269028 - SOFA TOULOUSE DUSTER AZUL (MATIZ NATURAL) (FABIAN MAURICIO JARAMILLO GALLEGO)</t>
  </si>
  <si>
    <t xml:space="preserve">S269028</t>
  </si>
  <si>
    <t xml:space="preserve">S269028 - POLTRONA TOULOUSE DUSTER AZUL (MATIZ NATURAL) (FABIAN MAURICIO JARAMILLO GALLEGO)</t>
  </si>
  <si>
    <t xml:space="preserve">S269028 - MESA DE CENTRO CANNES M BLANCO (MATIZ NATURAL) (FABIAN MAURICIO JARAMILLO GALLEGO)</t>
  </si>
  <si>
    <t xml:space="preserve">__export__.product_product_176897_4c03ccef</t>
  </si>
  <si>
    <t xml:space="preserve">SOFA PORTO DUSTER AZUL (MATIZ NATURAL)</t>
  </si>
  <si>
    <t xml:space="preserve">S269028 - SOFA PORTO DUSTER AZUL (MATIZ NATURAL) (FABIAN MAURICIO JARAMILLO GALLEGO)</t>
  </si>
  <si>
    <t xml:space="preserve">__export__.product_product_315970_0499c360</t>
  </si>
  <si>
    <t xml:space="preserve">MESA DE CENTRO DAKOTA BLANCO (MATIZ NATURAL)</t>
  </si>
  <si>
    <t xml:space="preserve">DAKOTA</t>
  </si>
  <si>
    <t xml:space="preserve">S269028 - MESA DE CENTRO DAKOTA BLANCO (MATIZ NATURAL) (FABIAN MAURICIO JARAMILLO GALLEGO)</t>
  </si>
  <si>
    <t xml:space="preserve">S269028 - FLETE (FABIAN MAURICIO JARAMILLO GALLEGO)</t>
  </si>
  <si>
    <t xml:space="preserve">__export__.sale_order_283405_dcdaa102</t>
  </si>
  <si>
    <t xml:space="preserve">DL1815</t>
  </si>
  <si>
    <t xml:space="preserve">__export__.product_product_308431_8772986a</t>
  </si>
  <si>
    <t xml:space="preserve">CAMA LANUS DOBLE BLANCO - MATIZ NATURAL</t>
  </si>
  <si>
    <t xml:space="preserve">LANUS-DOBLE</t>
  </si>
  <si>
    <t xml:space="preserve">BLANCO-MATIZ-NATURAL</t>
  </si>
  <si>
    <t xml:space="preserve">MARIA ALEJANDRA VALERO CALDERON</t>
  </si>
  <si>
    <t xml:space="preserve">SERVICIO DE ARMADO</t>
  </si>
  <si>
    <t xml:space="preserve">Caso # 238440</t>
  </si>
  <si>
    <t xml:space="preserve">Calle 20#4-20 Bosques de poderosa</t>
  </si>
  <si>
    <t xml:space="preserve">+57 321 2213207</t>
  </si>
  <si>
    <t xml:space="preserve">PD12967 (DL1815)</t>
  </si>
  <si>
    <t xml:space="preserve">Valeromaria068@gmail.com</t>
  </si>
  <si>
    <t xml:space="preserve">DAVID LOPEZ</t>
  </si>
  <si>
    <t xml:space="preserve">S268991 - CAMA LANUS DOBLE BLANCO - MATIZ NATURAL (MARIA ALEJANDRA VALERO CALDERON)</t>
  </si>
  <si>
    <t xml:space="preserve">S268991</t>
  </si>
  <si>
    <t xml:space="preserve">__export__.product_product_189766_fb5329ca</t>
  </si>
  <si>
    <t xml:space="preserve">POLTRONA TOULOUSE DICOSTA BEIGE (MATIZ NATURAL)</t>
  </si>
  <si>
    <t xml:space="preserve">S268991 - POLTRONA TOULOUSE DICOSTA BEIGE (MATIZ NATURAL) (MARIA ALEJANDRA VALERO CALDERON)</t>
  </si>
  <si>
    <t xml:space="preserve">__export__.product_product_162440_b8f04890</t>
  </si>
  <si>
    <t xml:space="preserve">MESA DE NOCHE LIBIA BLANCO-DUNA (MATIZ NATURAL)</t>
  </si>
  <si>
    <t xml:space="preserve">LIBIA</t>
  </si>
  <si>
    <t xml:space="preserve">BLANCO-DUNA</t>
  </si>
  <si>
    <t xml:space="preserve">S268991 - MESA DE NOCHE LIBIA BLANCO-DUNA (MATIZ NATURAL) (MARIA ALEJANDRA VALERO CALDERON)</t>
  </si>
  <si>
    <t xml:space="preserve">S268991 - FLETE (MARIA ALEJANDRA VALERO CALDERON)</t>
  </si>
  <si>
    <t xml:space="preserve">S269102 - Sin descripción (JUAN DIEGO GARCÍA POSADA)</t>
  </si>
  <si>
    <t xml:space="preserve">S269102</t>
  </si>
  <si>
    <t xml:space="preserve">__export__.sale_order_283268_d7fda7b7</t>
  </si>
  <si>
    <t xml:space="preserve">TBG161</t>
  </si>
  <si>
    <t xml:space="preserve">EXHIBICION TIENDA GALERIAS</t>
  </si>
  <si>
    <t xml:space="preserve">Cra 21 #53-38 sector Galerías, Bogotá.</t>
  </si>
  <si>
    <t xml:space="preserve">+57 314 4355678</t>
  </si>
  <si>
    <t xml:space="preserve">PD12952 (TBG161)</t>
  </si>
  <si>
    <t xml:space="preserve">sachogarvenecia@gmail.com</t>
  </si>
  <si>
    <t xml:space="preserve">ADRIANA RODRIGUEZ</t>
  </si>
  <si>
    <t xml:space="preserve">S268854 - CUADRO ARCOIRIS L INFANTIL (60X60) (EXHIBICION TIENDA GALERIAS)</t>
  </si>
  <si>
    <t xml:space="preserve">S268854</t>
  </si>
  <si>
    <t xml:space="preserve">__export__.product_product_332970_fb8a4776</t>
  </si>
  <si>
    <t xml:space="preserve">CUADRO ARCOIRIS S INFANTIL (30X30)</t>
  </si>
  <si>
    <t xml:space="preserve">ARCOIRIS-S-INFANTIL-(30X30)</t>
  </si>
  <si>
    <t xml:space="preserve">S268854 - CUADRO ARCOIRIS S INFANTIL (30X30) (EXHIBICION TIENDA GALERIAS)</t>
  </si>
  <si>
    <t xml:space="preserve">__export__.product_product_283803_318db1db</t>
  </si>
  <si>
    <t xml:space="preserve">CUADRO ARTE ABSTRACT L (60X60)</t>
  </si>
  <si>
    <t xml:space="preserve">ARTE-ABSTRACT-L-(60X60)</t>
  </si>
  <si>
    <t xml:space="preserve">S268854 - CUADRO ARTE ABSTRACT L (60X60) (EXHIBICION TIENDA GALERIAS)</t>
  </si>
  <si>
    <t xml:space="preserve">S268854 - CUADRO ARTE ABSTRACT M (70X45) (EXHIBICION TIENDA GALERIAS)</t>
  </si>
  <si>
    <t xml:space="preserve">__export__.product_product_333072_8bc58448</t>
  </si>
  <si>
    <t xml:space="preserve">CUADRO AVION PRINCIPITO M (70X45)</t>
  </si>
  <si>
    <t xml:space="preserve">AVION-PRINCIPITO-M-(70X45)</t>
  </si>
  <si>
    <t xml:space="preserve">S268854 - CUADRO AVION PRINCIPITO M (70X45) (EXHIBICION TIENDA GALERIAS)</t>
  </si>
  <si>
    <t xml:space="preserve">S268854 - CUADRO BICICLETA L (60X60) (EXHIBICION TIENDA GALERIAS)</t>
  </si>
  <si>
    <t xml:space="preserve">__export__.product_product_322903_c93ff20b</t>
  </si>
  <si>
    <t xml:space="preserve">CUADRO BICICLETA S (30X30)</t>
  </si>
  <si>
    <t xml:space="preserve">BICICLETA-S-(30X30)</t>
  </si>
  <si>
    <t xml:space="preserve">S268854 - CUADRO BICICLETA S (30X30) (EXHIBICION TIENDA GALERIAS)</t>
  </si>
  <si>
    <t xml:space="preserve">__export__.product_product_285087_c35447a1</t>
  </si>
  <si>
    <t xml:space="preserve">CUADRO BOSQUE M (70X45)</t>
  </si>
  <si>
    <t xml:space="preserve">BOSQUE-M-(70X45)</t>
  </si>
  <si>
    <t xml:space="preserve">S268854 - CUADRO BOSQUE M (70X45) (EXHIBICION TIENDA GALERIAS)</t>
  </si>
  <si>
    <t xml:space="preserve">S268854 - CUADRO CALLE ANTIGUA M (70X45) (EXHIBICION TIENDA GALERIAS)</t>
  </si>
  <si>
    <t xml:space="preserve">__export__.product_product_281863_1d0e9b3c</t>
  </si>
  <si>
    <t xml:space="preserve">CUADRO CALLE CUBA L (60X60)</t>
  </si>
  <si>
    <t xml:space="preserve">CALLE-CUBA-L-(60X60)</t>
  </si>
  <si>
    <t xml:space="preserve">S268854 - CUADRO CALLE CUBA L (60X60) (EXHIBICION TIENDA GALERIAS)</t>
  </si>
  <si>
    <t xml:space="preserve">__export__.product_product_281864_5a8bc73b</t>
  </si>
  <si>
    <t xml:space="preserve">CUADRO CALLE CUBA M (70X45)</t>
  </si>
  <si>
    <t xml:space="preserve">CALLE-CUBA-M-(70X45)</t>
  </si>
  <si>
    <t xml:space="preserve">S268854 - CUADRO CALLE CUBA M (70X45) (EXHIBICION TIENDA GALERIAS)</t>
  </si>
  <si>
    <t xml:space="preserve">__export__.product_product_281712_e8623c48</t>
  </si>
  <si>
    <t xml:space="preserve">CUADRO CALLE CUBA S (30X30)</t>
  </si>
  <si>
    <t xml:space="preserve">CALLE-CUBA-S-(30X30)</t>
  </si>
  <si>
    <t xml:space="preserve">S268854 - CUADRO CALLE CUBA S (30X30) (EXHIBICION TIENDA GALERIAS)</t>
  </si>
  <si>
    <t xml:space="preserve">__export__.product_product_281867_c3c04912</t>
  </si>
  <si>
    <t xml:space="preserve">CUADRO CALLE LONDRES L (60X60)</t>
  </si>
  <si>
    <t xml:space="preserve">CALLE-LONDRES-L-(60X60)</t>
  </si>
  <si>
    <t xml:space="preserve">S268854 - CUADRO CALLE LONDRES L (60X60) (EXHIBICION TIENDA GALERIAS)</t>
  </si>
  <si>
    <t xml:space="preserve">__export__.product_product_188251_48c8ac03</t>
  </si>
  <si>
    <t xml:space="preserve">CUADRO CEBRA FONDO BLANCO M (70X45)</t>
  </si>
  <si>
    <t xml:space="preserve">CEBRA-FONDO-BLANCO-M-(70X45)</t>
  </si>
  <si>
    <t xml:space="preserve">S268854 - CUADRO CEBRA FONDO BLANCO M (70X45) (EXHIBICION TIENDA GALERIAS)</t>
  </si>
  <si>
    <t xml:space="preserve">__export__.product_product_188252_a24af1bd</t>
  </si>
  <si>
    <t xml:space="preserve">CUADRO CEBRA FONDO NEGRO M (70X45)</t>
  </si>
  <si>
    <t xml:space="preserve">CEBRA-FONDO-NEGRO-M-(70X45)</t>
  </si>
  <si>
    <t xml:space="preserve">S268854 - CUADRO CEBRA FONDO NEGRO M (70X45) (EXHIBICION TIENDA GALERIAS)</t>
  </si>
  <si>
    <t xml:space="preserve">S268854 - CUADRO COLORES HUMO M (70X45) (EXHIBICION TIENDA GALERIAS)</t>
  </si>
  <si>
    <t xml:space="preserve">S268854 - CUADRO ELEFANTE BEBE L (60X60) (EXHIBICION TIENDA GALERIAS)</t>
  </si>
  <si>
    <t xml:space="preserve">S268854 - CUADRO ELEFANTE BEBE M (70X45) (EXHIBICION TIENDA GALERIAS)</t>
  </si>
  <si>
    <t xml:space="preserve">__export__.product_product_286717_5898c9f5</t>
  </si>
  <si>
    <t xml:space="preserve">CUADRO ELEFANTE BEBE XL (120X80)</t>
  </si>
  <si>
    <t xml:space="preserve">ELEFANTE-BEBE-XL-(120X80)</t>
  </si>
  <si>
    <t xml:space="preserve">S268854 - CUADRO ELEFANTE BEBE XL (120X80) (EXHIBICION TIENDA GALERIAS)</t>
  </si>
  <si>
    <t xml:space="preserve">S268854 - CUADRO ELEFANTE PINTURA L (60X60) (EXHIBICION TIENDA GALERIAS)</t>
  </si>
  <si>
    <t xml:space="preserve">__export__.product_product_281858_b7cda1d2</t>
  </si>
  <si>
    <t xml:space="preserve">CUADRO ELEFANTE PINTURA PISO XL (120X80)</t>
  </si>
  <si>
    <t xml:space="preserve">ELEFANTE-PINTURA-PISO-XL-(120X80)</t>
  </si>
  <si>
    <t xml:space="preserve">S268854 - CUADRO ELEFANTE PINTURA PISO XL (120X80) (EXHIBICION TIENDA GALERIAS)</t>
  </si>
  <si>
    <t xml:space="preserve">__export__.product_product_211581_cc0a0889</t>
  </si>
  <si>
    <t xml:space="preserve">CUADRO ELEFANTE XL (120X80)</t>
  </si>
  <si>
    <t xml:space="preserve">ELEFANTE-XL-(120X80)</t>
  </si>
  <si>
    <t xml:space="preserve">S268854 - CUADRO ELEFANTE XL (120X80) (EXHIBICION TIENDA GALERIAS)</t>
  </si>
  <si>
    <t xml:space="preserve">__export__.product_product_327214_f66c242e</t>
  </si>
  <si>
    <t xml:space="preserve">CUADRO ERIZO INFANTIL L (60X60)</t>
  </si>
  <si>
    <t xml:space="preserve">ERIZO-INFANTIL-L</t>
  </si>
  <si>
    <t xml:space="preserve">S268854 - CUADRO ERIZO INFANTIL L (60X60) (EXHIBICION TIENDA GALERIAS)</t>
  </si>
  <si>
    <t xml:space="preserve">__export__.product_product_299374_9398bb48</t>
  </si>
  <si>
    <t xml:space="preserve">CUADRO JIRAFA FONDO BLANCO L (60X60)</t>
  </si>
  <si>
    <t xml:space="preserve">JIRAFA-FONDO-BLANCO-L-(60X60)</t>
  </si>
  <si>
    <t xml:space="preserve">S268854 - CUADRO JIRAFA FONDO BLANCO L (60X60) (EXHIBICION TIENDA GALERIAS)</t>
  </si>
  <si>
    <t xml:space="preserve">__export__.product_product_188249_0219d31a</t>
  </si>
  <si>
    <t xml:space="preserve">CUADRO LEON M (70X45)</t>
  </si>
  <si>
    <t xml:space="preserve">LEON-M-(70X45)</t>
  </si>
  <si>
    <t xml:space="preserve">S268854 - CUADRO LEON M (70X45) (EXHIBICION TIENDA GALERIAS)</t>
  </si>
  <si>
    <t xml:space="preserve">__export__.product_product_188257_aa4eb057</t>
  </si>
  <si>
    <t xml:space="preserve">CUADRO LEON XL (120X80)</t>
  </si>
  <si>
    <t xml:space="preserve">LEON-XL-(120X80)</t>
  </si>
  <si>
    <t xml:space="preserve">S268854 - CUADRO LEON XL (120X80) (EXHIBICION TIENDA GALERIAS)</t>
  </si>
  <si>
    <t xml:space="preserve">__export__.product_product_285293_c131e375</t>
  </si>
  <si>
    <t xml:space="preserve">CUADRO LEOPARDO ACUARELA L (60X60)</t>
  </si>
  <si>
    <t xml:space="preserve">LEOPARDO-ACUARELA-L-(60X60)</t>
  </si>
  <si>
    <t xml:space="preserve">S268854 - CUADRO LEOPARDO ACUARELA L (60X60) (EXHIBICION TIENDA GALERIAS)</t>
  </si>
  <si>
    <t xml:space="preserve">__export__.product_product_285294_deb0ade3</t>
  </si>
  <si>
    <t xml:space="preserve">CUADRO LEOPARDO ACUARELA M (70X45)</t>
  </si>
  <si>
    <t xml:space="preserve">LEOPARDO-ACUARELA-M-(70X45)</t>
  </si>
  <si>
    <t xml:space="preserve">S268854 - CUADRO LEOPARDO ACUARELA M (70X45) (EXHIBICION TIENDA GALERIAS)</t>
  </si>
  <si>
    <t xml:space="preserve">S268854 - CUADRO LEOPARDO ACUARELA XL (120X80) (EXHIBICION TIENDA GALERIAS)</t>
  </si>
  <si>
    <t xml:space="preserve">S268854 - CUADRO MUJER AFRO M (70X45) (EXHIBICION TIENDA GALERIAS)</t>
  </si>
  <si>
    <t xml:space="preserve">__export__.product_product_281855_515f0dcc</t>
  </si>
  <si>
    <t xml:space="preserve">CUADRO MUJER AFRO XL (120X80)</t>
  </si>
  <si>
    <t xml:space="preserve">MUJER-AFRO-XL-(120X80)</t>
  </si>
  <si>
    <t xml:space="preserve">S268854 - CUADRO MUJER AFRO XL (120X80) (EXHIBICION TIENDA GALERIAS)</t>
  </si>
  <si>
    <t xml:space="preserve">__export__.product_product_285066_8b348e1a</t>
  </si>
  <si>
    <t xml:space="preserve">CUADRO OLEO MUELLE L (60X60)</t>
  </si>
  <si>
    <t xml:space="preserve">OLEO-MUELLE-L-(60X60)</t>
  </si>
  <si>
    <t xml:space="preserve">S268854 - CUADRO OLEO MUELLE L (60X60) (EXHIBICION TIENDA GALERIAS)</t>
  </si>
  <si>
    <t xml:space="preserve">__export__.product_product_285060_5f0c99ce</t>
  </si>
  <si>
    <t xml:space="preserve">CUADRO OLEO MUELLE XL (120X80)</t>
  </si>
  <si>
    <t xml:space="preserve">OLEO-MUELLE-XL-(120X80)</t>
  </si>
  <si>
    <t xml:space="preserve">S268854 - CUADRO OLEO MUELLE XL (120X80) (EXHIBICION TIENDA GALERIAS)</t>
  </si>
  <si>
    <t xml:space="preserve">__export__.product_product_285302_a4e1a87a</t>
  </si>
  <si>
    <t xml:space="preserve">CUADRO OLEO PUENTE M (70X45)</t>
  </si>
  <si>
    <t xml:space="preserve">OLEO-PUENTE-M-(70X45)</t>
  </si>
  <si>
    <t xml:space="preserve">S268854 - CUADRO OLEO PUENTE M (70X45) (EXHIBICION TIENDA GALERIAS)</t>
  </si>
  <si>
    <t xml:space="preserve">__export__.product_product_266869_98befd81</t>
  </si>
  <si>
    <t xml:space="preserve">CUADRO OLEO VENECIA M (70X45)</t>
  </si>
  <si>
    <t xml:space="preserve">OLEO-VENECIA-M-(70X45)</t>
  </si>
  <si>
    <t xml:space="preserve">S268854 - CUADRO OLEO VENECIA M (70X45) (EXHIBICION TIENDA GALERIAS)</t>
  </si>
  <si>
    <t xml:space="preserve">__export__.product_product_206787_c1be021e</t>
  </si>
  <si>
    <t xml:space="preserve">CUADRO ORICES M (70X45)</t>
  </si>
  <si>
    <t xml:space="preserve">ORICES-M-(70X45)</t>
  </si>
  <si>
    <t xml:space="preserve">S268854 - CUADRO ORICES M (70X45) (EXHIBICION TIENDA GALERIAS)</t>
  </si>
  <si>
    <t xml:space="preserve">__export__.product_product_310434_9767d780</t>
  </si>
  <si>
    <t xml:space="preserve">CUADRO OSO INFANTIL S (30X30)</t>
  </si>
  <si>
    <t xml:space="preserve">OSO-INFANTIL-S</t>
  </si>
  <si>
    <t xml:space="preserve">S268854 - CUADRO OSO INFANTIL S (30X30) (EXHIBICION TIENDA GALERIAS)</t>
  </si>
  <si>
    <t xml:space="preserve">__export__.product_product_188256_a474eb37</t>
  </si>
  <si>
    <t xml:space="preserve">CUADRO OSO PANDA INFANTIL L (60X60)</t>
  </si>
  <si>
    <t xml:space="preserve">OSO-PANDA-L-(60X60)</t>
  </si>
  <si>
    <t xml:space="preserve">S268854 - CUADRO OSO PANDA INFANTIL L (60X60) (EXHIBICION TIENDA GALERIAS)</t>
  </si>
  <si>
    <t xml:space="preserve">S268854 - CUADRO PERRO BLANCO Y NEGRO L (60X60) (EXHIBICION TIENDA GALERIAS)</t>
  </si>
  <si>
    <t xml:space="preserve">S268854 - CUADRO PERRO CARA PINTADO L (60X60) (EXHIBICION TIENDA GALERIAS)</t>
  </si>
  <si>
    <t xml:space="preserve">S268854 - CUADRO PERRO CARA PINTADO M (70X45) (EXHIBICION TIENDA GALERIAS)</t>
  </si>
  <si>
    <t xml:space="preserve">__export__.product_product_331315_2d99eeb3</t>
  </si>
  <si>
    <t xml:space="preserve">CUADRO PRINCIPITO XL (120X80)</t>
  </si>
  <si>
    <t xml:space="preserve">PRINCIPITO-XL-(120X80)</t>
  </si>
  <si>
    <t xml:space="preserve">S268854 - CUADRO PRINCIPITO XL (120X80) (EXHIBICION TIENDA GALERIAS)</t>
  </si>
  <si>
    <t xml:space="preserve">__export__.product_product_281860_75e63fb9</t>
  </si>
  <si>
    <t xml:space="preserve">CUADRO RIO Y BOSQUE L (60X60)</t>
  </si>
  <si>
    <t xml:space="preserve">RIO-Y-BOSQUE-L-(60X60)</t>
  </si>
  <si>
    <t xml:space="preserve">S268854 - CUADRO RIO Y BOSQUE L (60X60) (EXHIBICION TIENDA GALERIAS)</t>
  </si>
  <si>
    <t xml:space="preserve">__export__.product_product_281861_8a394922</t>
  </si>
  <si>
    <t xml:space="preserve">CUADRO RIO Y BOSQUE M (70X45)</t>
  </si>
  <si>
    <t xml:space="preserve">RIO-Y-BOSQUE-M-(70X45)</t>
  </si>
  <si>
    <t xml:space="preserve">S268854 - CUADRO RIO Y BOSQUE M (70X45) (EXHIBICION TIENDA GALERIAS)</t>
  </si>
  <si>
    <t xml:space="preserve">__export__.product_product_281862_54891724</t>
  </si>
  <si>
    <t xml:space="preserve">CUADRO RIO Y BOSQUE XL (120X80)</t>
  </si>
  <si>
    <t xml:space="preserve">RIO-Y-BOSQUE-XL-(120X80)</t>
  </si>
  <si>
    <t xml:space="preserve">S268854 - CUADRO RIO Y BOSQUE XL (120X80) (EXHIBICION TIENDA GALERIAS)</t>
  </si>
  <si>
    <t xml:space="preserve">__export__.product_product_285298_acd484a0</t>
  </si>
  <si>
    <t xml:space="preserve">CUADRO ROSTRO ACUARELA L (60X60)</t>
  </si>
  <si>
    <t xml:space="preserve">ROSTRO-ACUARELA-L-(60X60)</t>
  </si>
  <si>
    <t xml:space="preserve">S268854 - CUADRO ROSTRO ACUARELA L (60X60) (EXHIBICION TIENDA GALERIAS)</t>
  </si>
  <si>
    <t xml:space="preserve">S268854 - CUADRO ROSTRO ACUARELA M (70X45) (EXHIBICION TIENDA GALERIAS)</t>
  </si>
  <si>
    <t xml:space="preserve">__export__.product_product_281714_991c5755</t>
  </si>
  <si>
    <t xml:space="preserve">CUADRO ROSTRO ACUARELA S (30X30)</t>
  </si>
  <si>
    <t xml:space="preserve">ROSTRO-ACUARELA-S-(30X30)</t>
  </si>
  <si>
    <t xml:space="preserve">S268854 - CUADRO ROSTRO ACUARELA S (30X30) (EXHIBICION TIENDA GALERIAS)</t>
  </si>
  <si>
    <t xml:space="preserve">__export__.product_product_284754_01674bc1</t>
  </si>
  <si>
    <t xml:space="preserve">CUADRO ROSTRO ACUARELA XL (120X80)</t>
  </si>
  <si>
    <t xml:space="preserve">ROSTRO-ACUARELA-XL-(120X80)</t>
  </si>
  <si>
    <t xml:space="preserve">S268854 - CUADRO ROSTRO ACUARELA XL (120X80) (EXHIBICION TIENDA GALERIAS)</t>
  </si>
  <si>
    <t xml:space="preserve">__export__.product_product_285295_775762bf</t>
  </si>
  <si>
    <t xml:space="preserve">CUADRO ROSTRO BLANCO Y NEGRO L (60X60)</t>
  </si>
  <si>
    <t xml:space="preserve">ROSTRO-BLANCO-Y-NEGRO-L-(60X60)</t>
  </si>
  <si>
    <t xml:space="preserve">S268854 - CUADRO ROSTRO BLANCO Y NEGRO L (60X60) (EXHIBICION TIENDA GALERIAS)</t>
  </si>
  <si>
    <t xml:space="preserve">__export__.product_product_285296_906bd769</t>
  </si>
  <si>
    <t xml:space="preserve">CUADRO ROSTRO BLANCO Y NEGRO M (70X45)</t>
  </si>
  <si>
    <t xml:space="preserve">ROSTRO-BLANCO-Y-NEGRO-M-(70X45)</t>
  </si>
  <si>
    <t xml:space="preserve">S268854 - CUADRO ROSTRO BLANCO Y NEGRO M (70X45) (EXHIBICION TIENDA GALERIAS)</t>
  </si>
  <si>
    <t xml:space="preserve">__export__.product_product_285304_516b727b</t>
  </si>
  <si>
    <t xml:space="preserve">CUADRO ROSTRO BLANCO Y NEGRO S (30X30)</t>
  </si>
  <si>
    <t xml:space="preserve">ROSTRO-BLANCO-Y-NEGRO-S-(30X30)</t>
  </si>
  <si>
    <t xml:space="preserve">S268854 - CUADRO ROSTRO BLANCO Y NEGRO S (30X30) (EXHIBICION TIENDA GALERIAS)</t>
  </si>
  <si>
    <t xml:space="preserve">__export__.product_product_285301_63482ada</t>
  </si>
  <si>
    <t xml:space="preserve">CUADRO ROSTRO PINTURA M (70X45)</t>
  </si>
  <si>
    <t xml:space="preserve">ROSTRO-PINTURA-M-(70X45)</t>
  </si>
  <si>
    <t xml:space="preserve">S268854 - CUADRO ROSTRO PINTURA M (70X45) (EXHIBICION TIENDA GALERIAS)</t>
  </si>
  <si>
    <t xml:space="preserve">__export__.product_product_310432_8b523e25</t>
  </si>
  <si>
    <t xml:space="preserve">CUADRO ZORRO INFANTIL S (30X30)</t>
  </si>
  <si>
    <t xml:space="preserve">ZORRO-INFANTIL-S</t>
  </si>
  <si>
    <t xml:space="preserve">S268854 - CUADRO ZORRO INFANTIL S (30X30) (EXHIBICION TIENDA GALERIAS)</t>
  </si>
  <si>
    <t xml:space="preserve">__export__.sale_order_283264_5f934041</t>
  </si>
  <si>
    <t xml:space="preserve">DQ1524</t>
  </si>
  <si>
    <t xml:space="preserve">TIENDA CEDRITOS</t>
  </si>
  <si>
    <t xml:space="preserve">__export__.product_product_334551_843129fc</t>
  </si>
  <si>
    <t xml:space="preserve">BUTACO KENTUCKY DICOSTA TRIGO (MATIZ CAOBA)</t>
  </si>
  <si>
    <t xml:space="preserve">KENTUCKY</t>
  </si>
  <si>
    <t xml:space="preserve">JOHNNA NAGLES PIEDRAHITA</t>
  </si>
  <si>
    <t xml:space="preserve">Calle 173 # 7-95 conjunto Rioja torre 3 apto 1208</t>
  </si>
  <si>
    <t xml:space="preserve">+57 319 3668152</t>
  </si>
  <si>
    <t xml:space="preserve">PD12948 (DQ1524)</t>
  </si>
  <si>
    <t xml:space="preserve">Nanuta86@gmail.com</t>
  </si>
  <si>
    <t xml:space="preserve">DANIELA QUIROGA</t>
  </si>
  <si>
    <t xml:space="preserve">S268850 - BUTACO KENTUCKY DICOSTA TRIGO (MATIZ CAOBA) (JOHNNA NAGLES PIEDRAHITA)</t>
  </si>
  <si>
    <t xml:space="preserve">S268850</t>
  </si>
  <si>
    <t xml:space="preserve">__export__.product_product_315938_6fd770cf</t>
  </si>
  <si>
    <t xml:space="preserve">SOFA PORTO DICOSTA TRIGO (MATIZ CAOBA)</t>
  </si>
  <si>
    <t xml:space="preserve">S268850 - SOFA PORTO DICOSTA TRIGO (MATIZ CAOBA) (JOHNNA NAGLES PIEDRAHITA)</t>
  </si>
  <si>
    <t xml:space="preserve">__export__.product_product_316754_35dfe1d1</t>
  </si>
  <si>
    <t xml:space="preserve">POLTRONA PORTO DICOSTA SALMON (MATIZ CAOBA)</t>
  </si>
  <si>
    <t xml:space="preserve">S268850 - POLTRONA PORTO DICOSTA SALMON (MATIZ CAOBA) (JOHNNA NAGLES PIEDRAHITA)</t>
  </si>
  <si>
    <t xml:space="preserve">__export__.product_product_318796_ac80d267</t>
  </si>
  <si>
    <t xml:space="preserve">MESA DE CENTRO NOVA MACULA (MATIZ CAOBA)</t>
  </si>
  <si>
    <t xml:space="preserve">S268850 - MESA DE CENTRO NOVA MACULA (MATIZ CAOBA) (JOHNNA NAGLES PIEDRAHITA)</t>
  </si>
  <si>
    <t xml:space="preserve">__export__.product_product_163632_d7b6ef64</t>
  </si>
  <si>
    <t xml:space="preserve">MESA DE NOCHE VERONA MACULA-BLANCO</t>
  </si>
  <si>
    <t xml:space="preserve">VERONA</t>
  </si>
  <si>
    <t xml:space="preserve">MACULA-BLANCO</t>
  </si>
  <si>
    <t xml:space="preserve">S268850 - MESA DE NOCHE VERONA MACULA-BLANCO (JOHNNA NAGLES PIEDRAHITA)</t>
  </si>
  <si>
    <t xml:space="preserve">S268850 - FLETE (JOHNNA NAGLES PIEDRAHITA)</t>
  </si>
  <si>
    <t xml:space="preserve">__export__.sale_order_283260_8e8318c2</t>
  </si>
  <si>
    <t xml:space="preserve">JM508</t>
  </si>
  <si>
    <t xml:space="preserve">__export__.product_product_330646_3eb9e152</t>
  </si>
  <si>
    <t xml:space="preserve">SOFA APOLO BRAZO IZQUIERDO SKY GRIS (MATIZ CAOBA)</t>
  </si>
  <si>
    <t xml:space="preserve">APOLO-BRAZO-IZQUIERDO</t>
  </si>
  <si>
    <t xml:space="preserve">DANIELA ALEJANDRA ROMERO GAITAN</t>
  </si>
  <si>
    <t xml:space="preserve">calle 152b # 104 -50 torre 1 apartamento 404</t>
  </si>
  <si>
    <t xml:space="preserve">+57 320 4206818</t>
  </si>
  <si>
    <t xml:space="preserve">PD12944 (JM508)</t>
  </si>
  <si>
    <t xml:space="preserve">Dromerogaitan@gmail.com</t>
  </si>
  <si>
    <t xml:space="preserve">JAVIER MORENO</t>
  </si>
  <si>
    <t xml:space="preserve">S268846 - SOFA APOLO BRAZO IZQUIERDO SKY GRIS (MATIZ CAOBA) (DANIELA ALEJANDRA ROMERO GAITAN)</t>
  </si>
  <si>
    <t xml:space="preserve">S268846</t>
  </si>
  <si>
    <t xml:space="preserve">__export__.product_product_330644_b6ea6a83</t>
  </si>
  <si>
    <t xml:space="preserve">CHAISE APOLO BRAZO DERECHO SKY GRIS (MATIZ CAOBA)</t>
  </si>
  <si>
    <t xml:space="preserve">APOLO-BRAZO-DERECHO</t>
  </si>
  <si>
    <t xml:space="preserve">S268846 - CHAISE APOLO BRAZO DERECHO SKY GRIS (MATIZ CAOBA) (DANIELA ALEJANDRA ROMERO GAITAN)</t>
  </si>
  <si>
    <t xml:space="preserve">__export__.product_product_315943_428059b0</t>
  </si>
  <si>
    <t xml:space="preserve">MESA LUGO MATIZ JG4 BLANCO (MATIZ CAOBA)</t>
  </si>
  <si>
    <t xml:space="preserve">S268846 - MESA LUGO MATIZ JG4 BLANCO (MATIZ CAOBA) (DANIELA ALEJANDRA ROMERO GAITAN)</t>
  </si>
  <si>
    <t xml:space="preserve">__export__.product_product_324226_10b27dec</t>
  </si>
  <si>
    <t xml:space="preserve">SILLA GALICIA SKY GRIS (MATIZ CAOBA)</t>
  </si>
  <si>
    <t xml:space="preserve">GALICIA</t>
  </si>
  <si>
    <t xml:space="preserve">S268846 - SILLA GALICIA SKY GRIS (MATIZ CAOBA) (DANIELA ALEJANDRA ROMERO GAITAN)</t>
  </si>
  <si>
    <t xml:space="preserve">__export__.product_product_327831_da5a7493</t>
  </si>
  <si>
    <t xml:space="preserve">BUTACO VIENA SKY TURQUESA (MATIZ CAOBA)</t>
  </si>
  <si>
    <t xml:space="preserve">S268846 - BUTACO VIENA SKY TURQUESA (MATIZ CAOBA) (DANIELA ALEJANDRA ROMERO GAITAN)</t>
  </si>
  <si>
    <t xml:space="preserve">S268846 - MESA DE CENTRO NOVA BLANCO (MATIZ CAOBA) (DANIELA ALEJANDRA ROMERO GAITAN)</t>
  </si>
  <si>
    <t xml:space="preserve">__export__.product_product_330279_231d9afc</t>
  </si>
  <si>
    <t xml:space="preserve">OBSEQUIO COJIN VENECIA SKY TURQUESA</t>
  </si>
  <si>
    <t xml:space="preserve">S268846 - OBSEQUIO COJIN VENECIA SKY TURQUESA (DANIELA ALEJANDRA ROMERO GAITAN)</t>
  </si>
  <si>
    <t xml:space="preserve">S268846 - FLETE (DANIELA ALEJANDRA ROMERO GAITAN)</t>
  </si>
  <si>
    <t xml:space="preserve">__export__.sale_order_283259_32dfc94f</t>
  </si>
  <si>
    <t xml:space="preserve">DQ1523</t>
  </si>
  <si>
    <t xml:space="preserve">__export__.product_product_319033_59c0a5c6</t>
  </si>
  <si>
    <t xml:space="preserve">SOFA PORTO DICOSTA BEIGE (MATIZ CAOBA)</t>
  </si>
  <si>
    <t xml:space="preserve">SARA LILIANA GÓMEZ MENDOZA</t>
  </si>
  <si>
    <t xml:space="preserve">Av. Calle 147 # 21-75 Torre B Apto 403 Conjunto Residencial Granada Hills (Bogotá)</t>
  </si>
  <si>
    <t xml:space="preserve">3016632133 - 3008409260</t>
  </si>
  <si>
    <t xml:space="preserve">PD12943 (DQ1523)</t>
  </si>
  <si>
    <t xml:space="preserve">psicologasaragomezm@gmail.com</t>
  </si>
  <si>
    <t xml:space="preserve">S268845 - SOFA PORTO DICOSTA BEIGE (MATIZ CAOBA) (SARA LILIANA GÓMEZ MENDOZA)</t>
  </si>
  <si>
    <t xml:space="preserve">S268845</t>
  </si>
  <si>
    <t xml:space="preserve">__export__.product_product_326836_b92dde12</t>
  </si>
  <si>
    <t xml:space="preserve">POLTRONA PORTO DICOSTA BEIGE (MATIZ CAOBA)</t>
  </si>
  <si>
    <t xml:space="preserve">S268845 - POLTRONA PORTO DICOSTA BEIGE (MATIZ CAOBA) (SARA LILIANA GÓMEZ MENDOZA)</t>
  </si>
  <si>
    <t xml:space="preserve">__export__.product_product_316766_c9de7846</t>
  </si>
  <si>
    <t xml:space="preserve">POLTRONA PORTO DICOSTA INDIGO (MATIZ CAOBA)</t>
  </si>
  <si>
    <t xml:space="preserve">S268845 - POLTRONA PORTO DICOSTA INDIGO (MATIZ CAOBA) (SARA LILIANA GÓMEZ MENDOZA)</t>
  </si>
  <si>
    <t xml:space="preserve">S268845 - FLETE (SARA LILIANA GÓMEZ MENDOZA)</t>
  </si>
  <si>
    <t xml:space="preserve">__export__.sale_order_283253_adc2f204</t>
  </si>
  <si>
    <t xml:space="preserve">ET2306</t>
  </si>
  <si>
    <t xml:space="preserve">__export__.product_product_334598_96b06371</t>
  </si>
  <si>
    <t xml:space="preserve">MESA CHICAGO JG4 BALI-MACULA</t>
  </si>
  <si>
    <t xml:space="preserve">CHICAGO-JG4</t>
  </si>
  <si>
    <t xml:space="preserve">BALI-MACULA</t>
  </si>
  <si>
    <t xml:space="preserve">GIOVANNI ALIRIO ROMERO ORTIZ</t>
  </si>
  <si>
    <t xml:space="preserve">ZIPAQUIRA</t>
  </si>
  <si>
    <t xml:space="preserve">calle 7 No. 21-168 San Lucas La Quinta torre 5 apto 519</t>
  </si>
  <si>
    <t xml:space="preserve">3166271518 - 3132389993 -3013258514</t>
  </si>
  <si>
    <t xml:space="preserve">PD12940 (ET2306)</t>
  </si>
  <si>
    <t xml:space="preserve">linaromerof@hotmail.es</t>
  </si>
  <si>
    <t xml:space="preserve">S268839 - MESA CHICAGO JG4 BALI-MACULA (GIOVANNI ALIRIO ROMERO ORTIZ)</t>
  </si>
  <si>
    <t xml:space="preserve">S268839</t>
  </si>
  <si>
    <t xml:space="preserve">__export__.product_product_316275_fe120064</t>
  </si>
  <si>
    <t xml:space="preserve">SILLA GALICIA DICOSTA GRIS (MATIZ CAOBA)</t>
  </si>
  <si>
    <t xml:space="preserve">S268839 - SILLA GALICIA DICOSTA GRIS (MATIZ CAOBA) (GIOVANNI ALIRIO ROMERO ORTIZ)</t>
  </si>
  <si>
    <t xml:space="preserve">__export__.product_product_316774_5def6e64</t>
  </si>
  <si>
    <t xml:space="preserve">SILLA GALICIA DICOSTA MOSTAZA (MATIZ CAOBA)</t>
  </si>
  <si>
    <t xml:space="preserve">S268839 - SILLA GALICIA DICOSTA MOSTAZA (MATIZ CAOBA) (GIOVANNI ALIRIO ROMERO ORTIZ)</t>
  </si>
  <si>
    <t xml:space="preserve">S268839 - FLETE (GIOVANNI ALIRIO ROMERO ORTIZ)</t>
  </si>
  <si>
    <t xml:space="preserve">__export__.sale_order_283248_9ada3d42</t>
  </si>
  <si>
    <t xml:space="preserve">ET2304</t>
  </si>
  <si>
    <t xml:space="preserve">__export__.product_product_268326_89df8170</t>
  </si>
  <si>
    <t xml:space="preserve">CHAISE BRAZO IZQUIERDO CHELSEA DICOSTA TAUPE (MATIZ NATURAL)</t>
  </si>
  <si>
    <t xml:space="preserve">BRAZO-IZQUIERDO-CHELSEA</t>
  </si>
  <si>
    <t xml:space="preserve">WENDY PAOLA VILLAMIZAR QUINTERO</t>
  </si>
  <si>
    <t xml:space="preserve">Carrera 77 #21-05, conjunto residencial el arroyo, apto 611</t>
  </si>
  <si>
    <t xml:space="preserve">+57 310 7752939</t>
  </si>
  <si>
    <t xml:space="preserve">PD12936 (ET2304)</t>
  </si>
  <si>
    <t xml:space="preserve">Wendi.Villamizar1129@gmail.com</t>
  </si>
  <si>
    <t xml:space="preserve">S268834 - CHAISE BRAZO IZQUIERDO CHELSEA DICOSTA TAUPE (MATIZ NATURAL) (WENDY PAOLA VILLAMIZAR QUINTERO)</t>
  </si>
  <si>
    <t xml:space="preserve">S268834</t>
  </si>
  <si>
    <t xml:space="preserve">__export__.product_product_268257_1d30c21c</t>
  </si>
  <si>
    <t xml:space="preserve">SOFA BRAZO DERECHO CHELSEA DICOSTA TAUPE (MATIZ NATURAL)</t>
  </si>
  <si>
    <t xml:space="preserve">BRAZO-DERECHO-CHELSEA</t>
  </si>
  <si>
    <t xml:space="preserve">S268834 - SOFA BRAZO DERECHO CHELSEA DICOSTA TAUPE (MATIZ NATURAL) (WENDY PAOLA VILLAMIZAR QUINTERO)</t>
  </si>
  <si>
    <t xml:space="preserve">S268834 - FLETE (WENDY PAOLA VILLAMIZAR QUINTERO)</t>
  </si>
  <si>
    <t xml:space="preserve">__export__.sale_order_283242_d518ff9d</t>
  </si>
  <si>
    <t xml:space="preserve">DQ1522</t>
  </si>
  <si>
    <t xml:space="preserve">__export__.product_product_334549_aa8d4e51</t>
  </si>
  <si>
    <t xml:space="preserve">SOFA ZEN SKY BEIGE (MATIZ CARAMELO)</t>
  </si>
  <si>
    <t xml:space="preserve">SELENA</t>
  </si>
  <si>
    <t xml:space="preserve">BLANCA BENITA PACHON PERALTA</t>
  </si>
  <si>
    <t xml:space="preserve">Calle 144 #12-31. Edificio Galicia. Apto 306</t>
  </si>
  <si>
    <t xml:space="preserve">+57 312 5469913 - 304 6287202</t>
  </si>
  <si>
    <t xml:space="preserve">+57 312 5469913</t>
  </si>
  <si>
    <t xml:space="preserve">PD12929 (DQ1522)</t>
  </si>
  <si>
    <t xml:space="preserve">blankpachon@hotmail.com</t>
  </si>
  <si>
    <t xml:space="preserve">S268828 - SOFA ZEN SKY BEIGE (MATIZ CARAMELO) (BLANCA BENITA PACHON PERALTA)</t>
  </si>
  <si>
    <t xml:space="preserve">S268828</t>
  </si>
  <si>
    <t xml:space="preserve">MP / TELA</t>
  </si>
  <si>
    <t xml:space="preserve">__export__.product_product_323881_20bd28c3</t>
  </si>
  <si>
    <t xml:space="preserve">TL TELA SKY BEIGE</t>
  </si>
  <si>
    <t xml:space="preserve">TL-TELA-SKY-BEIGE</t>
  </si>
  <si>
    <t xml:space="preserve">S268828 - TL TELA SKY BEIGE (BLANCA BENITA PACHON PERALTA)</t>
  </si>
  <si>
    <t xml:space="preserve">__export__.product_product_327030_e7785705</t>
  </si>
  <si>
    <t xml:space="preserve">TL TELA SKY TURQUESA</t>
  </si>
  <si>
    <t xml:space="preserve">TL-TELA-SKY-TURQUESA</t>
  </si>
  <si>
    <t xml:space="preserve">S268828 - TL TELA SKY TURQUESA (BLANCA BENITA PACHON PERALTA)</t>
  </si>
  <si>
    <t xml:space="preserve">S268828 - FLETE (BLANCA BENITA PACHON PERALTA)</t>
  </si>
  <si>
    <t xml:space="preserve">__export__.sale_order_283240_563aae78</t>
  </si>
  <si>
    <t xml:space="preserve">RL052</t>
  </si>
  <si>
    <t xml:space="preserve">__export__.product_product_163721_5e390946</t>
  </si>
  <si>
    <t xml:space="preserve">MESA MERIDA JG6 DUNA</t>
  </si>
  <si>
    <t xml:space="preserve">MERIDA-JG6</t>
  </si>
  <si>
    <t xml:space="preserve">MIGUEL ANGEL BERNAL SOLORZANO</t>
  </si>
  <si>
    <t xml:space="preserve">Cra 113C # 143a 20, bloque 4 apto 114,Cafam Suba</t>
  </si>
  <si>
    <t xml:space="preserve">+57 313 8176139 3132733939</t>
  </si>
  <si>
    <t xml:space="preserve">PD12927 (RL052)</t>
  </si>
  <si>
    <t xml:space="preserve">migue1409@gmail.com</t>
  </si>
  <si>
    <t xml:space="preserve">RAFAEL LIMA</t>
  </si>
  <si>
    <t xml:space="preserve">S268826 - MESA MERIDA JG6 DUNA (MIGUEL ANGEL BERNAL SOLORZANO)</t>
  </si>
  <si>
    <t xml:space="preserve">S268826</t>
  </si>
  <si>
    <t xml:space="preserve">__export__.product_product_163888_a67bb55b</t>
  </si>
  <si>
    <t xml:space="preserve">SILLA CAIRO DICOSTA ACERO (METALICA NATURAL)</t>
  </si>
  <si>
    <t xml:space="preserve">CAIRO</t>
  </si>
  <si>
    <t xml:space="preserve">S268826 - SILLA CAIRO DICOSTA ACERO (METALICA NATURAL) (MIGUEL ANGEL BERNAL SOLORZANO)</t>
  </si>
  <si>
    <t xml:space="preserve">__export__.product_product_163906_f9137621</t>
  </si>
  <si>
    <t xml:space="preserve">SILLA CAIRO DICOSTA INDIGO (METALICA NATURAL)</t>
  </si>
  <si>
    <t xml:space="preserve">S268826 - SILLA CAIRO DICOSTA INDIGO (METALICA NATURAL) (MIGUEL ANGEL BERNAL SOLORZANO)</t>
  </si>
  <si>
    <t xml:space="preserve">S268826 - FLETE (MIGUEL ANGEL BERNAL SOLORZANO)</t>
  </si>
  <si>
    <t xml:space="preserve">__export__.sale_order_283238_4d4881b0</t>
  </si>
  <si>
    <t xml:space="preserve">RP3288</t>
  </si>
  <si>
    <t xml:space="preserve">__export__.product_product_320368_8cbd5e4c</t>
  </si>
  <si>
    <t xml:space="preserve">CAMA VIRGINIA DOBLE DICOSTA AQUA (MATIZ CARAMELO)</t>
  </si>
  <si>
    <t xml:space="preserve">VIRGINIA-DOBLE</t>
  </si>
  <si>
    <t xml:space="preserve">DANIEL FELIPE MONTAÑEZ INFANTE</t>
  </si>
  <si>
    <t xml:space="preserve">Caso # 238249</t>
  </si>
  <si>
    <t xml:space="preserve">Avenida Colón # 22-35</t>
  </si>
  <si>
    <t xml:space="preserve">+57 310 2129033</t>
  </si>
  <si>
    <t xml:space="preserve">+57 301 6029520</t>
  </si>
  <si>
    <t xml:space="preserve">PD12925 (RP3288)</t>
  </si>
  <si>
    <t xml:space="preserve">smurfnamba1234@gmail.com</t>
  </si>
  <si>
    <t xml:space="preserve">ROCIO PINILLA</t>
  </si>
  <si>
    <t xml:space="preserve">S268824 - CAMA VIRGINIA DOBLE DICOSTA AQUA (MATIZ CARAMELO) (DANIEL FELIPE MONTAÑEZ INFANTE)</t>
  </si>
  <si>
    <t xml:space="preserve">S268824</t>
  </si>
  <si>
    <t xml:space="preserve">PRODUCTO TERMINADO / DORMITORIO / COLCHON</t>
  </si>
  <si>
    <t xml:space="preserve">__export__.product_product_244701_221a9788</t>
  </si>
  <si>
    <t xml:space="preserve">COLCHON VERSALLES DOBLE</t>
  </si>
  <si>
    <t xml:space="preserve">COLCHON</t>
  </si>
  <si>
    <t xml:space="preserve">S268824 - COLCHON VERSALLES DOBLE (DANIEL FELIPE MONTAÑEZ INFANTE)</t>
  </si>
  <si>
    <t xml:space="preserve">S268824 - FLETE (DANIEL FELIPE MONTAÑEZ INFANTE)</t>
  </si>
  <si>
    <t xml:space="preserve">__export__.sale_order_283234_efb2fad7</t>
  </si>
  <si>
    <t xml:space="preserve">HL557</t>
  </si>
  <si>
    <t xml:space="preserve">__export__.product_product_329282_ab077779</t>
  </si>
  <si>
    <t xml:space="preserve">MESA WISCONSIN JG4 BLANCO (MATIZ CAOBA)</t>
  </si>
  <si>
    <t xml:space="preserve">WISCONSIN-JG4</t>
  </si>
  <si>
    <t xml:space="preserve">KAREN TATIANA GUALDRON CHAPARRO</t>
  </si>
  <si>
    <t xml:space="preserve">calle 93bis# 19-85 oporto93 apt 304</t>
  </si>
  <si>
    <t xml:space="preserve">+57 316 3008391</t>
  </si>
  <si>
    <t xml:space="preserve">PD12922 (HL553)</t>
  </si>
  <si>
    <t xml:space="preserve">Kgualdronch@gmail.com</t>
  </si>
  <si>
    <t xml:space="preserve">HARRY LIEVANO</t>
  </si>
  <si>
    <t xml:space="preserve">S268820 - MESA WISCONSIN JG4 BLANCO (MATIZ CAOBA) (KAREN TATIANA GUALDRON CHAPARRO)</t>
  </si>
  <si>
    <t xml:space="preserve">S268820</t>
  </si>
  <si>
    <t xml:space="preserve">__export__.product_product_316672_363b2856</t>
  </si>
  <si>
    <t xml:space="preserve">BUTACO VIENA DICOSTA MOSTAZA (MATIZ CAOBA)</t>
  </si>
  <si>
    <t xml:space="preserve">S268820 - BUTACO VIENA DICOSTA MOSTAZA (MATIZ CAOBA) (KAREN TATIANA GUALDRON CHAPARRO)</t>
  </si>
  <si>
    <t xml:space="preserve">__export__.product_product_321305_490222da</t>
  </si>
  <si>
    <t xml:space="preserve">POLTRONA MONTECARLO DICOSTA MOSTAZA (MATIZ CAOBA)</t>
  </si>
  <si>
    <t xml:space="preserve">S268820 - POLTRONA MONTECARLO DICOSTA MOSTAZA (MATIZ CAOBA) (KAREN TATIANA GUALDRON CHAPARRO)</t>
  </si>
  <si>
    <t xml:space="preserve">__export__.product_product_329863_5afe040a</t>
  </si>
  <si>
    <t xml:space="preserve">OBSEQUIO COJIN VENECIA DICOSTA MOSTAZA</t>
  </si>
  <si>
    <t xml:space="preserve">S268820 - OBSEQUIO COJIN VENECIA DICOSTA MOSTAZA (KAREN TATIANA GUALDRON CHAPARRO)</t>
  </si>
  <si>
    <t xml:space="preserve">__export__.product_product_334558_5667db84</t>
  </si>
  <si>
    <t xml:space="preserve">SILLA DUNCAN OMEGA PLATA (MATIZ CAOBA)</t>
  </si>
  <si>
    <t xml:space="preserve">DUNCAN</t>
  </si>
  <si>
    <t xml:space="preserve">S268820 - SILLA DUNCAN OMEGA PLATA (MATIZ CAOBA) (KAREN TATIANA GUALDRON CHAPARRO)</t>
  </si>
  <si>
    <t xml:space="preserve">__export__.product_product_334561_aeb4bdbf</t>
  </si>
  <si>
    <t xml:space="preserve">SOFA MORETTO OMEGA PLATA (MATIZ CAOBA)</t>
  </si>
  <si>
    <t xml:space="preserve">S268820 - SOFA MORETTO OMEGA PLATA (MATIZ CAOBA) (KAREN TATIANA GUALDRON CHAPARRO)</t>
  </si>
  <si>
    <t xml:space="preserve">S268820 - FLETE (KAREN TATIANA GUALDRON CHAPARRO)</t>
  </si>
  <si>
    <t xml:space="preserve">__export__.sale_order_283223_871e6229</t>
  </si>
  <si>
    <t xml:space="preserve">EL272</t>
  </si>
  <si>
    <t xml:space="preserve">__export__.product_product_319598_6c5ab700</t>
  </si>
  <si>
    <t xml:space="preserve">MESA ANDARA JG4 BLANCO (MATIZ CAOBA)</t>
  </si>
  <si>
    <t xml:space="preserve">LINA MARCELA MESA BEDOYA</t>
  </si>
  <si>
    <t xml:space="preserve">Caso # 236903</t>
  </si>
  <si>
    <t xml:space="preserve">CARRERA 14  # 28 - 49 / 61 TERRAZAS DE SAN RAFAEL APTO 306</t>
  </si>
  <si>
    <t xml:space="preserve">+57 300 4949509</t>
  </si>
  <si>
    <t xml:space="preserve">PD12915 (EL272)</t>
  </si>
  <si>
    <t xml:space="preserve">marcela_ambientes@hotmail.com</t>
  </si>
  <si>
    <t xml:space="preserve">EDWIN TORRES</t>
  </si>
  <si>
    <t xml:space="preserve">S268809 - MESA ANDARA JG4 BLANCO (MATIZ CAOBA) (LINA MARCELA MESA BEDOYA)</t>
  </si>
  <si>
    <t xml:space="preserve">S268809</t>
  </si>
  <si>
    <t xml:space="preserve">__export__.product_product_326816_74169cbc</t>
  </si>
  <si>
    <t xml:space="preserve">SILLA SABINA DORSEY INDIGO (MATIZ CAOBA)</t>
  </si>
  <si>
    <t xml:space="preserve">S268809 - SILLA SABINA DORSEY INDIGO (MATIZ CAOBA) (LINA MARCELA MESA BEDOYA)</t>
  </si>
  <si>
    <t xml:space="preserve">__export__.product_product_324773_d64ca6c2</t>
  </si>
  <si>
    <t xml:space="preserve">SOFA MUNICH DORSEY INDIGO (MATIZ CAOBA)</t>
  </si>
  <si>
    <t xml:space="preserve">S268809 - SOFA MUNICH DORSEY INDIGO (MATIZ CAOBA) (LINA MARCELA MESA BEDOYA)</t>
  </si>
  <si>
    <t xml:space="preserve">__export__.product_product_315903_528f23c3</t>
  </si>
  <si>
    <t xml:space="preserve">MESA DE CENTRO BARZA BLANCO (MATIZ CAOBA)</t>
  </si>
  <si>
    <t xml:space="preserve">S268809 - MESA DE CENTRO BARZA BLANCO (MATIZ CAOBA) (LINA MARCELA MESA BEDOYA)</t>
  </si>
  <si>
    <t xml:space="preserve">__export__.product_product_279286_322bb722</t>
  </si>
  <si>
    <t xml:space="preserve">COJIN VENECIA DORSEY PLATA</t>
  </si>
  <si>
    <t xml:space="preserve">S268809 - COJIN VENECIA DORSEY PLATA (LINA MARCELA MESA BEDOYA)</t>
  </si>
  <si>
    <t xml:space="preserve">S268809 - FLETE (LINA MARCELA MESA BEDOYA)</t>
  </si>
  <si>
    <t xml:space="preserve">__export__.sale_order_283213_060a5016</t>
  </si>
  <si>
    <t xml:space="preserve">ET2302</t>
  </si>
  <si>
    <t xml:space="preserve">__export__.product_product_334620_61722bdb</t>
  </si>
  <si>
    <t xml:space="preserve">MESA CHICAGO JG4 BALI-WENGUE</t>
  </si>
  <si>
    <t xml:space="preserve">BALI-WENGUE</t>
  </si>
  <si>
    <t xml:space="preserve">KAROL MAYERLY LIZETH TOVAR VARGAS</t>
  </si>
  <si>
    <t xml:space="preserve">kra 14a #13d - 34 Santa Isabel</t>
  </si>
  <si>
    <t xml:space="preserve">+57 300 8116897</t>
  </si>
  <si>
    <t xml:space="preserve">PD12903 (ET2302)</t>
  </si>
  <si>
    <t xml:space="preserve">karoltovar624@gmail.com</t>
  </si>
  <si>
    <t xml:space="preserve">S268799 - MESA CHICAGO JG4 BALI-WENGUE (KAROL MAYERLY LIZETH TOVAR VARGAS)</t>
  </si>
  <si>
    <t xml:space="preserve">S268799</t>
  </si>
  <si>
    <t xml:space="preserve">__export__.product_product_333814_369ea583</t>
  </si>
  <si>
    <t xml:space="preserve">SILLA TOKYO OMEGA PLATA (METALICA WENGUE)</t>
  </si>
  <si>
    <t xml:space="preserve">METALICO-MATIZ-WENGUE</t>
  </si>
  <si>
    <t xml:space="preserve">S268799 - SILLA TOKYO OMEGA PLATA (METALICA WENGUE) (KAROL MAYERLY LIZETH TOVAR VARGAS)</t>
  </si>
  <si>
    <t xml:space="preserve">__export__.product_product_333817_d0374a35</t>
  </si>
  <si>
    <t xml:space="preserve">SILLA TOKYO OMEGA GRIS (METALICA WENGUE)</t>
  </si>
  <si>
    <t xml:space="preserve">S268799 - SILLA TOKYO OMEGA GRIS (METALICA WENGUE) (KAROL MAYERLY LIZETH TOVAR VARGAS)</t>
  </si>
  <si>
    <t xml:space="preserve">__export__.product_product_334619_cc480c6b</t>
  </si>
  <si>
    <t xml:space="preserve">SOFA MORETTO OMEGA PLATA (MATIZ WENGUE)</t>
  </si>
  <si>
    <t xml:space="preserve">S268799 - SOFA MORETTO OMEGA PLATA (MATIZ WENGUE) (KAROL MAYERLY LIZETH TOVAR VARGAS)</t>
  </si>
  <si>
    <t xml:space="preserve">__export__.product_product_281847_ef7c2892</t>
  </si>
  <si>
    <t xml:space="preserve">OBSEQUIO COJIN DECORATIVO</t>
  </si>
  <si>
    <t xml:space="preserve">OBSEQUIO-DECORATIVO</t>
  </si>
  <si>
    <t xml:space="preserve">S268799 - OBSEQUIO COJIN DECORATIVO (KAROL MAYERLY LIZETH TOVAR VARGAS)</t>
  </si>
  <si>
    <t xml:space="preserve">S268799 - FLETE (KAROL MAYERLY LIZETH TOVAR VARGAS)</t>
  </si>
  <si>
    <t xml:space="preserve">__export__.sale_order_283195_4f765b1a</t>
  </si>
  <si>
    <t xml:space="preserve">__export__.product_product_239215_7eddc150</t>
  </si>
  <si>
    <t xml:space="preserve">POLTRONA BALTIMORE DICOSTA GRIS (MATIZ NATURAL)</t>
  </si>
  <si>
    <t xml:space="preserve">INVERSIONES ALCABAMA S A</t>
  </si>
  <si>
    <t xml:space="preserve">CL 19A #120 ALMAGRARIO FONTIBÓN</t>
  </si>
  <si>
    <t xml:space="preserve">582510-603161</t>
  </si>
  <si>
    <t xml:space="preserve">S268781 - Sin descripción (INVERSIONES ALCABAMA S A  )</t>
  </si>
  <si>
    <t xml:space="preserve">S268781</t>
  </si>
  <si>
    <t xml:space="preserve">1.2 ENVIA</t>
  </si>
  <si>
    <t xml:space="preserve">__export__.product_product_317819_2be79951</t>
  </si>
  <si>
    <t xml:space="preserve">MESA DE CENTRO KAZAN WENGUE</t>
  </si>
  <si>
    <t xml:space="preserve">KAZAN</t>
  </si>
  <si>
    <t xml:space="preserve">__export__.sale_order_283068_832a0028</t>
  </si>
  <si>
    <t xml:space="preserve">__export__.product_product_272677_038de425</t>
  </si>
  <si>
    <t xml:space="preserve">POLTRONA TOULOUSE DENVER GRIS (MATIZ NATURAL)</t>
  </si>
  <si>
    <t xml:space="preserve">DANIELA ARBELAEZ TREJOS</t>
  </si>
  <si>
    <t xml:space="preserve">CALI</t>
  </si>
  <si>
    <t xml:space="preserve">AVE 2F NORTE #32A-30 BALCONES DE LA FLORA|:=:|TORRE E APTO 310</t>
  </si>
  <si>
    <t xml:space="preserve">DANIELAARBELAEZ75@GMAIL.COM</t>
  </si>
  <si>
    <t xml:space="preserve">S268654 - Sin descripción (DANIELA ARBELAEZ TREJOS)</t>
  </si>
  <si>
    <t xml:space="preserve">S268654</t>
  </si>
  <si>
    <t xml:space="preserve">__export__.sale_order_282776_452665cc</t>
  </si>
  <si>
    <t xml:space="preserve">DL1808</t>
  </si>
  <si>
    <t xml:space="preserve">__export__.product_product_296994_c5dbb66a</t>
  </si>
  <si>
    <t xml:space="preserve">MESA VORU MADERA JG6 BLANCO (MATIZ NATURAL)</t>
  </si>
  <si>
    <t xml:space="preserve">VORU-MADERA-JG6</t>
  </si>
  <si>
    <t xml:space="preserve">ISABELLA CORTES TENORIO</t>
  </si>
  <si>
    <t xml:space="preserve">Caso # 238295</t>
  </si>
  <si>
    <t xml:space="preserve">CALLE 188 # 55A-61  APARTAMENTO 501 INTERIOR 2,  CENTRO COMERCIAL Y DE VIVIENDA SAN PEDRO PLAZA II BARRIO: Mirandela</t>
  </si>
  <si>
    <t xml:space="preserve">+57 316 8827487</t>
  </si>
  <si>
    <t xml:space="preserve">PD12826 (DL1808)</t>
  </si>
  <si>
    <t xml:space="preserve">isabellacortest31@gmail.com</t>
  </si>
  <si>
    <t xml:space="preserve">S268362 - MESA VORU MADERA JG6 BLANCO (MATIZ NATURAL) (ISABELLA CORTES TENORIO)</t>
  </si>
  <si>
    <t xml:space="preserve">S268362</t>
  </si>
  <si>
    <t xml:space="preserve">__export__.product_product_208510_676dc981</t>
  </si>
  <si>
    <t xml:space="preserve">SILLA ORLEANS DICOSTA GRIS</t>
  </si>
  <si>
    <t xml:space="preserve">ORLEANS</t>
  </si>
  <si>
    <t xml:space="preserve">S268362 - SILLA ORLEANS DICOSTA GRIS (ISABELLA CORTES TENORIO)</t>
  </si>
  <si>
    <t xml:space="preserve">__export__.product_product_325729_a8f4f85a</t>
  </si>
  <si>
    <t xml:space="preserve">SOFA HANNOVER 2P DICOSTA GRIS (MATIZ NATURAL)</t>
  </si>
  <si>
    <t xml:space="preserve">S268362 - SOFA HANNOVER 2P DICOSTA GRIS (MATIZ NATURAL) (ISABELLA CORTES TENORIO)</t>
  </si>
  <si>
    <t xml:space="preserve">S268362 - FLETE (ISABELLA CORTES TENORIO)</t>
  </si>
  <si>
    <t xml:space="preserve">__export__.sale_order_282855_85521c47</t>
  </si>
  <si>
    <t xml:space="preserve">TERESA ARIZMENDY</t>
  </si>
  <si>
    <t xml:space="preserve">CALLE 60 SUR # 65 09  BARRIO MADELENA|:=:|CASA </t>
  </si>
  <si>
    <t xml:space="preserve">TEREARIZMENDY@HOTMAIL.COM</t>
  </si>
  <si>
    <t xml:space="preserve">S268441 - Sin descripción (TERESA ARIZMENDY)</t>
  </si>
  <si>
    <t xml:space="preserve">S268441</t>
  </si>
  <si>
    <t xml:space="preserve">__export__.sale_order_282848_e8958c8a</t>
  </si>
  <si>
    <t xml:space="preserve">NILSON CHARRY</t>
  </si>
  <si>
    <t xml:space="preserve">LA ESTRELLA</t>
  </si>
  <si>
    <t xml:space="preserve">Calle 73 SUR # 63AA 185 TORRE 2 APTO 1710 POLARIS</t>
  </si>
  <si>
    <t xml:space="preserve">nilssonyass@hotmail.com</t>
  </si>
  <si>
    <t xml:space="preserve">S268434 - Sin descripción (NILSON CHARRY )</t>
  </si>
  <si>
    <t xml:space="preserve">S268434</t>
  </si>
  <si>
    <t xml:space="preserve">__export__.sale_order_282745_1af40469</t>
  </si>
  <si>
    <t xml:space="preserve">__export__.product_product_176885_f6368e26</t>
  </si>
  <si>
    <t xml:space="preserve">SOFA PORTO DICOSTA TAUPE (MATIZ NATURAL)</t>
  </si>
  <si>
    <t xml:space="preserve">LADY VANESSA CACERES SALAS</t>
  </si>
  <si>
    <t xml:space="preserve">QUIBDO</t>
  </si>
  <si>
    <t xml:space="preserve">Chocó (CO)</t>
  </si>
  <si>
    <t xml:space="preserve">CARRERA 31B #24-34  |:=:|BARRIO JARDIN</t>
  </si>
  <si>
    <t xml:space="preserve">S268334 - Sin descripción (LADY VANESSA CACERES SALAS)</t>
  </si>
  <si>
    <t xml:space="preserve">S268334</t>
  </si>
  <si>
    <t xml:space="preserve">__export__.sale_order_282502_b0df4a51</t>
  </si>
  <si>
    <t xml:space="preserve">__export__.product_product_333366_fe4d8188</t>
  </si>
  <si>
    <t xml:space="preserve">SOFA MORETTO SKY GRIS (MATIZ CAOBA)</t>
  </si>
  <si>
    <t xml:space="preserve">ISABELLA SANTIS NIÑO</t>
  </si>
  <si>
    <t xml:space="preserve">BUCARAMANGA</t>
  </si>
  <si>
    <t xml:space="preserve">Santander (CO)</t>
  </si>
  <si>
    <t xml:space="preserve">Carrera 23 # 14 - 46 Apto 705 Edificio vive Mardel Tel: 3156485736 SAN FRANCISCO</t>
  </si>
  <si>
    <t xml:space="preserve">S268091 - Sin descripción (ISABELLA SANTIS NIÑO)</t>
  </si>
  <si>
    <t xml:space="preserve">S268091</t>
  </si>
  <si>
    <t xml:space="preserve">__export__.sale_order_282320_f332eb9e</t>
  </si>
  <si>
    <t xml:space="preserve">IG2016</t>
  </si>
  <si>
    <t xml:space="preserve">__export__.product_product_326292_3111cf41</t>
  </si>
  <si>
    <t xml:space="preserve">ESCRITORIO CELES BLANCO (MATIZ NATURAL)</t>
  </si>
  <si>
    <t xml:space="preserve">CELES</t>
  </si>
  <si>
    <t xml:space="preserve">YUDY RUIZ</t>
  </si>
  <si>
    <t xml:space="preserve">CALLE 23 N 3 21</t>
  </si>
  <si>
    <t xml:space="preserve">+57 321 3352263</t>
  </si>
  <si>
    <t xml:space="preserve">PD12735 (IG2015)</t>
  </si>
  <si>
    <t xml:space="preserve">YU_DYBERNAL@HOTMAIL.COM</t>
  </si>
  <si>
    <t xml:space="preserve">INGRID GACHA</t>
  </si>
  <si>
    <t xml:space="preserve">S267909 - ESCRITORIO CELES BLANCO (MATIZ NATURAL) (YUDY RUIZ)</t>
  </si>
  <si>
    <t xml:space="preserve">S267909</t>
  </si>
  <si>
    <t xml:space="preserve">__export__.sale_order_282319_19fe4e07</t>
  </si>
  <si>
    <t xml:space="preserve">IG2015</t>
  </si>
  <si>
    <t xml:space="preserve">__export__.product_product_329495_42943e5c</t>
  </si>
  <si>
    <t xml:space="preserve">SILLA SABINA SKY SALMON (MATIZ CAOBA)</t>
  </si>
  <si>
    <t xml:space="preserve">PATRICIA ROMERO</t>
  </si>
  <si>
    <t xml:space="preserve">AVENIDA CALLE 100 N 09 A 79</t>
  </si>
  <si>
    <t xml:space="preserve">+57 320 2112787</t>
  </si>
  <si>
    <t xml:space="preserve">PD12734 (IG2015)</t>
  </si>
  <si>
    <t xml:space="preserve">ROMERO.PATRICIA@HOTMAIL.COM</t>
  </si>
  <si>
    <t xml:space="preserve">S267908 - SILLA SABINA SKY SALMON (MATIZ CAOBA) (PATRICIA ROMERO)</t>
  </si>
  <si>
    <t xml:space="preserve">S267908</t>
  </si>
  <si>
    <t xml:space="preserve">__export__.sale_order_282272_1a3aa44d</t>
  </si>
  <si>
    <t xml:space="preserve">CM651</t>
  </si>
  <si>
    <t xml:space="preserve">__export__.product_product_321612_404554c4</t>
  </si>
  <si>
    <t xml:space="preserve">CHAISE BRAZO IZQUIERDO CHELSEA DICOSTA TRIGO (MATIZ CAOBA)</t>
  </si>
  <si>
    <t xml:space="preserve">GLOBYTE SAS</t>
  </si>
  <si>
    <t xml:space="preserve">CASO 237969</t>
  </si>
  <si>
    <t xml:space="preserve">900595388-1</t>
  </si>
  <si>
    <t xml:space="preserve">carrera 4 este # 46b -39 manzana o casa 2</t>
  </si>
  <si>
    <t xml:space="preserve">+57 313 4776725</t>
  </si>
  <si>
    <t xml:space="preserve">+57 302 2995831</t>
  </si>
  <si>
    <t xml:space="preserve">PD12691 (CM651)</t>
  </si>
  <si>
    <t xml:space="preserve">williamsuarez@globyte.co</t>
  </si>
  <si>
    <t xml:space="preserve">CRISTIAN MIÑO</t>
  </si>
  <si>
    <t xml:space="preserve">S267861 - CHAISE BRAZO IZQUIERDO CHELSEA DICOSTA TRIGO (MATIZ CAOBA) (GLOBYTE SAS)</t>
  </si>
  <si>
    <t xml:space="preserve">S267861</t>
  </si>
  <si>
    <t xml:space="preserve">__export__.product_product_321578_76490b22</t>
  </si>
  <si>
    <t xml:space="preserve">SOFA BRAZO DERECHO CHELSEA DICOSTA TRIGO (MATIZ CAOBA)</t>
  </si>
  <si>
    <t xml:space="preserve">S267861 - SOFA BRAZO DERECHO CHELSEA DICOSTA TRIGO (MATIZ CAOBA) (GLOBYTE SAS)</t>
  </si>
  <si>
    <t xml:space="preserve">__export__.product_product_318241_eeea0301</t>
  </si>
  <si>
    <t xml:space="preserve">POLTRONA DAYTONA DICOSTA PETROLEO (MATIZ CAOBA)</t>
  </si>
  <si>
    <t xml:space="preserve">S267861 - POLTRONA DAYTONA DICOSTA PETROLEO (MATIZ CAOBA) (GLOBYTE SAS)</t>
  </si>
  <si>
    <t xml:space="preserve">__export__.product_product_328990_933e950b</t>
  </si>
  <si>
    <t xml:space="preserve">MESA DE CENTRO ARK MACULA - NEGRO</t>
  </si>
  <si>
    <t xml:space="preserve">ARK</t>
  </si>
  <si>
    <t xml:space="preserve">MACULA-NEGRO</t>
  </si>
  <si>
    <t xml:space="preserve">S267861 - MESA DE CENTRO ARK MACULA - NEGRO (GLOBYTE SAS)</t>
  </si>
  <si>
    <t xml:space="preserve">S267861 - FLETE (GLOBYTE SAS)</t>
  </si>
  <si>
    <t xml:space="preserve">__export__.product_product_188079_19b614ff</t>
  </si>
  <si>
    <t xml:space="preserve">COJIN VENECIA DICOSTA TRIGO</t>
  </si>
  <si>
    <t xml:space="preserve">S267861 - COJIN VENECIA DICOSTA TRIGO (GLOBYTE SAS)</t>
  </si>
  <si>
    <t xml:space="preserve">__export__.product_product_188076_0a9f9767</t>
  </si>
  <si>
    <t xml:space="preserve">COJIN VENECIA DICOSTA PETROLEO</t>
  </si>
  <si>
    <t xml:space="preserve">S267861 - COJIN VENECIA DICOSTA PETROLEO (GLOBYTE SAS)</t>
  </si>
  <si>
    <t xml:space="preserve">__export__.product_product_188072_47f1b67a</t>
  </si>
  <si>
    <t xml:space="preserve">COJIN VENECIA DICOSTA MOSTAZA</t>
  </si>
  <si>
    <t xml:space="preserve">S267861 - COJIN VENECIA DICOSTA MOSTAZA (GLOBYTE SAS)</t>
  </si>
  <si>
    <t xml:space="preserve">__export__.product_product_334471_16c710a0</t>
  </si>
  <si>
    <t xml:space="preserve">POLTRONA DAYTONA DICOSTA MOSTAZA (MATIZ CAOBA)</t>
  </si>
  <si>
    <t xml:space="preserve">S267861 - POLTRONA DAYTONA DICOSTA MOSTAZA (MATIZ CAOBA) (GLOBYTE SAS)</t>
  </si>
  <si>
    <t xml:space="preserve">__export__.sale_order_282271_ff44cb9c</t>
  </si>
  <si>
    <t xml:space="preserve">CM650</t>
  </si>
  <si>
    <t xml:space="preserve">__export__.product_product_333636_76cfbb3c</t>
  </si>
  <si>
    <t xml:space="preserve">SOFA MORETTO SKY AZUL (MATIZ CAOBA)</t>
  </si>
  <si>
    <t xml:space="preserve">JULY MABEL SUAREZ MOLANO</t>
  </si>
  <si>
    <t xml:space="preserve">CASO 237966</t>
  </si>
  <si>
    <t xml:space="preserve">Carrera 2 # 46-23</t>
  </si>
  <si>
    <t xml:space="preserve">+57 301 7912669</t>
  </si>
  <si>
    <t xml:space="preserve">+57 300 7189022</t>
  </si>
  <si>
    <t xml:space="preserve">PD12690 (CM650)</t>
  </si>
  <si>
    <t xml:space="preserve">julysumo19@hotmail.com</t>
  </si>
  <si>
    <t xml:space="preserve">S267860 - SOFA MORETTO SKY AZUL (MATIZ CAOBA) (JULY MABEL SUAREZ MOLANO)</t>
  </si>
  <si>
    <t xml:space="preserve">S267860</t>
  </si>
  <si>
    <t xml:space="preserve">__export__.product_product_330919_93c01e41</t>
  </si>
  <si>
    <t xml:space="preserve">POLTRONA BARU SKY GRIS (MATIZ CAOBA)</t>
  </si>
  <si>
    <t xml:space="preserve">S267860 - POLTRONA BARU SKY GRIS (MATIZ CAOBA) (JULY MABEL SUAREZ MOLANO)</t>
  </si>
  <si>
    <t xml:space="preserve">S267860 - MESA DE CENTRO NOVA MACULA (MATIZ CAOBA) (JULY MABEL SUAREZ MOLANO)</t>
  </si>
  <si>
    <t xml:space="preserve">S267860 - FLETE (JULY MABEL SUAREZ MOLANO)</t>
  </si>
  <si>
    <t xml:space="preserve">S267860 - COJIN VENECIA SKY SALMON (JULY MABEL SUAREZ MOLANO)</t>
  </si>
  <si>
    <t xml:space="preserve">__export__.sale_order_282040_ca1d9562</t>
  </si>
  <si>
    <t xml:space="preserve">HVM26374</t>
  </si>
  <si>
    <t xml:space="preserve">__export__.product_product_320355_c1c93e64</t>
  </si>
  <si>
    <t xml:space="preserve">SOFA BOSNIA DICOSTA GRIS</t>
  </si>
  <si>
    <t xml:space="preserve">HVM156</t>
  </si>
  <si>
    <t xml:space="preserve">S267629 - Sin descripción (INVENTARIO HOGAR VENECIA)</t>
  </si>
  <si>
    <t xml:space="preserve">S267629</t>
  </si>
  <si>
    <t xml:space="preserve">__export__.sale_order_281976_54c38a75</t>
  </si>
  <si>
    <t xml:space="preserve">HVM26310</t>
  </si>
  <si>
    <t xml:space="preserve">__export__.product_product_191212_004d105d</t>
  </si>
  <si>
    <t xml:space="preserve">SOFA TOULOUSE DUSTER GRIS (MATIZ NATURAL)</t>
  </si>
  <si>
    <t xml:space="preserve">HVM15</t>
  </si>
  <si>
    <t xml:space="preserve">S267565 - Sin descripción (INVENTARIO HOGAR VENECIA)</t>
  </si>
  <si>
    <t xml:space="preserve">S267565</t>
  </si>
  <si>
    <t xml:space="preserve">__export__.sale_order_281973_40837b43</t>
  </si>
  <si>
    <t xml:space="preserve">HVM26307</t>
  </si>
  <si>
    <t xml:space="preserve">S267562 - Sin descripción (INVENTARIO HOGAR VENECIA)</t>
  </si>
  <si>
    <t xml:space="preserve">S267562</t>
  </si>
  <si>
    <t xml:space="preserve">__export__.sale_order_281946_eb00cb7c</t>
  </si>
  <si>
    <t xml:space="preserve">HVM26280</t>
  </si>
  <si>
    <t xml:space="preserve">__export__.product_product_286652_dbbcf1d8</t>
  </si>
  <si>
    <t xml:space="preserve">CAMA MONTESSORI BLANCO MATIZ-NATURAL</t>
  </si>
  <si>
    <t xml:space="preserve">INFANTIL-MONTESSORI</t>
  </si>
  <si>
    <t xml:space="preserve">HVM24</t>
  </si>
  <si>
    <t xml:space="preserve">S267535 - Sin descripción (INVENTARIO HOGAR VENECIA)</t>
  </si>
  <si>
    <t xml:space="preserve">S267535</t>
  </si>
  <si>
    <t xml:space="preserve">__export__.sale_order_281860_88fab7f7</t>
  </si>
  <si>
    <t xml:space="preserve">HVM26194</t>
  </si>
  <si>
    <t xml:space="preserve">__export__.product_product_191484_4719809a</t>
  </si>
  <si>
    <t xml:space="preserve">SOFA TOULOUSE DUSTER BEIGE (MATIZ CARAMELO)</t>
  </si>
  <si>
    <t xml:space="preserve">HVM139</t>
  </si>
  <si>
    <t xml:space="preserve">S267449 - Sin descripción (INVENTARIO HOGAR VENECIA)</t>
  </si>
  <si>
    <t xml:space="preserve">S267449</t>
  </si>
  <si>
    <t xml:space="preserve">__export__.sale_order_281859_65b8f8dc</t>
  </si>
  <si>
    <t xml:space="preserve">HVM26193</t>
  </si>
  <si>
    <t xml:space="preserve">S267448 - Sin descripción (INVENTARIO HOGAR VENECIA)</t>
  </si>
  <si>
    <t xml:space="preserve">S267448</t>
  </si>
  <si>
    <t xml:space="preserve">__export__.sale_order_281858_55e596e8</t>
  </si>
  <si>
    <t xml:space="preserve">HVM26192</t>
  </si>
  <si>
    <t xml:space="preserve">S267447 - Sin descripción (INVENTARIO HOGAR VENECIA)</t>
  </si>
  <si>
    <t xml:space="preserve">S267447</t>
  </si>
  <si>
    <t xml:space="preserve">__export__.sale_order_281857_7df0eb93</t>
  </si>
  <si>
    <t xml:space="preserve">HVM26191</t>
  </si>
  <si>
    <t xml:space="preserve">S267446 - Sin descripción (INVENTARIO HOGAR VENECIA)</t>
  </si>
  <si>
    <t xml:space="preserve">S267446</t>
  </si>
  <si>
    <t xml:space="preserve">__export__.sale_order_281839_f52096a3</t>
  </si>
  <si>
    <t xml:space="preserve">HVM26173</t>
  </si>
  <si>
    <t xml:space="preserve">__export__.product_product_176105_c9430812</t>
  </si>
  <si>
    <t xml:space="preserve">SOFA NAVARA DUSTER GRIS (MATIZ NATURAL)</t>
  </si>
  <si>
    <t xml:space="preserve">SOFA + POLTRONA NAVARA DUSTER GRIS + MC NOVA BLANCO</t>
  </si>
  <si>
    <t xml:space="preserve">HVM1</t>
  </si>
  <si>
    <t xml:space="preserve">S267428 - Sin descripción (INVENTARIO HOGAR VENECIA)</t>
  </si>
  <si>
    <t xml:space="preserve">S267428</t>
  </si>
  <si>
    <t xml:space="preserve">__export__.product_product_180195_683ba000</t>
  </si>
  <si>
    <t xml:space="preserve">POLTRONA PORTO DUSTER GRIS (MATIZ NATURAL)</t>
  </si>
  <si>
    <t xml:space="preserve">__export__.sale_order_281838_d1e60973</t>
  </si>
  <si>
    <t xml:space="preserve">HVM26172</t>
  </si>
  <si>
    <t xml:space="preserve">S267427 - Sin descripción (INVENTARIO HOGAR VENECIA)</t>
  </si>
  <si>
    <t xml:space="preserve">S267427</t>
  </si>
  <si>
    <t xml:space="preserve">__export__.sale_order_281806_edc06f01</t>
  </si>
  <si>
    <t xml:space="preserve">HVM26140</t>
  </si>
  <si>
    <t xml:space="preserve">__export__.product_product_207974_6e5bbc57</t>
  </si>
  <si>
    <t xml:space="preserve">SOFA MUNICH DENVER PLATA (MATIZ NATURAL)</t>
  </si>
  <si>
    <t xml:space="preserve">HVM135</t>
  </si>
  <si>
    <t xml:space="preserve">S267395 - Sin descripción (INVENTARIO HOGAR VENECIA)</t>
  </si>
  <si>
    <t xml:space="preserve">S267395</t>
  </si>
  <si>
    <t xml:space="preserve">__export__.sale_order_281801_4e0ac034</t>
  </si>
  <si>
    <t xml:space="preserve">HVM26135</t>
  </si>
  <si>
    <t xml:space="preserve">S267390 - Sin descripción (INVENTARIO HOGAR VENECIA)</t>
  </si>
  <si>
    <t xml:space="preserve">S267390</t>
  </si>
  <si>
    <t xml:space="preserve">__export__.sale_order_281800_dd4bc4b9</t>
  </si>
  <si>
    <t xml:space="preserve">HVM26134</t>
  </si>
  <si>
    <t xml:space="preserve">S267389 - Sin descripción (INVENTARIO HOGAR VENECIA)</t>
  </si>
  <si>
    <t xml:space="preserve">S267389</t>
  </si>
  <si>
    <t xml:space="preserve">__export__.sale_order_281792_5c1d65ca</t>
  </si>
  <si>
    <t xml:space="preserve">HVM26126</t>
  </si>
  <si>
    <t xml:space="preserve">S267381 - Sin descripción (INVENTARIO HOGAR VENECIA)</t>
  </si>
  <si>
    <t xml:space="preserve">S267381</t>
  </si>
  <si>
    <t xml:space="preserve">__export__.sale_order_281791_0296cefc</t>
  </si>
  <si>
    <t xml:space="preserve">HVM26125</t>
  </si>
  <si>
    <t xml:space="preserve">S267380 - Sin descripción (INVENTARIO HOGAR VENECIA)</t>
  </si>
  <si>
    <t xml:space="preserve">S267380</t>
  </si>
  <si>
    <t xml:space="preserve">__export__.sale_order_281759_86e50941</t>
  </si>
  <si>
    <t xml:space="preserve">HVM26093</t>
  </si>
  <si>
    <t xml:space="preserve">HVM74</t>
  </si>
  <si>
    <t xml:space="preserve">S267348 - Sin descripción (INVENTARIO HOGAR VENECIA)</t>
  </si>
  <si>
    <t xml:space="preserve">S267348</t>
  </si>
  <si>
    <t xml:space="preserve">__export__.sale_order_281758_101e4241</t>
  </si>
  <si>
    <t xml:space="preserve">HVM26092</t>
  </si>
  <si>
    <t xml:space="preserve">S267347 - Sin descripción (INVENTARIO HOGAR VENECIA)</t>
  </si>
  <si>
    <t xml:space="preserve">S267347</t>
  </si>
  <si>
    <t xml:space="preserve">__export__.sale_order_281723_34a397e5</t>
  </si>
  <si>
    <t xml:space="preserve">HVM26057</t>
  </si>
  <si>
    <t xml:space="preserve">SOFA + 2 POLTRONA TOULOUSE DUSTER GRIS + MC TOULOUSE NATURAL</t>
  </si>
  <si>
    <t xml:space="preserve">HVM2</t>
  </si>
  <si>
    <t xml:space="preserve">S267312 - Sin descripción (INVENTARIO HOGAR VENECIA)</t>
  </si>
  <si>
    <t xml:space="preserve">S267312</t>
  </si>
  <si>
    <t xml:space="preserve">__export__.product_product_189817_f3512aaa</t>
  </si>
  <si>
    <t xml:space="preserve">POLTRONA TOULOUSE DUSTER GRIS (MATIZ NATURAL)</t>
  </si>
  <si>
    <t xml:space="preserve">__export__.product_product_191422_64bcc570</t>
  </si>
  <si>
    <t xml:space="preserve">MESA DE CENTRO TOULOUSE MATIZ NATURAL (NEGRO)</t>
  </si>
  <si>
    <t xml:space="preserve">__export__.sale_order_281721_06b78f5e</t>
  </si>
  <si>
    <t xml:space="preserve">HVM26055</t>
  </si>
  <si>
    <t xml:space="preserve">S267310 - Sin descripción (INVENTARIO HOGAR VENECIA)</t>
  </si>
  <si>
    <t xml:space="preserve">S267310</t>
  </si>
  <si>
    <t xml:space="preserve">__export__.sale_order_281719_5df0d0f5</t>
  </si>
  <si>
    <t xml:space="preserve">HVM26053</t>
  </si>
  <si>
    <t xml:space="preserve">S267308 - Sin descripción (INVENTARIO HOGAR VENECIA)</t>
  </si>
  <si>
    <t xml:space="preserve">S267308</t>
  </si>
  <si>
    <t xml:space="preserve">__export__.sale_order_281644_b8cbd00f</t>
  </si>
  <si>
    <t xml:space="preserve">HVM25978</t>
  </si>
  <si>
    <t xml:space="preserve">__export__.product_product_176906_2076c974</t>
  </si>
  <si>
    <t xml:space="preserve">SOFA PORTO DUSTER PLATA (MATIZ NATURAL)</t>
  </si>
  <si>
    <t xml:space="preserve">SOFA + 2 POLTRONAS PORTO DUSTER PLATA + MN NOVA BLANCO</t>
  </si>
  <si>
    <t xml:space="preserve">HVM11</t>
  </si>
  <si>
    <t xml:space="preserve">S267233 - Sin descripción (INVENTARIO HOGAR VENECIA)</t>
  </si>
  <si>
    <t xml:space="preserve">S267233</t>
  </si>
  <si>
    <t xml:space="preserve">__export__.product_product_180192_31c5b56a</t>
  </si>
  <si>
    <t xml:space="preserve">POLTRONA PORTO DUSTER PLATA (MATIZ NATURAL)</t>
  </si>
  <si>
    <t xml:space="preserve">__export__.sale_order_281643_0aee38cc</t>
  </si>
  <si>
    <t xml:space="preserve">HVM25977</t>
  </si>
  <si>
    <t xml:space="preserve">S267232 - Sin descripción (INVENTARIO HOGAR VENECIA)</t>
  </si>
  <si>
    <t xml:space="preserve">S267232</t>
  </si>
  <si>
    <t xml:space="preserve">__export__.sale_order_281642_86de196f</t>
  </si>
  <si>
    <t xml:space="preserve">HVM25976</t>
  </si>
  <si>
    <t xml:space="preserve">S267231 - Sin descripción (INVENTARIO HOGAR VENECIA)</t>
  </si>
  <si>
    <t xml:space="preserve">S267231</t>
  </si>
  <si>
    <t xml:space="preserve">__export__.sale_order_281551_5618e596</t>
  </si>
  <si>
    <t xml:space="preserve">HVM25885</t>
  </si>
  <si>
    <t xml:space="preserve">__export__.product_product_191488_87a2b92b</t>
  </si>
  <si>
    <t xml:space="preserve">SOFA TOULOUSE DUSTER PLATA (MATIZ NATURAL)</t>
  </si>
  <si>
    <t xml:space="preserve">HVM58</t>
  </si>
  <si>
    <t xml:space="preserve">S267140 - Sin descripción (INVENTARIO HOGAR VENECIA)</t>
  </si>
  <si>
    <t xml:space="preserve">S267140</t>
  </si>
  <si>
    <t xml:space="preserve">__export__.sale_order_281550_9210d327</t>
  </si>
  <si>
    <t xml:space="preserve">HVM25884</t>
  </si>
  <si>
    <t xml:space="preserve">S267139 - Sin descripción (INVENTARIO HOGAR VENECIA)</t>
  </si>
  <si>
    <t xml:space="preserve">S267139</t>
  </si>
  <si>
    <t xml:space="preserve">__export__.sale_order_281549_977c5b4b</t>
  </si>
  <si>
    <t xml:space="preserve">HVM25883</t>
  </si>
  <si>
    <t xml:space="preserve">S267138 - Sin descripción (INVENTARIO HOGAR VENECIA)</t>
  </si>
  <si>
    <t xml:space="preserve">S267138</t>
  </si>
  <si>
    <t xml:space="preserve">__export__.sale_order_281548_ad0786d6</t>
  </si>
  <si>
    <t xml:space="preserve">HVM25882</t>
  </si>
  <si>
    <t xml:space="preserve">S267137 - Sin descripción (INVENTARIO HOGAR VENECIA)</t>
  </si>
  <si>
    <t xml:space="preserve">S267137</t>
  </si>
  <si>
    <t xml:space="preserve">__export__.sale_order_281547_a05e7868</t>
  </si>
  <si>
    <t xml:space="preserve">HVM25881</t>
  </si>
  <si>
    <t xml:space="preserve">S267136 - Sin descripción (INVENTARIO HOGAR VENECIA)</t>
  </si>
  <si>
    <t xml:space="preserve">S267136</t>
  </si>
  <si>
    <t xml:space="preserve">__export__.sale_order_281467_001423c0</t>
  </si>
  <si>
    <t xml:space="preserve">HVM25801</t>
  </si>
  <si>
    <t xml:space="preserve">S267056 - Sin descripción (INVENTARIO HOGAR VENECIA)</t>
  </si>
  <si>
    <t xml:space="preserve">S267056</t>
  </si>
  <si>
    <t xml:space="preserve">__export__.sale_order_281466_081cbe89</t>
  </si>
  <si>
    <t xml:space="preserve">HVM25800</t>
  </si>
  <si>
    <t xml:space="preserve">S267055 - Sin descripción (INVENTARIO HOGAR VENECIA)</t>
  </si>
  <si>
    <t xml:space="preserve">S267055</t>
  </si>
  <si>
    <t xml:space="preserve">__export__.sale_order_281465_136e3e1a</t>
  </si>
  <si>
    <t xml:space="preserve">HVM25799</t>
  </si>
  <si>
    <t xml:space="preserve">S267054 - Sin descripción (INVENTARIO HOGAR VENECIA)</t>
  </si>
  <si>
    <t xml:space="preserve">S267054</t>
  </si>
  <si>
    <t xml:space="preserve">__export__.sale_order_281464_1c0c373f</t>
  </si>
  <si>
    <t xml:space="preserve">HVM25798</t>
  </si>
  <si>
    <t xml:space="preserve">S267053 - Sin descripción (INVENTARIO HOGAR VENECIA)</t>
  </si>
  <si>
    <t xml:space="preserve">S267053</t>
  </si>
  <si>
    <t xml:space="preserve">__export__.sale_order_281463_67a931f6</t>
  </si>
  <si>
    <t xml:space="preserve">HVM25797</t>
  </si>
  <si>
    <t xml:space="preserve">S267052 - Sin descripción (INVENTARIO HOGAR VENECIA)</t>
  </si>
  <si>
    <t xml:space="preserve">S267052</t>
  </si>
  <si>
    <t xml:space="preserve">__export__.sale_order_280765_79544953</t>
  </si>
  <si>
    <t xml:space="preserve">MP768-TIENDA CEDRITOS</t>
  </si>
  <si>
    <t xml:space="preserve">__export__.product_product_299494_d3664c64</t>
  </si>
  <si>
    <t xml:space="preserve">MESA IRLANDA JG4 BLANCO (MATIZ NATURAL)</t>
  </si>
  <si>
    <t xml:space="preserve">IRLANDA-JG4</t>
  </si>
  <si>
    <t xml:space="preserve">ANA QUINTERO JAIME</t>
  </si>
  <si>
    <t xml:space="preserve">BOGOTÁ</t>
  </si>
  <si>
    <t xml:space="preserve">Cll 18 # 86 - 55 Parques de Ostende torre 10 apto 803 Hayuelos</t>
  </si>
  <si>
    <t xml:space="preserve">3142295714- 3114731034</t>
  </si>
  <si>
    <t xml:space="preserve">anaquintero18@hotmail.com</t>
  </si>
  <si>
    <t xml:space="preserve">S266354 - MESA IRLANDA JG4 BLANCO (MATIZ NATURAL) (ANA QUINTERO JAIME)</t>
  </si>
  <si>
    <t xml:space="preserve">S266354</t>
  </si>
  <si>
    <t xml:space="preserve">__export__.product_product_329770_24cdd7f5</t>
  </si>
  <si>
    <t xml:space="preserve">BASE POLTRONA SHANGHAI (MATIZ NATURAL)</t>
  </si>
  <si>
    <t xml:space="preserve">BASE-POLTRONA-SHANGHAI</t>
  </si>
  <si>
    <t xml:space="preserve">S266354 - BASE POLTRONA SHANGHAI (MATIZ NATURAL) (ANA QUINTERO JAIME)</t>
  </si>
  <si>
    <t xml:space="preserve">S266354 - FLETE RECOLECCION GARANTIA (ANA QUINTERO JAIME)</t>
  </si>
  <si>
    <t xml:space="preserve">S266354 - FLETE ENVIO GARANTIA (ANA QUINTERO JAIME)</t>
  </si>
  <si>
    <t xml:space="preserve">__export__.sale_order_280141_81cacfbb</t>
  </si>
  <si>
    <t xml:space="preserve">RP3256</t>
  </si>
  <si>
    <t xml:space="preserve">__export__.product_product_324259_25e00fad</t>
  </si>
  <si>
    <t xml:space="preserve">COJIN VENECIA SKY BEIGE</t>
  </si>
  <si>
    <t xml:space="preserve">JUBER FERNANDO HERNANDEZ FAJARDO</t>
  </si>
  <si>
    <t xml:space="preserve">CARRERA 13 # 7 A -26 LIBERTADOR</t>
  </si>
  <si>
    <t xml:space="preserve">+57 314 3290445</t>
  </si>
  <si>
    <t xml:space="preserve">+57 313 3693109</t>
  </si>
  <si>
    <t xml:space="preserve">PD12450 (RP3256)</t>
  </si>
  <si>
    <t xml:space="preserve">jfernandoh2007@gmail.com</t>
  </si>
  <si>
    <t xml:space="preserve">S265730 - COJIN VENECIA SKY BEIGE (JUBER FERNANDO HERNANDEZ FAJARDO)</t>
  </si>
  <si>
    <t xml:space="preserve">S265730</t>
  </si>
  <si>
    <t xml:space="preserve">__export__.sale_order_280012_3bdfb02c</t>
  </si>
  <si>
    <t xml:space="preserve">AR2348</t>
  </si>
  <si>
    <t xml:space="preserve">__export__.product_product_194291_e5649699</t>
  </si>
  <si>
    <t xml:space="preserve">SOFA MUNICH DICOSTA GRIS (MATIZ NATURAL)</t>
  </si>
  <si>
    <t xml:space="preserve">KARLA VIVIANA CARREÑO POLANIA</t>
  </si>
  <si>
    <t xml:space="preserve">Carrera 72C No. 22A-74 APARTAMENTO 921 CONJUNTO RESIDENCIAL EL OASIS LA FELICIDAD</t>
  </si>
  <si>
    <t xml:space="preserve">+57 314 4899935</t>
  </si>
  <si>
    <t xml:space="preserve">PD12398 (AR2348)</t>
  </si>
  <si>
    <t xml:space="preserve">karla71090@gmail.com</t>
  </si>
  <si>
    <t xml:space="preserve">S265601 - SOFA MUNICH DICOSTA GRIS (MATIZ NATURAL) (KARLA VIVIANA CARREÑO POLANIA)</t>
  </si>
  <si>
    <t xml:space="preserve">S265601</t>
  </si>
  <si>
    <t xml:space="preserve">__export__.product_product_163864_ce429eb8</t>
  </si>
  <si>
    <t xml:space="preserve">MESA TIZA JG4 BLANCO (MATIZ NATURAL)</t>
  </si>
  <si>
    <t xml:space="preserve">TIZA-JG4</t>
  </si>
  <si>
    <t xml:space="preserve">S265601 - MESA TIZA JG4 BLANCO (MATIZ NATURAL) (KARLA VIVIANA CARREÑO POLANIA)</t>
  </si>
  <si>
    <t xml:space="preserve">__export__.product_product_327011_b88b07c9</t>
  </si>
  <si>
    <t xml:space="preserve">SILLA BANFIELD GRIS (MATIZ NATURAL)</t>
  </si>
  <si>
    <t xml:space="preserve">S265601 - SILLA BANFIELD GRIS (MATIZ NATURAL) (KARLA VIVIANA CARREÑO POLANIA)</t>
  </si>
  <si>
    <t xml:space="preserve">__export__.product_product_188070_56026b5d</t>
  </si>
  <si>
    <t xml:space="preserve">COJIN VENECIA DICOSTA AQUA</t>
  </si>
  <si>
    <t xml:space="preserve">S265601 - COJIN VENECIA DICOSTA AQUA (KARLA VIVIANA CARREÑO POLANIA)</t>
  </si>
  <si>
    <t xml:space="preserve">__export__.product_product_188078_8a1bca65</t>
  </si>
  <si>
    <t xml:space="preserve">COJIN VENECIA DICOSTA ROSA</t>
  </si>
  <si>
    <t xml:space="preserve">S265601 - COJIN VENECIA DICOSTA ROSA (KARLA VIVIANA CARREÑO POLANIA)</t>
  </si>
  <si>
    <t xml:space="preserve">S265601 - FLETE (KARLA VIVIANA CARREÑO POLANIA)</t>
  </si>
  <si>
    <t xml:space="preserve">__export__.sale_order_277966_1b07bf27</t>
  </si>
  <si>
    <t xml:space="preserve">RP3230</t>
  </si>
  <si>
    <t xml:space="preserve">__export__.product_product_207980_a6db0b7c</t>
  </si>
  <si>
    <t xml:space="preserve">SOFA MUNICH DENVER TAUPE (MATIZ NATURAL)</t>
  </si>
  <si>
    <t xml:space="preserve">DIEGO ANDRES MORENO RIVERA</t>
  </si>
  <si>
    <t xml:space="preserve">CARRERA 4 # 3-72</t>
  </si>
  <si>
    <t xml:space="preserve">+57 321 3216296</t>
  </si>
  <si>
    <t xml:space="preserve">PD11838 (RP3230)</t>
  </si>
  <si>
    <t xml:space="preserve">dmrivera0808@gmail.com</t>
  </si>
  <si>
    <t xml:space="preserve">S263540 - SOFA MUNICH DENVER TAUPE (MATIZ NATURAL) (DIEGO ANDRES MORENO RIVERA)</t>
  </si>
  <si>
    <t xml:space="preserve">S263540</t>
  </si>
  <si>
    <t xml:space="preserve">__export__.product_product_272533_4d1b2543</t>
  </si>
  <si>
    <t xml:space="preserve">POLTRONA TOULOUSE DENVER CHOCOLATE (MATIZ NATURAL)</t>
  </si>
  <si>
    <t xml:space="preserve">S263540 - POLTRONA TOULOUSE DENVER CHOCOLATE (MATIZ NATURAL) (DIEGO ANDRES MORENO RIVERA)</t>
  </si>
  <si>
    <t xml:space="preserve">__export__.product_product_273031_daff8ed2</t>
  </si>
  <si>
    <t xml:space="preserve">PUFF PORTO DENVER TAUPE (MATIZ NATURAL)</t>
  </si>
  <si>
    <t xml:space="preserve">S263540 - PUFF PORTO DENVER TAUPE (MATIZ NATURAL) (DIEGO ANDRES MORENO RIVERA)</t>
  </si>
  <si>
    <t xml:space="preserve">S263540 - MESA DE CENTRO NOVA BLANCO (MATIZ NATURAL) (DIEGO ANDRES MORENO RIVERA)</t>
  </si>
  <si>
    <t xml:space="preserve">__export__.sale_order_272739_7cc3a397</t>
  </si>
  <si>
    <t xml:space="preserve">MP771-1</t>
  </si>
  <si>
    <t xml:space="preserve">XIOMARA ARIAS HURTADO</t>
  </si>
  <si>
    <t xml:space="preserve">Calle 166 # 9 15 Torre 10 apartamento 403 Conjunto Galileo Barrio Pradera Norte Localidad Usaquen</t>
  </si>
  <si>
    <t xml:space="preserve">+57 310 3208628</t>
  </si>
  <si>
    <t xml:space="preserve">PD11236 (MP771-1)</t>
  </si>
  <si>
    <t xml:space="preserve">lalaxiomyah@gmail.com</t>
  </si>
  <si>
    <t xml:space="preserve">MILENA PEREZ</t>
  </si>
  <si>
    <t xml:space="preserve">S258734 - COJIN VENECIA DICOSTA TRIGO (XIOMARA ARIAS HURTADO)</t>
  </si>
  <si>
    <t xml:space="preserve">S258734</t>
  </si>
  <si>
    <t xml:space="preserve">S258734 - FLETE (XIOMARA ARIAS HURTADO)</t>
  </si>
  <si>
    <t xml:space="preserve">__export__.product_product_324011_369d1a55</t>
  </si>
  <si>
    <t xml:space="preserve">POLTRONA CANNES DICOSTA TRIGO (MATIZ CAOBA)</t>
  </si>
  <si>
    <t xml:space="preserve">S258734 - POLTRONA CANNES DICOSTA TRIGO (MATIZ CAOBA) (XIOMARA ARIAS HURTADO)</t>
  </si>
  <si>
    <t xml:space="preserve">__export__.sale_order_272190_f2239190</t>
  </si>
  <si>
    <t xml:space="preserve">EL091</t>
  </si>
  <si>
    <t xml:space="preserve">ANA RUANO CARDENAS</t>
  </si>
  <si>
    <t xml:space="preserve">CARRERA 1 ESTE # 19 - 13 PORTAL DE BOLIVAR</t>
  </si>
  <si>
    <t xml:space="preserve">+57 302 2963202</t>
  </si>
  <si>
    <t xml:space="preserve">PD11071 (EL091)</t>
  </si>
  <si>
    <t xml:space="preserve">anamariarc145@gmail.com</t>
  </si>
  <si>
    <t xml:space="preserve">S258187 - SOFA PORTO DUSTER PLATA (MATIZ NATURAL) (ANA RUANO CARDENAS)</t>
  </si>
  <si>
    <t xml:space="preserve">S258187</t>
  </si>
  <si>
    <t xml:space="preserve">S258187 - PORCELANA ELEFANTE ORIGAMI L BLANCO AZUL (ANA RUANO CARDENAS)</t>
  </si>
  <si>
    <t xml:space="preserve">S258187 - PORCELANA ELEFANTE ORIGAMI M BLANCO AZUL (ANA RUANO CARDENAS)</t>
  </si>
  <si>
    <t xml:space="preserve">S258187 - PORCELANA ELEFANTE ORIGAMI S BLANCO AZUL (ANA RUANO CARDENAS)</t>
  </si>
  <si>
    <t xml:space="preserve">S258187 - FLETE (ANA RUANO CARDENAS)</t>
  </si>
  <si>
    <t xml:space="preserve">__export__.product_product_180183_14a2b288</t>
  </si>
  <si>
    <t xml:space="preserve">POLTRONA PORTO DUSTER AZUL (MATIZ NATURAL)</t>
  </si>
  <si>
    <t xml:space="preserve">S258187 - POLTRONA PORTO DUSTER AZUL (MATIZ NATURAL) (ANA RUANO CARDENAS)</t>
  </si>
  <si>
    <t xml:space="preserve">__export__.product_product_185899_163ee261</t>
  </si>
  <si>
    <t xml:space="preserve">PUFF PORTO DUSTER PLATA (MATIZ NATURAL)</t>
  </si>
  <si>
    <t xml:space="preserve">S258187 - PUFF PORTO DUSTER PLATA (MATIZ NATURAL) (ANA RUANO CARDENAS)</t>
  </si>
  <si>
    <t xml:space="preserve">__export__.product_product_268446_3ad454b1</t>
  </si>
  <si>
    <t xml:space="preserve">MESA DE CENTRO DAYTONA BLANCO (MATIZ NATURAL)</t>
  </si>
  <si>
    <t xml:space="preserve">S258187 - MESA DE CENTRO DAYTONA BLANCO (MATIZ NATURAL) (ANA RUANO CARDENAS)</t>
  </si>
  <si>
    <t xml:space="preserve">__export__.product_product_188084_42fac5a8</t>
  </si>
  <si>
    <t xml:space="preserve">COJIN VENECIA DUSTER AZUL</t>
  </si>
  <si>
    <t xml:space="preserve">S258187 - COJIN VENECIA DUSTER AZUL (ANA RUANO CARDENAS)</t>
  </si>
  <si>
    <t xml:space="preserve">__export__.product_product_188087_bd864150</t>
  </si>
  <si>
    <t xml:space="preserve">COJIN VENECIA DUSTER PLATA</t>
  </si>
  <si>
    <t xml:space="preserve">S258187 - COJIN VENECIA DUSTER PLATA (ANA RUANO CARDENAS)</t>
  </si>
  <si>
    <t xml:space="preserve">__export__.product_product_333574_973595ce</t>
  </si>
  <si>
    <t xml:space="preserve">CAMA LENNON QUEEN SKY GRIS</t>
  </si>
  <si>
    <t xml:space="preserve">S258187 - CAMA LENNON QUEEN SKY GRIS (ANA RUANO CARDENAS)</t>
  </si>
  <si>
    <t xml:space="preserve">__export__.sale_order_259874_2391f2e3</t>
  </si>
  <si>
    <t xml:space="preserve">CM448</t>
  </si>
  <si>
    <t xml:space="preserve">__export__.product_product_163222_d03da989</t>
  </si>
  <si>
    <t xml:space="preserve">MESA LUGO MATIZ JG6 BLANCO (MATIZ CARAMELO)</t>
  </si>
  <si>
    <t xml:space="preserve">YENY QUINTERO</t>
  </si>
  <si>
    <t xml:space="preserve">CARRERA 4A #3SUR-242, TORRE ISAMA APTO 402</t>
  </si>
  <si>
    <t xml:space="preserve">+57 319 6237740</t>
  </si>
  <si>
    <t xml:space="preserve">+57 321 4335062</t>
  </si>
  <si>
    <t xml:space="preserve">PD9165 (CM448)</t>
  </si>
  <si>
    <t xml:space="preserve">juanvar654@gmail.com</t>
  </si>
  <si>
    <t xml:space="preserve">S246353 - MESA LUGO MATIZ JG6 BLANCO (MATIZ CARAMELO) (YENY QUINTERO)</t>
  </si>
  <si>
    <t xml:space="preserve">S246353</t>
  </si>
  <si>
    <t xml:space="preserve">__export__.product_product_162469_02db3b9a</t>
  </si>
  <si>
    <t xml:space="preserve">MESA DE NOCHE LIBIA BLANCO-MACULA (MATIZ CARAMELO)</t>
  </si>
  <si>
    <t xml:space="preserve">S246353 - MESA DE NOCHE LIBIA BLANCO-MACULA (MATIZ CARAMELO) (YENY QUINTERO)</t>
  </si>
  <si>
    <t xml:space="preserve">__export__.product_product_330961_6a2a82df</t>
  </si>
  <si>
    <t xml:space="preserve">CAMA LENNON DOBLE DENVER PLATA</t>
  </si>
  <si>
    <t xml:space="preserve">LENNON-DOBLE</t>
  </si>
  <si>
    <t xml:space="preserve">S246353 - CAMA LENNON DOBLE DENVER PLATA (YENY QUINTERO)</t>
  </si>
  <si>
    <t xml:space="preserve">__export__.product_product_329194_a8be9d3f</t>
  </si>
  <si>
    <t xml:space="preserve">COJIN VENECIA SKY MOSTAZA</t>
  </si>
  <si>
    <t xml:space="preserve">S246353 - COJIN VENECIA SKY MOSTAZA (YENY QUINTERO)</t>
  </si>
  <si>
    <t xml:space="preserve">__export__.product_product_331519_33c0204b</t>
  </si>
  <si>
    <t xml:space="preserve">SILLA SABINA SKY MOSTAZA (MATIZ CARAMELO)</t>
  </si>
  <si>
    <t xml:space="preserve">S246353 - SILLA SABINA SKY MOSTAZA (MATIZ CARAMELO) (YENY QUINTERO)</t>
  </si>
  <si>
    <t xml:space="preserve">__export__.product_product_331516_58e5b372</t>
  </si>
  <si>
    <t xml:space="preserve">SILLA NOTO SKY TAUPE (MATIZ CARAMELO)</t>
  </si>
  <si>
    <t xml:space="preserve">S246353 - SILLA NOTO SKY TAUPE (MATIZ CARAMELO) (YENY QUINTERO)</t>
  </si>
  <si>
    <t xml:space="preserve">__export__.product_product_331522_90ffae14</t>
  </si>
  <si>
    <t xml:space="preserve">SOFA LISBOA 3P SKY TAUPE (MATIZ CARAMELO)</t>
  </si>
  <si>
    <t xml:space="preserve">LISBOA-3P</t>
  </si>
  <si>
    <t xml:space="preserve">S246353 - SOFA LISBOA 3P SKY TAUPE (MATIZ CARAMELO) (YENY QUINTERO)</t>
  </si>
  <si>
    <t xml:space="preserve">__export__.product_product_331523_720256ca</t>
  </si>
  <si>
    <t xml:space="preserve">CAMA LIBIA SEMIDOBLE MACULA (MATIZ CARAMELO)</t>
  </si>
  <si>
    <t xml:space="preserve">LIBIA-SEMIDOBLE</t>
  </si>
  <si>
    <t xml:space="preserve">S246353 - CAMA LIBIA SEMIDOBLE MACULA (MATIZ CARAMELO) (YENY QUINTERO)</t>
  </si>
  <si>
    <t xml:space="preserve">__export__.product_product_327509_8b774d83</t>
  </si>
  <si>
    <t xml:space="preserve">POLTRONA TOULOUSE SKY MOSTAZA (MATIZ CARAMELO)</t>
  </si>
  <si>
    <t xml:space="preserve">S246353 - POLTRONA TOULOUSE SKY MOSTAZA (MATIZ CARAMELO) (YENY QUINTERO)</t>
  </si>
  <si>
    <t xml:space="preserve">S246353 - FLETE (YENY QUINTERO)</t>
  </si>
  <si>
    <t xml:space="preserve">__export__.product_product_187344_b619ade6</t>
  </si>
  <si>
    <t xml:space="preserve">MESA DE CENTRO SION BLANCO-DUNA (MATIZ CARAMELO)</t>
  </si>
  <si>
    <t xml:space="preserve">S246353 - MESA DE CENTRO SION BLANCO-DUNA (MATIZ CARAMELO) (YENY QUINTERO)</t>
  </si>
  <si>
    <t xml:space="preserve">__export__.sale_order_242468_0a48ad07</t>
  </si>
  <si>
    <t xml:space="preserve">CM069-FB-2</t>
  </si>
  <si>
    <t xml:space="preserve">__export__.product_product_327417_439a39c6</t>
  </si>
  <si>
    <t xml:space="preserve">SOFA ARTEMISA ESPALDAR TAPIZADO DENVER PLATA (MATIZ CAOBA)</t>
  </si>
  <si>
    <t xml:space="preserve">ARTEMISA-ESPALDAR-TAPIZADO</t>
  </si>
  <si>
    <t xml:space="preserve">LINA MARIA MURCIA PIÑEROS</t>
  </si>
  <si>
    <t xml:space="preserve">SERVICIO DE ENSAMBLE</t>
  </si>
  <si>
    <t xml:space="preserve">TOCANCIPA</t>
  </si>
  <si>
    <t xml:space="preserve">Hacienda Tocancipa - Verona (apto 504 torre 8)</t>
  </si>
  <si>
    <t xml:space="preserve">+57 315 3852944</t>
  </si>
  <si>
    <t xml:space="preserve">lmmurciap@gmail.com</t>
  </si>
  <si>
    <t xml:space="preserve">JHONATAN ACUÑA</t>
  </si>
  <si>
    <t xml:space="preserve">S230657 - SOFA ARTEMISA ESPALDAR TAPIZADO DENVER PLATA (MATIZ CAOBA) (LINA MARIA MURCIA PIÑEROS)</t>
  </si>
  <si>
    <t xml:space="preserve">S230657</t>
  </si>
  <si>
    <t xml:space="preserve">S230657 - FLETE RECOLECCION GARANTIA (LINA MARIA MURCIA PIÑEROS)</t>
  </si>
  <si>
    <t xml:space="preserve">S230657 - FLETE ENVIO GARANTIA (LINA MARIA MURCIA PIÑEROS)</t>
  </si>
  <si>
    <t xml:space="preserve">LISTA DE DESPACHO - AREA LOGISTICA</t>
  </si>
  <si>
    <t xml:space="preserve">FAB-FO-003</t>
  </si>
  <si>
    <t xml:space="preserve">Versión: 01</t>
  </si>
  <si>
    <t xml:space="preserve">ORDEN DE TRABAJO</t>
  </si>
  <si>
    <t xml:space="preserve">FECHA LISTAS:</t>
  </si>
  <si>
    <t xml:space="preserve">ITEM</t>
  </si>
  <si>
    <t xml:space="preserve">ID PRODUCTO</t>
  </si>
  <si>
    <t xml:space="preserve">PLATAFORMA</t>
  </si>
  <si>
    <t xml:space="preserve">N ORDEN</t>
  </si>
  <si>
    <t xml:space="preserve">REF PEDIDO</t>
  </si>
  <si>
    <t xml:space="preserve">REFERENCIA ODOO</t>
  </si>
  <si>
    <t xml:space="preserve">PRODUCTO</t>
  </si>
  <si>
    <t xml:space="preserve">REFERENCIA</t>
  </si>
  <si>
    <t xml:space="preserve">TELA</t>
  </si>
  <si>
    <t xml:space="preserve">COLOR PRODUCTO</t>
  </si>
  <si>
    <t xml:space="preserve">COLOR PATAS</t>
  </si>
  <si>
    <t xml:space="preserve">CANT.</t>
  </si>
  <si>
    <t xml:space="preserve">OBSERVACION</t>
  </si>
  <si>
    <t xml:space="preserve">TIPO ENVIO</t>
  </si>
  <si>
    <t xml:space="preserve">TIPO ENTREGA</t>
  </si>
  <si>
    <t xml:space="preserve">RUTA</t>
  </si>
  <si>
    <t xml:space="preserve">CIUDAD</t>
  </si>
  <si>
    <t xml:space="preserve">NOVEDAD</t>
  </si>
  <si>
    <t xml:space="preserve">TRANS.</t>
  </si>
  <si>
    <t xml:space="preserve">OK</t>
  </si>
  <si>
    <t xml:space="preserve">Departamento</t>
  </si>
  <si>
    <t xml:space="preserve">Producto </t>
  </si>
  <si>
    <t xml:space="preserve">Referencia Cliente</t>
  </si>
  <si>
    <t xml:space="preserve">Referencia Odoo</t>
  </si>
  <si>
    <t xml:space="preserve">Cantidad</t>
  </si>
  <si>
    <t xml:space="preserve">LAURA SOFIA MARTINEZ PEREZ_GARANTIA_EC001-TIENDA MEDELLIN AV 80-2</t>
  </si>
  <si>
    <t xml:space="preserve">LORENA  GUTIERREZ_GARANTIA_13779430-HOME-3</t>
  </si>
  <si>
    <t xml:space="preserve">ERIKA MAYERLY ANDRADE GUERRERO_GARANTIA_691106-EBANI-2</t>
  </si>
  <si>
    <t xml:space="preserve">MAYERLY QUIROGA_GARANTIA_EL078-VF</t>
  </si>
  <si>
    <t xml:space="preserve">SERGIO ANDRES DIAZ OSORIO_GARANTIA_AR2343-TIENDA GALERIAS</t>
  </si>
  <si>
    <t xml:space="preserve">LEIDY DANIELA VASQUEZ CASTANEDA_PPGG_1512894699527-01</t>
  </si>
  <si>
    <t xml:space="preserve">BRAYAN LONDONO_PPGG_1512934699623-01</t>
  </si>
  <si>
    <t xml:space="preserve">JUAN PABLO RICO_FALABELLA SELLER_2736959765</t>
  </si>
  <si>
    <t xml:space="preserve">EXHIBICION TIENDA CEDRITOS_EXHIBICION TIENDA CEDRITOS_TBC046</t>
  </si>
  <si>
    <t xml:space="preserve">HOMECENTER_RETAIL HOME_13938687</t>
  </si>
  <si>
    <t xml:space="preserve">MARLENY  VARGAS_HOME_13937014</t>
  </si>
  <si>
    <t xml:space="preserve">EXHIBICION TIENDA FABRICA_EXHIBICION TIENDA FABRICA_TF072</t>
  </si>
  <si>
    <t xml:space="preserve">JUAN SEBASTIAN VAQUIRO OSPINA_HOME_13935211</t>
  </si>
  <si>
    <t xml:space="preserve">IVÁN ORESTES GÓMEZ GÓMEZ_HOME_13935155</t>
  </si>
  <si>
    <t xml:space="preserve">JUAN PABLO MORENO_HOME_13935108</t>
  </si>
  <si>
    <t xml:space="preserve">MARIA OLIVA_HOME_13934453</t>
  </si>
  <si>
    <t xml:space="preserve">MARIA ISABEL SANCHEZ_HOME_13934382</t>
  </si>
  <si>
    <t xml:space="preserve">JAMES RODRIGUEZ_HOME_13934213</t>
  </si>
  <si>
    <t xml:space="preserve">WILMAR TANGARIFE_HOME_13934013</t>
  </si>
  <si>
    <t xml:space="preserve">MARITZA  DE HERNANDEZ_HOME_13933978</t>
  </si>
  <si>
    <t xml:space="preserve">OTGLOBAL_HOME_13933631</t>
  </si>
  <si>
    <t xml:space="preserve">JESSICA JOHANA  MONROY PEÃ¿A_HOME_13933614</t>
  </si>
  <si>
    <t xml:space="preserve">JOHN URQUIJO OVIEDO_HOME_13932652</t>
  </si>
  <si>
    <t xml:space="preserve">JOSE FRANCISCO QUINTERO VIZCAINO_HOME_13932136</t>
  </si>
  <si>
    <t xml:space="preserve">DIANA  CASTRO LIZARAZO_HOME_13932083</t>
  </si>
  <si>
    <t xml:space="preserve">FUNDACION  EDUCATIVA INTEGRAL_HOME_13928900</t>
  </si>
  <si>
    <t xml:space="preserve">PARATODOYA SAS_HOME_13928149</t>
  </si>
  <si>
    <t xml:space="preserve">EWDES ANDRES HERNANDEZ BASTILLA_HOME_13928097</t>
  </si>
  <si>
    <t xml:space="preserve">JOSE ALEJANDRO MUÑOZ_HOME_13927920</t>
  </si>
  <si>
    <t xml:space="preserve">GERMAN PADILLA_HOME_13927742</t>
  </si>
  <si>
    <t xml:space="preserve">EDGAR FRANCISCO AVILA ROJAS_HOME_13927701</t>
  </si>
  <si>
    <t xml:space="preserve">HELEM ALEJANDRA SANCHEZ_HOME_13927611</t>
  </si>
  <si>
    <t xml:space="preserve">RENÉ ALEJANDRO ESPINOSA_FL.COM_7423970</t>
  </si>
  <si>
    <t xml:space="preserve">LILIANA CASTRO_FL.COM_7424054</t>
  </si>
  <si>
    <t xml:space="preserve">FINANCIAL AND RISK CONSULTING SAS_FL.COM_7423917</t>
  </si>
  <si>
    <t xml:space="preserve">VALENTINA RAMIREZ CORREA_HOME_13927101</t>
  </si>
  <si>
    <t xml:space="preserve">JONATHAN MORENO_HOME_13926966</t>
  </si>
  <si>
    <t xml:space="preserve">CARLOS ROJAS_HOME_13926868</t>
  </si>
  <si>
    <t xml:space="preserve">LINA ACEVEDO_HOME_13926866</t>
  </si>
  <si>
    <t xml:space="preserve">JUAN MONSALVE_HOME_13926558</t>
  </si>
  <si>
    <t xml:space="preserve">TATIANA SILVA_HOME_13926437</t>
  </si>
  <si>
    <t xml:space="preserve">OBRAS CIVILES Y ACABADOS RV SAS VILLA GALEANO_HOME_13926357</t>
  </si>
  <si>
    <t xml:space="preserve">LUIS ROBERTO  MARTINEZ MUÑOZ_HOME_13926316</t>
  </si>
  <si>
    <t xml:space="preserve">JULIETA IDARRAGA_HOME_13926107</t>
  </si>
  <si>
    <t xml:space="preserve">MARDEY  SIERRA_HOME_13926091</t>
  </si>
  <si>
    <t xml:space="preserve">TRINIDAD GUERRERO_HOME_13926021</t>
  </si>
  <si>
    <t xml:space="preserve">OSIRIA MACEBO_HOME_13925960</t>
  </si>
  <si>
    <t xml:space="preserve">MARIA OSORIO GONZALEZ_HOME_13925897</t>
  </si>
  <si>
    <t xml:space="preserve">ANGELA GARCIA_HOME_13925871</t>
  </si>
  <si>
    <t xml:space="preserve">HOFFMAN OLAYA_FL.COM_7423292</t>
  </si>
  <si>
    <t xml:space="preserve">JORGE  LAVERDE_HOME_13925521</t>
  </si>
  <si>
    <t xml:space="preserve">CER S.A.S._HOME_13924861</t>
  </si>
  <si>
    <t xml:space="preserve">JORGE GAVIRIA_HOME_13921680</t>
  </si>
  <si>
    <t xml:space="preserve">LEOPOLDO VASQUEZ_GARANTIA_EL201-ML</t>
  </si>
  <si>
    <t xml:space="preserve">GUTIERREZ LOPEZ NEIDER JAVIER_TRABAJADOR_TB438</t>
  </si>
  <si>
    <t xml:space="preserve">YENNI PABON_EXITO_1510498070900</t>
  </si>
  <si>
    <t xml:space="preserve">ALMAGRICOLA SAS_HOME_13919180</t>
  </si>
  <si>
    <t xml:space="preserve">LUCAS AREIZA RUA_HOME_13918783</t>
  </si>
  <si>
    <t xml:space="preserve">KEYLIS YISELL MEJIA DIAZ_HOME_13918120</t>
  </si>
  <si>
    <t xml:space="preserve">INVENTARIO HOGAR VENECIA_INVENTARIO HOGAR VENECIA_HVM26483</t>
  </si>
  <si>
    <t xml:space="preserve">INVENTARIO HOGAR VENECIA_INVENTARIO HOGAR VENECIA_HVM26482</t>
  </si>
  <si>
    <t xml:space="preserve">NAHOMY TORRES_HOME_13914949</t>
  </si>
  <si>
    <t xml:space="preserve">MARÍA DEL PILAR VÁSQUEZ LAMBIS_FL.COM_7421281</t>
  </si>
  <si>
    <t xml:space="preserve">ALAN CAMILO TOBÓN VILLEGAS_FL.COM_7421283</t>
  </si>
  <si>
    <t xml:space="preserve">ANA MARÍA HIGUITA HINCAPIÉ_FL.COM_7420940</t>
  </si>
  <si>
    <t xml:space="preserve">CILIA BECERRA_FL.COM_7421082</t>
  </si>
  <si>
    <t xml:space="preserve">ARQUIDIOCESIS DE TUNJA_OTROS_OTROS120</t>
  </si>
  <si>
    <t xml:space="preserve">PAULA LEONELA  RUIZ GRANADOS_FB_LN659</t>
  </si>
  <si>
    <t xml:space="preserve">NATALIA ROMERO RAMIREZ_TIENDA GALERIAS_MB763</t>
  </si>
  <si>
    <t xml:space="preserve">ANAMARIA ROJAS GONZALEZ_FB_NG3500</t>
  </si>
  <si>
    <t xml:space="preserve">ALFONSO QUIROGA ESPITIA_VF_LN658</t>
  </si>
  <si>
    <t xml:space="preserve">ANDREA SANDOVAL_GARANTIA_CM351-FB</t>
  </si>
  <si>
    <t xml:space="preserve">JUAN CAMILO ZAPATA SALAZAR_VF_LN657</t>
  </si>
  <si>
    <t xml:space="preserve">EDGAR ROLANDO  DUITAMA VERGARA_VF_LN656</t>
  </si>
  <si>
    <t xml:space="preserve">SEBASTIAN RIOS GRANADOS_FB_NDR368</t>
  </si>
  <si>
    <t xml:space="preserve">CONSTRUCCCION Y MANTENIMIENTO HOBRE_FL.COM_7420494</t>
  </si>
  <si>
    <t xml:space="preserve">LUISA OSPINA_FL.COM_7420573</t>
  </si>
  <si>
    <t xml:space="preserve">DAVID JARAMILLO_FL.COM_7420340</t>
  </si>
  <si>
    <t xml:space="preserve">FREDDY ANDRÉS GUEVARA PINTO_TIENDA SUBA_ET2309</t>
  </si>
  <si>
    <t xml:space="preserve">FABIAN MAURICIO JARAMILLO GALLEGO_FB_LN655</t>
  </si>
  <si>
    <t xml:space="preserve">MARIA ALEJANDRA VALERO CALDERON_FB_DL1815</t>
  </si>
  <si>
    <t xml:space="preserve">EXHIBICION TIENDA GALERIAS_EXHIBICION TIENDA GALERIAS_TBG161</t>
  </si>
  <si>
    <t xml:space="preserve">JOHNNA NAGLES PIEDRAHITA_TIENDA CEDRITOS_DQ1524</t>
  </si>
  <si>
    <t xml:space="preserve">DANIELA ALEJANDRA ROMERO GAITAN_TIENDA SUBA_JM508</t>
  </si>
  <si>
    <t xml:space="preserve">SARA LILIANA GÓMEZ MENDOZA_TIENDA CEDRITOS_DQ1523</t>
  </si>
  <si>
    <t xml:space="preserve">GIOVANNI ALIRIO ROMERO ORTIZ_TIENDA GALERIAS_ET2306</t>
  </si>
  <si>
    <t xml:space="preserve">WENDY PAOLA VILLAMIZAR QUINTERO_TIENDA GALERIAS_ET2304</t>
  </si>
  <si>
    <t xml:space="preserve">BLANCA BENITA PACHON PERALTA_TIENDA CEDRITOS_DQ1522</t>
  </si>
  <si>
    <t xml:space="preserve">MIGUEL ANGEL BERNAL SOLORZANO_TIENDA SUBA_RL052</t>
  </si>
  <si>
    <t xml:space="preserve">DANIEL FELIPE MONTAÑEZ INFANTE_FB_RP3288</t>
  </si>
  <si>
    <t xml:space="preserve">KAREN TATIANA GUALDRON CHAPARRO_TIENDA SUBA_HL557</t>
  </si>
  <si>
    <t xml:space="preserve">LINA MARCELA MESA BEDOYA_VF_EL272</t>
  </si>
  <si>
    <t xml:space="preserve">KAROL MAYERLY LIZETH TOVAR VARGAS_TIENDA GALERIAS_ET2302</t>
  </si>
  <si>
    <t xml:space="preserve">INVERSIONES ALCABAMA S A_HOME_13899400</t>
  </si>
  <si>
    <t xml:space="preserve">DANIELA ARBELAEZ TREJOS_HOME_13894897</t>
  </si>
  <si>
    <t xml:space="preserve">ISABELLA CORTES TENORIO_FB_DL1808</t>
  </si>
  <si>
    <t xml:space="preserve">TERESA ARIZMENDY_HOME_13893898</t>
  </si>
  <si>
    <t xml:space="preserve">NILSON CHARRY_FALABELLA SELLER_2717717646</t>
  </si>
  <si>
    <t xml:space="preserve">LADY VANESSA CACERES SALAS_HOME_13890440</t>
  </si>
  <si>
    <t xml:space="preserve">ISABELLA SANTIS NIÑO_EXITO_1508168005740</t>
  </si>
  <si>
    <t xml:space="preserve">YUDY RUIZ_VF_IG2016</t>
  </si>
  <si>
    <t xml:space="preserve">PATRICIA ROMERO_VF_IG2015</t>
  </si>
  <si>
    <t xml:space="preserve">GLOBYTE SAS_VF_CM651</t>
  </si>
  <si>
    <t xml:space="preserve">JULY MABEL SUAREZ MOLANO_VF_CM650</t>
  </si>
  <si>
    <t xml:space="preserve">INVENTARIO HOGAR VENECIA_INVENTARIO HOGAR VENECIA_HVM26374</t>
  </si>
  <si>
    <t xml:space="preserve">INVENTARIO HOGAR VENECIA_INVENTARIO HOGAR VENECIA_HVM26310</t>
  </si>
  <si>
    <t xml:space="preserve">INVENTARIO HOGAR VENECIA_INVENTARIO HOGAR VENECIA_HVM26307</t>
  </si>
  <si>
    <t xml:space="preserve">INVENTARIO HOGAR VENECIA_INVENTARIO HOGAR VENECIA_HVM26280</t>
  </si>
  <si>
    <t xml:space="preserve">INVENTARIO HOGAR VENECIA_INVENTARIO HOGAR VENECIA_HVM26194</t>
  </si>
  <si>
    <t xml:space="preserve">INVENTARIO HOGAR VENECIA_INVENTARIO HOGAR VENECIA_HVM26193</t>
  </si>
  <si>
    <t xml:space="preserve">INVENTARIO HOGAR VENECIA_INVENTARIO HOGAR VENECIA_HVM26192</t>
  </si>
  <si>
    <t xml:space="preserve">INVENTARIO HOGAR VENECIA_INVENTARIO HOGAR VENECIA_HVM26191</t>
  </si>
  <si>
    <t xml:space="preserve">INVENTARIO HOGAR VENECIA_INVENTARIO HOGAR VENECIA_HVM26173</t>
  </si>
  <si>
    <t xml:space="preserve">INVENTARIO HOGAR VENECIA_INVENTARIO HOGAR VENECIA_HVM26172</t>
  </si>
  <si>
    <t xml:space="preserve">INVENTARIO HOGAR VENECIA_INVENTARIO HOGAR VENECIA_HVM26140</t>
  </si>
  <si>
    <t xml:space="preserve">INVENTARIO HOGAR VENECIA_INVENTARIO HOGAR VENECIA_HVM26135</t>
  </si>
  <si>
    <t xml:space="preserve">INVENTARIO HOGAR VENECIA_INVENTARIO HOGAR VENECIA_HVM26134</t>
  </si>
  <si>
    <t xml:space="preserve">INVENTARIO HOGAR VENECIA_INVENTARIO HOGAR VENECIA_HVM26126</t>
  </si>
  <si>
    <t xml:space="preserve">INVENTARIO HOGAR VENECIA_INVENTARIO HOGAR VENECIA_HVM26125</t>
  </si>
  <si>
    <t xml:space="preserve">INVENTARIO HOGAR VENECIA_INVENTARIO HOGAR VENECIA_HVM26093</t>
  </si>
  <si>
    <t xml:space="preserve">INVENTARIO HOGAR VENECIA_INVENTARIO HOGAR VENECIA_HVM26092</t>
  </si>
  <si>
    <t xml:space="preserve">INVENTARIO HOGAR VENECIA_INVENTARIO HOGAR VENECIA_HVM26057</t>
  </si>
  <si>
    <t xml:space="preserve">INVENTARIO HOGAR VENECIA_INVENTARIO HOGAR VENECIA_HVM26055</t>
  </si>
  <si>
    <t xml:space="preserve">INVENTARIO HOGAR VENECIA_INVENTARIO HOGAR VENECIA_HVM26053</t>
  </si>
  <si>
    <t xml:space="preserve">INVENTARIO HOGAR VENECIA_INVENTARIO HOGAR VENECIA_HVM25978</t>
  </si>
  <si>
    <t xml:space="preserve">INVENTARIO HOGAR VENECIA_INVENTARIO HOGAR VENECIA_HVM25977</t>
  </si>
  <si>
    <t xml:space="preserve">INVENTARIO HOGAR VENECIA_INVENTARIO HOGAR VENECIA_HVM25976</t>
  </si>
  <si>
    <t xml:space="preserve">INVENTARIO HOGAR VENECIA_INVENTARIO HOGAR VENECIA_HVM25885</t>
  </si>
  <si>
    <t xml:space="preserve">INVENTARIO HOGAR VENECIA_INVENTARIO HOGAR VENECIA_HVM25884</t>
  </si>
  <si>
    <t xml:space="preserve">INVENTARIO HOGAR VENECIA_INVENTARIO HOGAR VENECIA_HVM25883</t>
  </si>
  <si>
    <t xml:space="preserve">INVENTARIO HOGAR VENECIA_INVENTARIO HOGAR VENECIA_HVM25882</t>
  </si>
  <si>
    <t xml:space="preserve">INVENTARIO HOGAR VENECIA_INVENTARIO HOGAR VENECIA_HVM25881</t>
  </si>
  <si>
    <t xml:space="preserve">INVENTARIO HOGAR VENECIA_INVENTARIO HOGAR VENECIA_HVM25801</t>
  </si>
  <si>
    <t xml:space="preserve">INVENTARIO HOGAR VENECIA_INVENTARIO HOGAR VENECIA_HVM25800</t>
  </si>
  <si>
    <t xml:space="preserve">INVENTARIO HOGAR VENECIA_INVENTARIO HOGAR VENECIA_HVM25799</t>
  </si>
  <si>
    <t xml:space="preserve">INVENTARIO HOGAR VENECIA_INVENTARIO HOGAR VENECIA_HVM25798</t>
  </si>
  <si>
    <t xml:space="preserve">INVENTARIO HOGAR VENECIA_INVENTARIO HOGAR VENECIA_HVM25797</t>
  </si>
  <si>
    <t xml:space="preserve">ANA QUINTERO JAIME_GARANTIA_MP768-TIENDA CEDRITOS</t>
  </si>
  <si>
    <t xml:space="preserve">JUBER FERNANDO HERNANDEZ FAJARDO_VF_RP3256</t>
  </si>
  <si>
    <t xml:space="preserve">KARLA VIVIANA CARREÑO POLANIA_TIENDA GALERIAS_AR2348</t>
  </si>
  <si>
    <t xml:space="preserve">DIEGO ANDRES MORENO RIVERA_VF_RP3230</t>
  </si>
  <si>
    <t xml:space="preserve">XIOMARA ARIAS HURTADO_TIENDA CEDRITOS_MP771-1</t>
  </si>
  <si>
    <t xml:space="preserve">ANA RUANO CARDENAS_FB_EL091</t>
  </si>
  <si>
    <t xml:space="preserve">YENY QUINTERO_VF_CM448</t>
  </si>
  <si>
    <t xml:space="preserve">LINA MARIA MURCIA PIÑEROS_GARANTIA_CM069-FB-2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</si>
</sst>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_-* #,##0.00_-;\-* #,##0.00_-;_-* \-??_-;_-@_-"/>
    <numFmt numFmtId="166" formatCode="dd/mm/yyyy;@"/>
    <numFmt numFmtId="167" formatCode="0"/>
    <numFmt numFmtId="168" formatCode="_-&quot;$ &quot;* #,##0.00_-;&quot;-$ &quot;* #,##0.00_-;_-&quot;$ &quot;* \-??_-;_-@_-"/>
    <numFmt numFmtId="169" formatCode="_-&quot;$ &quot;* #,##0_-;&quot;-$ &quot;* #,##0_-;_-&quot;$ &quot;* \-??_-;_-@_-"/>
    <numFmt numFmtId="170" formatCode="0_ ;\-0\ "/>
    <numFmt numFmtId="171" formatCode="dd/mm/yyyy"/>
    <numFmt numFmtId="172" formatCode="_-* #,##0_-;\-* #,##0_-;_-* \-??_-;_-@_-"/>
    <numFmt numFmtId="173" formatCode="[$-F800]dddd&quot;, &quot;mmmm\ dd&quot;, &quot;yyyy"/>
    <numFmt numFmtId="174" formatCode="@"/>
    <numFmt numFmtId="175" formatCode="dd\-mmm"/>
  </numFmts>
  <fonts count="27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b val="true"/>
      <sz val="11"/>
      <color theme="0" tint="-0.5"/>
      <name val="Aptos Narrow"/>
      <family val="2"/>
      <charset val="1"/>
    </font>
    <font>
      <b val="true"/>
      <i val="true"/>
      <sz val="11"/>
      <color theme="0" tint="-0.5"/>
      <name val="Aptos Narrow"/>
      <family val="2"/>
      <charset val="1"/>
    </font>
    <font>
      <sz val="11"/>
      <color theme="0"/>
      <name val="Aptos Narrow"/>
      <family val="2"/>
      <charset val="1"/>
    </font>
    <font>
      <sz val="10"/>
      <color rgb="FFFFFFFF"/>
      <name val="Aptos Narrow"/>
      <family val="2"/>
      <charset val="1"/>
    </font>
    <font>
      <b val="true"/>
      <sz val="11"/>
      <color rgb="FFFFFFFF"/>
      <name val="Aptos Narrow"/>
      <family val="2"/>
      <charset val="1"/>
    </font>
    <font>
      <sz val="11"/>
      <color rgb="FF9C0006"/>
      <name val="Aptos Narrow"/>
      <family val="2"/>
      <charset val="1"/>
    </font>
    <font>
      <sz val="11"/>
      <color rgb="FFFFFFFF"/>
      <name val="Aptos Narrow"/>
      <family val="2"/>
      <charset val="1"/>
    </font>
    <font>
      <sz val="11"/>
      <color rgb="FF9C5700"/>
      <name val="Aptos Narrow"/>
      <family val="2"/>
      <charset val="1"/>
    </font>
    <font>
      <u val="single"/>
      <sz val="11"/>
      <color theme="1"/>
      <name val="Aptos Narrow"/>
      <family val="2"/>
      <charset val="1"/>
    </font>
    <font>
      <sz val="11"/>
      <color theme="1"/>
      <name val="Aptos Narrow"/>
      <family val="0"/>
      <charset val="1"/>
    </font>
    <font>
      <b val="true"/>
      <i val="true"/>
      <sz val="11"/>
      <color rgb="FFECE9D8"/>
      <name val="Aptos Narrow"/>
      <family val="0"/>
    </font>
    <font>
      <sz val="14"/>
      <color theme="1"/>
      <name val="Aptos Narrow"/>
      <family val="2"/>
      <charset val="1"/>
    </font>
    <font>
      <b val="true"/>
      <sz val="18"/>
      <color theme="1"/>
      <name val="Arial"/>
      <family val="2"/>
      <charset val="1"/>
    </font>
    <font>
      <b val="true"/>
      <sz val="12"/>
      <color theme="1"/>
      <name val="Arial"/>
      <family val="2"/>
      <charset val="1"/>
    </font>
    <font>
      <b val="true"/>
      <sz val="11"/>
      <color theme="1"/>
      <name val="Arial"/>
      <family val="2"/>
      <charset val="1"/>
    </font>
    <font>
      <b val="true"/>
      <sz val="14"/>
      <color theme="1"/>
      <name val="Aptos Narrow"/>
      <family val="2"/>
      <charset val="1"/>
    </font>
    <font>
      <b val="true"/>
      <sz val="18"/>
      <color theme="1"/>
      <name val="Aptos Narrow"/>
      <family val="2"/>
      <charset val="1"/>
    </font>
    <font>
      <b val="true"/>
      <sz val="16"/>
      <color theme="1"/>
      <name val="Aptos Narrow"/>
      <family val="2"/>
      <charset val="1"/>
    </font>
    <font>
      <sz val="18"/>
      <color theme="1"/>
      <name val="Aptos Narrow"/>
      <family val="2"/>
      <charset val="1"/>
    </font>
    <font>
      <sz val="20"/>
      <color theme="1"/>
      <name val="Aptos Narrow"/>
      <family val="2"/>
      <charset val="1"/>
    </font>
    <font>
      <sz val="11"/>
      <color theme="0"/>
      <name val="Aptos Narrow"/>
      <family val="0"/>
      <charset val="1"/>
    </font>
    <font>
      <sz val="11"/>
      <color rgb="FFFFFFFF"/>
      <name val="Aptos Narrow"/>
      <family val="0"/>
    </font>
  </fonts>
  <fills count="15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theme="7" tint="0.3999"/>
        <bgColor rgb="FF99CCFF"/>
      </patternFill>
    </fill>
    <fill>
      <patternFill patternType="solid">
        <fgColor rgb="FFFFC7CE"/>
        <bgColor rgb="FFF2CFEE"/>
      </patternFill>
    </fill>
    <fill>
      <patternFill patternType="solid">
        <fgColor theme="6"/>
        <bgColor rgb="FF008080"/>
      </patternFill>
    </fill>
    <fill>
      <patternFill patternType="solid">
        <fgColor rgb="FFFFEB9C"/>
        <bgColor rgb="FFFFFFCC"/>
      </patternFill>
    </fill>
    <fill>
      <patternFill patternType="solid">
        <fgColor theme="0" tint="-0.5"/>
        <bgColor rgb="FF969696"/>
      </patternFill>
    </fill>
    <fill>
      <patternFill patternType="solid">
        <fgColor theme="0"/>
        <bgColor rgb="FFF2F2F2"/>
      </patternFill>
    </fill>
    <fill>
      <patternFill patternType="solid">
        <fgColor rgb="FF002060"/>
        <bgColor rgb="FF000080"/>
      </patternFill>
    </fill>
    <fill>
      <patternFill patternType="solid">
        <fgColor rgb="FFFF0000"/>
        <bgColor rgb="FF9C0006"/>
      </patternFill>
    </fill>
    <fill>
      <patternFill patternType="solid">
        <fgColor rgb="FFFFFF00"/>
        <bgColor rgb="FFFFFF00"/>
      </patternFill>
    </fill>
    <fill>
      <patternFill patternType="solid">
        <fgColor theme="8" tint="0.7999"/>
        <bgColor rgb="FFFFC7CE"/>
      </patternFill>
    </fill>
    <fill>
      <patternFill patternType="solid">
        <fgColor theme="0" tint="-0.05"/>
        <bgColor rgb="FFECE9D8"/>
      </patternFill>
    </fill>
    <fill>
      <patternFill patternType="solid">
        <fgColor theme="6" tint="0.3999"/>
        <bgColor rgb="FF61CBF4"/>
      </patternFill>
    </fill>
  </fills>
  <borders count="17">
    <border diagonalUp="false" diagonalDown="false">
      <left/>
      <right/>
      <top/>
      <bottom/>
      <diagonal/>
    </border>
    <border diagonalUp="false" diagonalDown="false"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thin"/>
      <right style="thin"/>
      <top style="thin"/>
      <bottom style="thin"/>
      <diagonal/>
    </border>
  </borders>
  <cellStyleXfs count="3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2" borderId="1" applyFont="true" applyBorder="true" applyAlignment="true" applyProtection="false">
      <alignment horizontal="general" vertical="bottom" textRotation="0" wrapText="false" indent="0" shrinkToFit="false"/>
    </xf>
    <xf numFmtId="164" fontId="0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4" borderId="0" applyFont="true" applyBorder="false" applyAlignment="true" applyProtection="false">
      <alignment horizontal="general" vertical="bottom" textRotation="0" wrapText="false" indent="0" shrinkToFit="false"/>
    </xf>
    <xf numFmtId="164" fontId="7" fillId="5" borderId="0" applyFont="true" applyBorder="false" applyAlignment="true" applyProtection="false">
      <alignment horizontal="general" vertical="bottom" textRotation="0" wrapText="false" indent="0" shrinkToFit="false"/>
    </xf>
    <xf numFmtId="164" fontId="12" fillId="6" borderId="0" applyFont="true" applyBorder="false" applyAlignment="true" applyProtection="false">
      <alignment horizontal="general" vertical="bottom" textRotation="0" wrapText="false" indent="0" shrinkToFit="false"/>
    </xf>
  </cellStyleXfs>
  <cellXfs count="9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5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7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22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9" xfId="25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0" xfId="26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7" borderId="1" xfId="2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7" borderId="1" xfId="2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1" fontId="6" fillId="7" borderId="1" xfId="2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1" fontId="6" fillId="7" borderId="1" xfId="2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5" fontId="6" fillId="7" borderId="1" xfId="2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6" fillId="7" borderId="1" xfId="2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6" fillId="7" borderId="1" xfId="1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70" fontId="6" fillId="7" borderId="1" xfId="1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6" fillId="7" borderId="1" xfId="2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7" borderId="1" xfId="2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8" fillId="9" borderId="0" xfId="28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9" fillId="10" borderId="0" xfId="29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64" fontId="9" fillId="10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11" fillId="5" borderId="0" xfId="3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7" fontId="8" fillId="9" borderId="0" xfId="28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5" borderId="0" xfId="3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9" fontId="8" fillId="9" borderId="0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0" fontId="8" fillId="9" borderId="0" xfId="17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1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2" fillId="6" borderId="0" xfId="31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" borderId="1" xfId="27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1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11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11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1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1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16" fillId="0" borderId="0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0" borderId="0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0" borderId="11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1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9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20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3" fontId="20" fillId="0" borderId="1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3" fontId="20" fillId="0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21" fillId="12" borderId="0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22" fillId="13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21" fillId="13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72" fontId="24" fillId="0" borderId="0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24" fillId="0" borderId="0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16" fillId="0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6" fillId="0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0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24" fillId="0" borderId="16" xfId="2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24" fillId="0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0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24" fillId="0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2" fontId="24" fillId="11" borderId="0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24" fillId="11" borderId="0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4" fontId="16" fillId="11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16" fillId="11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4" fillId="11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24" fillId="11" borderId="16" xfId="2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2" fontId="24" fillId="11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7" fontId="24" fillId="11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5" fontId="24" fillId="11" borderId="16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11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7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1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5" fillId="9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</cellXfs>
  <cellStyles count="1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Millares 2" xfId="20"/>
    <cellStyle name="Pivot Table Corner" xfId="21"/>
    <cellStyle name="Pivot Table Value" xfId="22"/>
    <cellStyle name="Pivot Table Field" xfId="23"/>
    <cellStyle name="Pivot Table Category" xfId="24"/>
    <cellStyle name="Pivot Table Title" xfId="25"/>
    <cellStyle name="Pivot Table Result" xfId="26"/>
    <cellStyle name="Excel Built-in Note" xfId="27"/>
    <cellStyle name="Excel Built-in 60% - Accent4" xfId="28"/>
    <cellStyle name="Excel Built-in Bad" xfId="29"/>
    <cellStyle name="Excel Built-in Accent3" xfId="30"/>
    <cellStyle name="Excel Built-in Neutral" xfId="31"/>
  </cellStyles>
  <dxfs count="12">
    <dxf>
      <fill>
        <patternFill patternType="solid">
          <fgColor rgb="FF002060"/>
          <bgColor rgb="FF000000"/>
        </patternFill>
      </fill>
    </dxf>
    <dxf>
      <fill>
        <patternFill patternType="solid">
          <fgColor rgb="FFFFEB9C"/>
          <bgColor rgb="FF000000"/>
        </patternFill>
      </fill>
    </dxf>
    <dxf>
      <fill>
        <patternFill patternType="solid">
          <fgColor rgb="FF9C57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196B24"/>
          <bgColor rgb="FF000000"/>
        </patternFill>
      </fill>
    </dxf>
    <dxf>
      <fill>
        <patternFill patternType="solid">
          <fgColor rgb="FFFFFFCC"/>
          <bgColor rgb="FF000000"/>
        </patternFill>
      </fill>
    </dxf>
    <dxf>
      <fill>
        <patternFill patternType="solid">
          <fgColor rgb="FFF2F2F2"/>
          <bgColor rgb="FF000000"/>
        </patternFill>
      </fill>
    </dxf>
    <dxf>
      <fill>
        <patternFill patternType="solid">
          <fgColor rgb="FF47D45A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196B24"/>
      <rgbColor rgb="FF000080"/>
      <rgbColor rgb="FF808000"/>
      <rgbColor rgb="FF800080"/>
      <rgbColor rgb="FF008080"/>
      <rgbColor rgb="FFB2B2B2"/>
      <rgbColor rgb="FF808080"/>
      <rgbColor rgb="FF9999FF"/>
      <rgbColor rgb="FF993366"/>
      <rgbColor rgb="FFFFFFCC"/>
      <rgbColor rgb="FFF2F2F2"/>
      <rgbColor rgb="FF660066"/>
      <rgbColor rgb="FFFF8080"/>
      <rgbColor rgb="FF0066CC"/>
      <rgbColor rgb="FFF2CF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CE9D8"/>
      <rgbColor rgb="FFFFEB9C"/>
      <rgbColor rgb="FF99CCFF"/>
      <rgbColor rgb="FFFF99CC"/>
      <rgbColor rgb="FFCC99FF"/>
      <rgbColor rgb="FFFFC7CE"/>
      <rgbColor rgb="FF3366FF"/>
      <rgbColor rgb="FF61CBF4"/>
      <rgbColor rgb="FF99CC00"/>
      <rgbColor rgb="FFFFCC00"/>
      <rgbColor rgb="FFFF9900"/>
      <rgbColor rgb="FFFF6600"/>
      <rgbColor rgb="FF666699"/>
      <rgbColor rgb="FF969696"/>
      <rgbColor rgb="FF002060"/>
      <rgbColor rgb="FF47D45A"/>
      <rgbColor rgb="FF003300"/>
      <rgbColor rgb="FF333300"/>
      <rgbColor rgb="FF9C57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
</Relationships>
</file>

<file path=xl/ctrlProps/ctrlProps2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1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FillCellsButton" descr="Llenar celdas vacia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Llenar celdas vacias</a:t>
              </a:r>
            </a:p>
          </xdr:txBody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177120</xdr:colOff>
      <xdr:row>2</xdr:row>
      <xdr:rowOff>114840</xdr:rowOff>
    </xdr:from>
    <xdr:to>
      <xdr:col>4</xdr:col>
      <xdr:colOff>1171800</xdr:colOff>
      <xdr:row>3</xdr:row>
      <xdr:rowOff>258480</xdr:rowOff>
    </xdr:to>
    <xdr:pic>
      <xdr:nvPicPr>
        <xdr:cNvPr id="0" name="Imagen 1" descr=""/>
        <xdr:cNvPicPr/>
      </xdr:nvPicPr>
      <xdr:blipFill>
        <a:blip r:embed="rId1"/>
        <a:stretch/>
      </xdr:blipFill>
      <xdr:spPr>
        <a:xfrm>
          <a:off x="2405880" y="457920"/>
          <a:ext cx="2012040" cy="50544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CommandButton1" descr="Extraer información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Extraer información</a:t>
              </a:r>
            </a:p>
          </xdr:txBody>
        </xdr:sp>
        <xdr:clientData/>
      </xdr:twoCellAnchor>
    </mc:Choice>
  </mc:AlternateContent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393" createdVersion="3">
  <cacheSource type="worksheet">
    <worksheetSource ref="A:A" sheet="DPCache_Sheet1"/>
  </cacheSource>
  <cacheFields count="1">
    <cacheField name="REPLICAR (F5 + CELDAS EN BLANCO)" numFmtId="0">
      <sharedItems containsBlank="1" count="11">
        <s v="CONTRA ENTREGA SALDO"/>
        <s v="ENVIO TUNJA - SIN SALDO"/>
        <s v="GUIA CON RECAUDO"/>
        <s v="PROV. ALM. DOMICILIO"/>
        <s v="PROV. CLIENTE"/>
        <s v="RECOGE EN FABRICA"/>
        <s v="RECOGE EN FABRICA - SALDO CONTRAENTREGA"/>
        <s v="Tipo de envio"/>
        <s v="TRANSPORTADORA"/>
        <s v="TRANSPORTADORA HVM BGT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93">
  <r>
    <x v="7"/>
  </r>
  <r>
    <x v="8"/>
  </r>
  <r>
    <x v="10"/>
  </r>
  <r>
    <x v="8"/>
  </r>
  <r>
    <x v="10"/>
  </r>
  <r>
    <x v="8"/>
  </r>
  <r>
    <x v="10"/>
  </r>
  <r>
    <x v="10"/>
  </r>
  <r>
    <x v="5"/>
  </r>
  <r>
    <x v="0"/>
  </r>
  <r>
    <x v="10"/>
  </r>
  <r>
    <x v="10"/>
  </r>
  <r>
    <x v="10"/>
  </r>
  <r>
    <x v="10"/>
  </r>
  <r>
    <x v="8"/>
  </r>
  <r>
    <x v="8"/>
  </r>
  <r>
    <x v="8"/>
  </r>
  <r>
    <x v="8"/>
  </r>
  <r>
    <x v="8"/>
  </r>
  <r>
    <x v="8"/>
  </r>
  <r>
    <x v="8"/>
  </r>
  <r>
    <x v="10"/>
  </r>
  <r>
    <x v="10"/>
  </r>
  <r>
    <x v="10"/>
  </r>
  <r>
    <x v="8"/>
  </r>
  <r>
    <x v="10"/>
  </r>
  <r>
    <x v="10"/>
  </r>
  <r>
    <x v="10"/>
  </r>
  <r>
    <x v="10"/>
  </r>
  <r>
    <x v="10"/>
  </r>
  <r>
    <x v="8"/>
  </r>
  <r>
    <x v="10"/>
  </r>
  <r>
    <x v="8"/>
  </r>
  <r>
    <x v="10"/>
  </r>
  <r>
    <x v="10"/>
  </r>
  <r>
    <x v="10"/>
  </r>
  <r>
    <x v="8"/>
  </r>
  <r>
    <x v="10"/>
  </r>
  <r>
    <x v="10"/>
  </r>
  <r>
    <x v="8"/>
  </r>
  <r>
    <x v="10"/>
  </r>
  <r>
    <x v="10"/>
  </r>
  <r>
    <x v="8"/>
  </r>
  <r>
    <x v="6"/>
  </r>
  <r>
    <x v="10"/>
  </r>
  <r>
    <x v="8"/>
  </r>
  <r>
    <x v="10"/>
  </r>
  <r>
    <x v="10"/>
  </r>
  <r>
    <x v="10"/>
  </r>
  <r>
    <x v="8"/>
  </r>
  <r>
    <x v="10"/>
  </r>
  <r>
    <x v="10"/>
  </r>
  <r>
    <x v="10"/>
  </r>
  <r>
    <x v="8"/>
  </r>
  <r>
    <x v="10"/>
  </r>
  <r>
    <x v="10"/>
  </r>
  <r>
    <x v="10"/>
  </r>
  <r>
    <x v="10"/>
  </r>
  <r>
    <x v="10"/>
  </r>
  <r>
    <x v="8"/>
  </r>
  <r>
    <x v="10"/>
  </r>
  <r>
    <x v="10"/>
  </r>
  <r>
    <x v="8"/>
  </r>
  <r>
    <x v="10"/>
  </r>
  <r>
    <x v="8"/>
  </r>
  <r>
    <x v="10"/>
  </r>
  <r>
    <x v="10"/>
  </r>
  <r>
    <x v="10"/>
  </r>
  <r>
    <x v="10"/>
  </r>
  <r>
    <x v="10"/>
  </r>
  <r>
    <x v="10"/>
  </r>
  <r>
    <x v="8"/>
  </r>
  <r>
    <x v="10"/>
  </r>
  <r>
    <x v="10"/>
  </r>
  <r>
    <x v="8"/>
  </r>
  <r>
    <x v="10"/>
  </r>
  <r>
    <x v="8"/>
  </r>
  <r>
    <x v="10"/>
  </r>
  <r>
    <x v="8"/>
  </r>
  <r>
    <x v="10"/>
  </r>
  <r>
    <x v="8"/>
  </r>
  <r>
    <x v="10"/>
  </r>
  <r>
    <x v="10"/>
  </r>
  <r>
    <x v="8"/>
  </r>
  <r>
    <x v="10"/>
  </r>
  <r>
    <x v="8"/>
  </r>
  <r>
    <x v="10"/>
  </r>
  <r>
    <x v="10"/>
  </r>
  <r>
    <x v="10"/>
  </r>
  <r>
    <x v="8"/>
  </r>
  <r>
    <x v="10"/>
  </r>
  <r>
    <x v="10"/>
  </r>
  <r>
    <x v="8"/>
  </r>
  <r>
    <x v="10"/>
  </r>
  <r>
    <x v="10"/>
  </r>
  <r>
    <x v="10"/>
  </r>
  <r>
    <x v="8"/>
  </r>
  <r>
    <x v="10"/>
  </r>
  <r>
    <x v="10"/>
  </r>
  <r>
    <x v="10"/>
  </r>
  <r>
    <x v="5"/>
  </r>
  <r>
    <x v="10"/>
  </r>
  <r>
    <x v="10"/>
  </r>
  <r>
    <x v="8"/>
  </r>
  <r>
    <x v="10"/>
  </r>
  <r>
    <x v="10"/>
  </r>
  <r>
    <x v="10"/>
  </r>
  <r>
    <x v="10"/>
  </r>
  <r>
    <x v="8"/>
  </r>
  <r>
    <x v="10"/>
  </r>
  <r>
    <x v="10"/>
  </r>
  <r>
    <x v="8"/>
  </r>
  <r>
    <x v="10"/>
  </r>
  <r>
    <x v="10"/>
  </r>
  <r>
    <x v="10"/>
  </r>
  <r>
    <x v="8"/>
  </r>
  <r>
    <x v="10"/>
  </r>
  <r>
    <x v="8"/>
  </r>
  <r>
    <x v="10"/>
  </r>
  <r>
    <x v="8"/>
  </r>
  <r>
    <x v="10"/>
  </r>
  <r>
    <x v="2"/>
  </r>
  <r>
    <x v="10"/>
  </r>
  <r>
    <x v="0"/>
  </r>
  <r>
    <x v="10"/>
  </r>
  <r>
    <x v="10"/>
  </r>
  <r>
    <x v="8"/>
  </r>
  <r>
    <x v="8"/>
  </r>
  <r>
    <x v="8"/>
  </r>
  <r>
    <x v="8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8"/>
  </r>
  <r>
    <x v="10"/>
  </r>
  <r>
    <x v="10"/>
  </r>
  <r>
    <x v="8"/>
  </r>
  <r>
    <x v="10"/>
  </r>
  <r>
    <x v="8"/>
  </r>
  <r>
    <x v="10"/>
  </r>
  <r>
    <x v="10"/>
  </r>
  <r>
    <x v="10"/>
  </r>
  <r>
    <x v="10"/>
  </r>
  <r>
    <x v="8"/>
  </r>
  <r>
    <x v="10"/>
  </r>
  <r>
    <x v="10"/>
  </r>
  <r>
    <x v="10"/>
  </r>
  <r>
    <x v="1"/>
  </r>
  <r>
    <x v="10"/>
  </r>
  <r>
    <x v="10"/>
  </r>
  <r>
    <x v="8"/>
  </r>
  <r>
    <x v="10"/>
  </r>
  <r>
    <x v="10"/>
  </r>
  <r>
    <x v="2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8"/>
  </r>
  <r>
    <x v="10"/>
  </r>
  <r>
    <x v="10"/>
  </r>
  <r>
    <x v="4"/>
  </r>
  <r>
    <x v="8"/>
  </r>
  <r>
    <x v="10"/>
  </r>
  <r>
    <x v="10"/>
  </r>
  <r>
    <x v="10"/>
  </r>
  <r>
    <x v="10"/>
  </r>
  <r>
    <x v="10"/>
  </r>
  <r>
    <x v="10"/>
  </r>
  <r>
    <x v="10"/>
  </r>
  <r>
    <x v="10"/>
  </r>
  <r>
    <x v="8"/>
  </r>
  <r>
    <x v="10"/>
  </r>
  <r>
    <x v="0"/>
  </r>
  <r>
    <x v="10"/>
  </r>
  <r>
    <x v="10"/>
  </r>
  <r>
    <x v="10"/>
  </r>
  <r>
    <x v="10"/>
  </r>
  <r>
    <x v="8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8"/>
  </r>
  <r>
    <x v="10"/>
  </r>
  <r>
    <x v="10"/>
  </r>
  <r>
    <x v="10"/>
  </r>
  <r>
    <x v="8"/>
  </r>
  <r>
    <x v="10"/>
  </r>
  <r>
    <x v="10"/>
  </r>
  <r>
    <x v="8"/>
  </r>
  <r>
    <x v="10"/>
  </r>
  <r>
    <x v="8"/>
  </r>
  <r>
    <x v="10"/>
  </r>
  <r>
    <x v="8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9"/>
  </r>
  <r>
    <x v="10"/>
  </r>
  <r>
    <x v="10"/>
  </r>
  <r>
    <x v="6"/>
  </r>
  <r>
    <x v="10"/>
  </r>
  <r>
    <x v="10"/>
  </r>
  <r>
    <x v="0"/>
  </r>
  <r>
    <x v="10"/>
  </r>
  <r>
    <x v="10"/>
  </r>
  <r>
    <x v="10"/>
  </r>
  <r>
    <x v="10"/>
  </r>
  <r>
    <x v="10"/>
  </r>
  <r>
    <x v="10"/>
  </r>
  <r>
    <x v="8"/>
  </r>
  <r>
    <x v="10"/>
  </r>
  <r>
    <x v="8"/>
  </r>
  <r>
    <x v="10"/>
  </r>
  <r>
    <x v="10"/>
  </r>
  <r>
    <x v="10"/>
  </r>
  <r>
    <x v="10"/>
  </r>
  <r>
    <x v="8"/>
  </r>
  <r>
    <x v="10"/>
  </r>
  <r>
    <x v="10"/>
  </r>
  <r>
    <x v="10"/>
  </r>
  <r>
    <x v="10"/>
  </r>
  <r>
    <x v="10"/>
  </r>
  <r>
    <x v="10"/>
  </r>
  <r>
    <x v="8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8"/>
  </r>
  <r>
    <x v="10"/>
  </r>
  <r>
    <x v="10"/>
  </r>
  <r>
    <x v="9"/>
  </r>
  <r>
    <x v="10"/>
  </r>
  <r>
    <x v="10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8"/>
  </r>
  <r>
    <x v="10"/>
  </r>
  <r>
    <x v="6"/>
  </r>
  <r>
    <x v="10"/>
  </r>
  <r>
    <x v="10"/>
  </r>
  <r>
    <x v="10"/>
  </r>
  <r>
    <x v="10"/>
  </r>
  <r>
    <x v="10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9"/>
  </r>
  <r>
    <x v="10"/>
  </r>
  <r>
    <x v="10"/>
  </r>
  <r>
    <x v="10"/>
  </r>
  <r>
    <x v="10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8"/>
  </r>
  <r>
    <x v="10"/>
  </r>
  <r>
    <x v="10"/>
  </r>
  <r>
    <x v="8"/>
  </r>
  <r>
    <x v="8"/>
  </r>
  <r>
    <x v="10"/>
  </r>
  <r>
    <x v="10"/>
  </r>
  <r>
    <x v="10"/>
  </r>
  <r>
    <x v="3"/>
  </r>
  <r>
    <x v="9"/>
  </r>
  <r>
    <x v="10"/>
  </r>
  <r>
    <x v="10"/>
  </r>
  <r>
    <x v="10"/>
  </r>
  <r>
    <x v="10"/>
  </r>
  <r>
    <x v="10"/>
  </r>
  <r>
    <x v="1"/>
  </r>
  <r>
    <x v="10"/>
  </r>
  <r>
    <x v="10"/>
  </r>
  <r>
    <x v="10"/>
  </r>
  <r>
    <x v="10"/>
  </r>
  <r>
    <x v="10"/>
  </r>
  <r>
    <x v="8"/>
  </r>
  <r>
    <x v="10"/>
  </r>
  <r>
    <x v="8"/>
  </r>
  <r>
    <x v="10"/>
  </r>
  <r>
    <x v="10"/>
  </r>
  <r>
    <x v="9"/>
  </r>
  <r>
    <x v="10"/>
  </r>
  <r>
    <x v="10"/>
  </r>
  <r>
    <x v="10"/>
  </r>
  <r>
    <x v="10"/>
  </r>
  <r>
    <x v="0"/>
  </r>
  <r>
    <x v="10"/>
  </r>
  <r>
    <x v="10"/>
  </r>
  <r>
    <x v="10"/>
  </r>
  <r>
    <x v="10"/>
  </r>
  <r>
    <x v="10"/>
  </r>
  <r>
    <x v="10"/>
  </r>
  <r>
    <x v="9"/>
  </r>
  <r>
    <x v="10"/>
  </r>
  <r>
    <x v="10"/>
  </r>
  <r>
    <x v="10"/>
  </r>
  <r>
    <x v="8"/>
  </r>
  <r>
    <x v="10"/>
  </r>
  <r>
    <x v="8"/>
  </r>
  <r>
    <x v="10"/>
  </r>
  <r>
    <x v="8"/>
  </r>
  <r>
    <x v="10"/>
  </r>
  <r>
    <x v="8"/>
  </r>
  <r>
    <x v="10"/>
  </r>
  <r>
    <x v="8"/>
  </r>
  <r>
    <x v="10"/>
  </r>
  <r>
    <x v="8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TablaDinámica1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3:B15" firstHeaderRow="1" firstDataRow="1" firstDataCol="1"/>
  <pivotFields count="1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</pivotFields>
  <rowFields count="1">
    <field x="0"/>
  </row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a1" displayName="Tabla1" ref="A2:BE549" headerRowCount="1" totalsRowCount="0" totalsRowShown="0">
  <autoFilter ref="A2:BE549"/>
  <tableColumns count="57">
    <tableColumn id="1" name="NO FILTRO"/>
    <tableColumn id="2" name="NO FILTRO2"/>
    <tableColumn id="3" name="ID"/>
    <tableColumn id="4" name="Referencia del cliente"/>
    <tableColumn id="5" name="Fecha de venta"/>
    <tableColumn id="6" name="Fecha Produccion"/>
    <tableColumn id="7" name="Fecha Envio"/>
    <tableColumn id="8" name="Facturas/Fecha de despacho"/>
    <tableColumn id="9" name="Fecha max trans"/>
    <tableColumn id="10" name="Campaña"/>
    <tableColumn id="11" name="Líneas del pedido/Producto/Categoría de producto"/>
    <tableColumn id="12" name="Líneas del pedido/Producto/ID"/>
    <tableColumn id="13" name="Líneas del pedido/Producto"/>
    <tableColumn id="14" name="Líneas del pedido/Cantidad"/>
    <tableColumn id="15" name="Líneas del pedido/Observación producto"/>
    <tableColumn id="16" name="Líneas del pedido/Producto/Linea"/>
    <tableColumn id="17" name="Líneas del pedido/Producto/Producto"/>
    <tableColumn id="18" name="Líneas del pedido/Producto/Ref. Producto"/>
    <tableColumn id="19" name="Líneas del pedido/Producto/Tipo Tela"/>
    <tableColumn id="20" name="Líneas del pedido/Producto/Color Producto"/>
    <tableColumn id="21" name="Líneas del pedido/Producto/Color Patas"/>
    <tableColumn id="22" name="Cliente"/>
    <tableColumn id="23" name="Tipo de entrega"/>
    <tableColumn id="24" name="Facturas/Observación entrega"/>
    <tableColumn id="25" name="Dirección de entrega/Ciudad"/>
    <tableColumn id="26" name="Dirección de entrega/Provincia"/>
    <tableColumn id="27" name="F12"/>
    <tableColumn id="28" name="Cliente/NIF"/>
    <tableColumn id="29" name="Dirección de entrega/Calle"/>
    <tableColumn id="30" name="Cliente/Móvil"/>
    <tableColumn id="31" name="Cliente/Teléfono"/>
    <tableColumn id="32" name="SKU"/>
    <tableColumn id="33" name="Tipo de envio"/>
    <tableColumn id="34" name="Total Unid. Logisticas"/>
    <tableColumn id="35" name="Facturas"/>
    <tableColumn id="36" name="Facturas/Importe adeudado"/>
    <tableColumn id="37" name="Estado"/>
    <tableColumn id="38" name="Líneas del pedido/Precio unitario"/>
    <tableColumn id="39" name="Líneas del pedido/Descuento (%)"/>
    <tableColumn id="40" name="Líneas del pedido/Total"/>
    <tableColumn id="41" name="Líneas del pedido/Total de impuestos"/>
    <tableColumn id="42" name="Cliente/Correo electrónico"/>
    <tableColumn id="43" name="Asesor comercial"/>
    <tableColumn id="44" name="Líneas del pedido"/>
    <tableColumn id="45" name="Total"/>
    <tableColumn id="46" name="Dirección de factura/Calle"/>
    <tableColumn id="47" name="Dirección de factura/Ciudad"/>
    <tableColumn id="48" name="Dirección de factura/Teléfono"/>
    <tableColumn id="49" name="Dirección de factura/Móvil"/>
    <tableColumn id="50" name="Dirección de factura"/>
    <tableColumn id="51" name="Dirección de factura/NIF"/>
    <tableColumn id="52" name="Líneas del pedido/Ruta"/>
    <tableColumn id="53" name="Líneas del pedido/Ruta/Ruta"/>
    <tableColumn id="54" name="Compañía"/>
    <tableColumn id="55" name="Novedad de envio"/>
    <tableColumn id="56" name="Referencia del pedido"/>
    <tableColumn id="57" name="Columna55"/>
  </tableColumns>
</table>
</file>

<file path=xl/tables/table2.xml><?xml version="1.0" encoding="utf-8"?>
<table xmlns="http://schemas.openxmlformats.org/spreadsheetml/2006/main" id="2" name="Tabla2" displayName="Tabla2" ref="A2:O147" headerRowCount="1" totalsRowCount="0" totalsRowShown="0">
  <autoFilter ref="A2:O147"/>
  <tableColumns count="15">
    <tableColumn id="1" name="Cliente"/>
    <tableColumn id="2" name="Dirección de entrega/Ciudad"/>
    <tableColumn id="3" name="Departamento"/>
    <tableColumn id="4" name="F12"/>
    <tableColumn id="5" name="Cliente/NIF"/>
    <tableColumn id="6" name="Dirección de entrega/Calle"/>
    <tableColumn id="7" name="Cliente/Móvil"/>
    <tableColumn id="8" name="Cliente/Teléfono"/>
    <tableColumn id="9" name="SKU"/>
    <tableColumn id="10" name="Cliente/Correo electrónico"/>
    <tableColumn id="11" name="Producto "/>
    <tableColumn id="12" name="TRANSPORTADORA"/>
    <tableColumn id="13" name="Referencia Cliente"/>
    <tableColumn id="14" name="Referencia Odoo"/>
    <tableColumn id="15" name="Cantidad"/>
  </tableColumns>
</table>
</file>

<file path=xl/theme/theme1.xml><?xml version="1.0" encoding="utf-8"?>
<a:theme xmlns:a="http://schemas.openxmlformats.org/drawingml/2006/main" xmlns:r="http://schemas.openxmlformats.org/officeDocument/2006/relationships" name="Tema de Offic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pivotTable" Target="../pivotTables/pivotTable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5.xml"/><Relationship Id="rId4" Type="http://schemas.openxmlformats.org/officeDocument/2006/relationships/table" Target="../tables/table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B1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6" activeCellId="0" sqref="D26"/>
    </sheetView>
  </sheetViews>
  <sheetFormatPr defaultColWidth="10.71484375" defaultRowHeight="15" customHeight="true" zeroHeight="false" outlineLevelRow="0" outlineLevelCol="0"/>
  <cols>
    <col collapsed="false" customWidth="true" hidden="false" outlineLevel="0" max="1" min="1" style="0" width="43.15"/>
  </cols>
  <sheetData>
    <row r="3" customFormat="false" ht="15" hidden="false" customHeight="false" outlineLevel="0" collapsed="false">
      <c r="A3" s="1" t="s">
        <v>0</v>
      </c>
      <c r="B3" s="2" t="s">
        <v>1</v>
      </c>
    </row>
    <row r="4" customFormat="false" ht="15" hidden="false" customHeight="false" outlineLevel="0" collapsed="false">
      <c r="A4" s="3" t="s">
        <v>2</v>
      </c>
      <c r="B4" s="4"/>
    </row>
    <row r="5" customFormat="false" ht="15" hidden="false" customHeight="false" outlineLevel="0" collapsed="false">
      <c r="A5" s="5" t="s">
        <v>3</v>
      </c>
      <c r="B5" s="6"/>
    </row>
    <row r="6" customFormat="false" ht="15" hidden="false" customHeight="false" outlineLevel="0" collapsed="false">
      <c r="A6" s="5" t="s">
        <v>4</v>
      </c>
      <c r="B6" s="6"/>
    </row>
    <row r="7" customFormat="false" ht="15" hidden="false" customHeight="false" outlineLevel="0" collapsed="false">
      <c r="A7" s="5" t="s">
        <v>5</v>
      </c>
      <c r="B7" s="6"/>
    </row>
    <row r="8" customFormat="false" ht="15" hidden="false" customHeight="false" outlineLevel="0" collapsed="false">
      <c r="A8" s="5" t="s">
        <v>6</v>
      </c>
      <c r="B8" s="6"/>
    </row>
    <row r="9" customFormat="false" ht="15" hidden="false" customHeight="false" outlineLevel="0" collapsed="false">
      <c r="A9" s="5" t="s">
        <v>7</v>
      </c>
      <c r="B9" s="6"/>
    </row>
    <row r="10" customFormat="false" ht="15" hidden="false" customHeight="false" outlineLevel="0" collapsed="false">
      <c r="A10" s="5" t="s">
        <v>8</v>
      </c>
      <c r="B10" s="6"/>
    </row>
    <row r="11" customFormat="false" ht="15" hidden="false" customHeight="false" outlineLevel="0" collapsed="false">
      <c r="A11" s="5" t="s">
        <v>9</v>
      </c>
      <c r="B11" s="6"/>
    </row>
    <row r="12" customFormat="false" ht="15" hidden="false" customHeight="false" outlineLevel="0" collapsed="false">
      <c r="A12" s="5" t="s">
        <v>10</v>
      </c>
      <c r="B12" s="6"/>
    </row>
    <row r="13" customFormat="false" ht="15" hidden="false" customHeight="false" outlineLevel="0" collapsed="false">
      <c r="A13" s="5" t="s">
        <v>11</v>
      </c>
      <c r="B13" s="6"/>
    </row>
    <row r="14" customFormat="false" ht="15" hidden="false" customHeight="false" outlineLevel="0" collapsed="false">
      <c r="A14" s="5" t="s">
        <v>1</v>
      </c>
      <c r="B14" s="7"/>
    </row>
    <row r="15" customFormat="false" ht="15" hidden="false" customHeight="false" outlineLevel="0" collapsed="false">
      <c r="A15" s="8" t="s">
        <v>12</v>
      </c>
      <c r="B15" s="9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0000"/>
    <pageSetUpPr fitToPage="false"/>
  </sheetPr>
  <dimension ref="A1:BF549"/>
  <sheetViews>
    <sheetView showFormulas="false" showGridLines="true" showRowColHeaders="true" showZeros="true" rightToLeft="false" tabSelected="true" showOutlineSymbols="true" defaultGridColor="true" view="normal" topLeftCell="A1" colorId="64" zoomScale="70" zoomScaleNormal="70" zoomScalePageLayoutView="100" workbookViewId="0">
      <pane xSplit="2" ySplit="2" topLeftCell="C3" activePane="bottomRight" state="frozen"/>
      <selection pane="topLeft" activeCell="A1" activeCellId="0" sqref="A1"/>
      <selection pane="topRight" activeCell="C1" activeCellId="0" sqref="C1"/>
      <selection pane="bottomLeft" activeCell="A3" activeCellId="0" sqref="A3"/>
      <selection pane="bottomRight" activeCell="O12" activeCellId="0" sqref="O12"/>
    </sheetView>
  </sheetViews>
  <sheetFormatPr defaultColWidth="10.71484375" defaultRowHeight="15" customHeight="true" zeroHeight="false" outlineLevelRow="0" outlineLevelCol="1"/>
  <cols>
    <col collapsed="false" customWidth="true" hidden="false" outlineLevel="0" max="1" min="1" style="0" width="6.43"/>
    <col collapsed="false" customWidth="true" hidden="false" outlineLevel="0" max="2" min="2" style="0" width="4.43"/>
    <col collapsed="false" customWidth="true" hidden="false" outlineLevel="0" max="3" min="3" style="0" width="5.14"/>
    <col collapsed="false" customWidth="true" hidden="false" outlineLevel="0" max="4" min="4" style="10" width="22.86"/>
    <col collapsed="false" customWidth="true" hidden="true" outlineLevel="1" max="5" min="5" style="11" width="11.57"/>
    <col collapsed="false" customWidth="true" hidden="true" outlineLevel="1" max="6" min="6" style="11" width="14"/>
    <col collapsed="false" customWidth="true" hidden="true" outlineLevel="1" max="7" min="7" style="11" width="13.86"/>
    <col collapsed="false" customWidth="true" hidden="true" outlineLevel="1" max="8" min="8" style="11" width="11.15"/>
    <col collapsed="false" customWidth="true" hidden="true" outlineLevel="1" max="9" min="9" style="11" width="0.57"/>
    <col collapsed="false" customWidth="true" hidden="false" outlineLevel="0" max="10" min="10" style="0" width="11.57"/>
    <col collapsed="false" customWidth="true" hidden="false" outlineLevel="1" max="11" min="11" style="0" width="12.14"/>
    <col collapsed="false" customWidth="true" hidden="false" outlineLevel="1" max="12" min="12" style="0" width="5.14"/>
    <col collapsed="false" customWidth="true" hidden="false" outlineLevel="1" max="13" min="13" style="0" width="24.57"/>
    <col collapsed="false" customWidth="true" hidden="false" outlineLevel="1" max="14" min="14" style="0" width="27.86"/>
    <col collapsed="false" customWidth="true" hidden="false" outlineLevel="0" max="15" min="15" style="0" width="22.43"/>
    <col collapsed="false" customWidth="true" hidden="false" outlineLevel="1" max="16" min="16" style="0" width="13.71"/>
    <col collapsed="false" customWidth="true" hidden="false" outlineLevel="1" max="17" min="17" style="0" width="13.43"/>
    <col collapsed="false" customWidth="true" hidden="false" outlineLevel="1" max="18" min="18" style="0" width="13.86"/>
    <col collapsed="false" customWidth="true" hidden="false" outlineLevel="1" max="19" min="19" style="0" width="10.14"/>
    <col collapsed="false" customWidth="true" hidden="false" outlineLevel="1" max="20" min="20" style="0" width="14.29"/>
    <col collapsed="false" customWidth="true" hidden="false" outlineLevel="1" max="21" min="21" style="0" width="16.86"/>
    <col collapsed="false" customWidth="true" hidden="false" outlineLevel="0" max="22" min="22" style="0" width="29.43"/>
    <col collapsed="false" customWidth="true" hidden="false" outlineLevel="0" max="23" min="23" style="0" width="20.14"/>
    <col collapsed="false" customWidth="true" hidden="false" outlineLevel="0" max="24" min="24" style="0" width="30"/>
    <col collapsed="false" customWidth="true" hidden="false" outlineLevel="0" max="25" min="25" style="0" width="17.14"/>
    <col collapsed="false" customWidth="true" hidden="false" outlineLevel="1" max="26" min="26" style="0" width="19.72"/>
    <col collapsed="false" customWidth="true" hidden="false" outlineLevel="1" max="27" min="27" style="12" width="12"/>
    <col collapsed="false" customWidth="true" hidden="false" outlineLevel="1" max="28" min="28" style="0" width="13.57"/>
    <col collapsed="false" customWidth="true" hidden="false" outlineLevel="1" max="29" min="29" style="0" width="27.28"/>
    <col collapsed="false" customWidth="true" hidden="false" outlineLevel="1" max="30" min="30" style="0" width="15.43"/>
    <col collapsed="false" customWidth="true" hidden="false" outlineLevel="1" max="31" min="31" style="0" width="18.57"/>
    <col collapsed="false" customWidth="true" hidden="false" outlineLevel="1" max="32" min="32" style="0" width="11.43"/>
    <col collapsed="false" customWidth="true" hidden="false" outlineLevel="0" max="33" min="33" style="0" width="45.86"/>
    <col collapsed="false" customWidth="true" hidden="false" outlineLevel="1" max="34" min="34" style="0" width="24.72"/>
    <col collapsed="false" customWidth="true" hidden="false" outlineLevel="1" max="35" min="35" style="0" width="11.43"/>
    <col collapsed="false" customWidth="true" hidden="false" outlineLevel="1" max="36" min="36" style="0" width="11.86"/>
    <col collapsed="false" customWidth="true" hidden="false" outlineLevel="1" max="37" min="37" style="0" width="11.43"/>
    <col collapsed="false" customWidth="true" hidden="false" outlineLevel="1" max="38" min="38" style="13" width="14.71"/>
    <col collapsed="false" customWidth="true" hidden="false" outlineLevel="1" max="39" min="39" style="14" width="6.71"/>
    <col collapsed="false" customWidth="true" hidden="false" outlineLevel="1" max="41" min="40" style="13" width="14.71"/>
    <col collapsed="false" customWidth="true" hidden="false" outlineLevel="1" max="42" min="42" style="0" width="27.57"/>
    <col collapsed="false" customWidth="true" hidden="false" outlineLevel="1" max="43" min="43" style="0" width="18.57"/>
    <col collapsed="false" customWidth="true" hidden="false" outlineLevel="1" max="44" min="44" style="0" width="19"/>
    <col collapsed="false" customWidth="true" hidden="false" outlineLevel="1" max="45" min="45" style="0" width="11.43"/>
    <col collapsed="false" customWidth="true" hidden="false" outlineLevel="1" max="46" min="46" style="0" width="17.43"/>
    <col collapsed="false" customWidth="true" hidden="false" outlineLevel="1" max="47" min="47" style="0" width="20.43"/>
    <col collapsed="false" customWidth="true" hidden="false" outlineLevel="1" max="48" min="48" style="0" width="12.86"/>
    <col collapsed="false" customWidth="true" hidden="false" outlineLevel="1" max="49" min="49" style="0" width="21.14"/>
    <col collapsed="false" customWidth="true" hidden="false" outlineLevel="1" max="50" min="50" style="0" width="21.29"/>
    <col collapsed="false" customWidth="true" hidden="false" outlineLevel="1" max="51" min="51" style="0" width="13.14"/>
    <col collapsed="false" customWidth="true" hidden="false" outlineLevel="1" max="52" min="52" style="0" width="12"/>
    <col collapsed="false" customWidth="true" hidden="false" outlineLevel="1" max="53" min="53" style="0" width="33.57"/>
    <col collapsed="false" customWidth="true" hidden="false" outlineLevel="1" max="54" min="54" style="0" width="28"/>
    <col collapsed="false" customWidth="true" hidden="false" outlineLevel="1" max="55" min="55" style="0" width="18.86"/>
    <col collapsed="false" customWidth="true" hidden="false" outlineLevel="1" max="56" min="56" style="15" width="17.29"/>
    <col collapsed="false" customWidth="true" hidden="false" outlineLevel="0" max="57" min="57" style="0" width="17.71"/>
  </cols>
  <sheetData>
    <row r="1" s="26" customFormat="true" ht="30.75" hidden="false" customHeight="true" outlineLevel="0" collapsed="false">
      <c r="A1" s="16" t="s">
        <v>13</v>
      </c>
      <c r="B1" s="16" t="s">
        <v>13</v>
      </c>
      <c r="C1" s="17" t="n">
        <f aca="false">MAX(A3:A4)</f>
        <v>1</v>
      </c>
      <c r="D1" s="17" t="s">
        <v>0</v>
      </c>
      <c r="E1" s="18"/>
      <c r="F1" s="18"/>
      <c r="G1" s="18"/>
      <c r="H1" s="18"/>
      <c r="I1" s="19"/>
      <c r="J1" s="17" t="s">
        <v>0</v>
      </c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 t="s">
        <v>0</v>
      </c>
      <c r="W1" s="20" t="s">
        <v>14</v>
      </c>
      <c r="X1" s="17"/>
      <c r="Y1" s="20" t="s">
        <v>14</v>
      </c>
      <c r="Z1" s="17"/>
      <c r="AA1" s="21"/>
      <c r="AB1" s="17"/>
      <c r="AC1" s="17"/>
      <c r="AD1" s="17"/>
      <c r="AE1" s="17"/>
      <c r="AF1" s="17"/>
      <c r="AG1" s="20" t="s">
        <v>14</v>
      </c>
      <c r="AH1" s="17"/>
      <c r="AI1" s="17"/>
      <c r="AJ1" s="17"/>
      <c r="AK1" s="17"/>
      <c r="AL1" s="22"/>
      <c r="AM1" s="23"/>
      <c r="AN1" s="22"/>
      <c r="AO1" s="22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20" t="s">
        <v>15</v>
      </c>
      <c r="BC1" s="17" t="n">
        <v>0</v>
      </c>
      <c r="BD1" s="24"/>
      <c r="BE1" s="25" t="str">
        <f aca="false">IF(J1="FL.COM","4 ROTTERDAN",IF(W1="PROV. ALM. DOMICILIO","3 VIGIA",IF(AG1="TRANSPORTADORA HVM BGT","8 VENECIA",IF(OR(W1="PROV. CLIENTE",W1="PROV. ALM. RETIRO EN TIENDA"),"2 SGL","1 ENVIA"))))</f>
        <v>1 ENVIA</v>
      </c>
    </row>
    <row r="2" s="35" customFormat="true" ht="59.25" hidden="false" customHeight="true" outlineLevel="0" collapsed="false">
      <c r="A2" s="27" t="s">
        <v>13</v>
      </c>
      <c r="B2" s="27" t="s">
        <v>16</v>
      </c>
      <c r="C2" s="27" t="s">
        <v>17</v>
      </c>
      <c r="D2" s="28" t="s">
        <v>18</v>
      </c>
      <c r="E2" s="27" t="s">
        <v>19</v>
      </c>
      <c r="F2" s="27" t="s">
        <v>20</v>
      </c>
      <c r="G2" s="27" t="s">
        <v>21</v>
      </c>
      <c r="H2" s="27" t="s">
        <v>22</v>
      </c>
      <c r="I2" s="27" t="s">
        <v>23</v>
      </c>
      <c r="J2" s="28" t="s">
        <v>24</v>
      </c>
      <c r="K2" s="27" t="s">
        <v>25</v>
      </c>
      <c r="L2" s="27" t="s">
        <v>26</v>
      </c>
      <c r="M2" s="27" t="s">
        <v>27</v>
      </c>
      <c r="N2" s="27" t="s">
        <v>28</v>
      </c>
      <c r="O2" s="27" t="s">
        <v>29</v>
      </c>
      <c r="P2" s="27" t="s">
        <v>30</v>
      </c>
      <c r="Q2" s="27" t="s">
        <v>31</v>
      </c>
      <c r="R2" s="27" t="s">
        <v>32</v>
      </c>
      <c r="S2" s="27" t="s">
        <v>33</v>
      </c>
      <c r="T2" s="27" t="s">
        <v>34</v>
      </c>
      <c r="U2" s="27" t="s">
        <v>35</v>
      </c>
      <c r="V2" s="29" t="s">
        <v>36</v>
      </c>
      <c r="W2" s="30" t="s">
        <v>37</v>
      </c>
      <c r="X2" s="30" t="s">
        <v>38</v>
      </c>
      <c r="Y2" s="30" t="s">
        <v>39</v>
      </c>
      <c r="Z2" s="27" t="s">
        <v>40</v>
      </c>
      <c r="AA2" s="31" t="s">
        <v>41</v>
      </c>
      <c r="AB2" s="27" t="s">
        <v>42</v>
      </c>
      <c r="AC2" s="27" t="s">
        <v>43</v>
      </c>
      <c r="AD2" s="27" t="s">
        <v>44</v>
      </c>
      <c r="AE2" s="27" t="s">
        <v>45</v>
      </c>
      <c r="AF2" s="27" t="s">
        <v>46</v>
      </c>
      <c r="AG2" s="32" t="s">
        <v>9</v>
      </c>
      <c r="AH2" s="27" t="s">
        <v>47</v>
      </c>
      <c r="AI2" s="27" t="s">
        <v>48</v>
      </c>
      <c r="AJ2" s="27" t="s">
        <v>49</v>
      </c>
      <c r="AK2" s="27" t="s">
        <v>50</v>
      </c>
      <c r="AL2" s="33" t="s">
        <v>51</v>
      </c>
      <c r="AM2" s="34" t="s">
        <v>52</v>
      </c>
      <c r="AN2" s="33" t="s">
        <v>53</v>
      </c>
      <c r="AO2" s="33" t="s">
        <v>54</v>
      </c>
      <c r="AP2" s="27" t="s">
        <v>55</v>
      </c>
      <c r="AQ2" s="27" t="s">
        <v>56</v>
      </c>
      <c r="AR2" s="27" t="s">
        <v>57</v>
      </c>
      <c r="AS2" s="27" t="s">
        <v>58</v>
      </c>
      <c r="AT2" s="27" t="s">
        <v>59</v>
      </c>
      <c r="AU2" s="27" t="s">
        <v>60</v>
      </c>
      <c r="AV2" s="27" t="s">
        <v>61</v>
      </c>
      <c r="AW2" s="27" t="s">
        <v>62</v>
      </c>
      <c r="AX2" s="27" t="s">
        <v>63</v>
      </c>
      <c r="AY2" s="27" t="s">
        <v>64</v>
      </c>
      <c r="AZ2" s="27" t="s">
        <v>65</v>
      </c>
      <c r="BA2" s="27" t="s">
        <v>66</v>
      </c>
      <c r="BB2" s="27" t="s">
        <v>67</v>
      </c>
      <c r="BC2" s="27" t="s">
        <v>68</v>
      </c>
      <c r="BD2" s="27" t="s">
        <v>69</v>
      </c>
      <c r="BE2" s="28" t="s">
        <v>70</v>
      </c>
    </row>
    <row r="3" customFormat="false" ht="16.4" hidden="false" customHeight="false" outlineLevel="0" collapsed="false">
      <c r="A3" s="36" t="n">
        <f aca="false">B3</f>
        <v>1</v>
      </c>
      <c r="B3" s="36" t="n">
        <f aca="false">IF(OR(M3="FLETE",M3="FLETE ENVIO GARANTIA",M3="FLETE RECOLECCION GARANTIA",M3="COMPENSACION"),0,1)</f>
        <v>1</v>
      </c>
      <c r="C3" s="0" t="s">
        <v>71</v>
      </c>
      <c r="D3" s="10" t="s">
        <v>72</v>
      </c>
      <c r="E3" s="11" t="n">
        <v>45716</v>
      </c>
      <c r="F3" s="11" t="n">
        <v>45717</v>
      </c>
      <c r="G3" s="11" t="n">
        <v>45719</v>
      </c>
      <c r="I3" s="11" t="n">
        <v>45719</v>
      </c>
      <c r="J3" s="0" t="s">
        <v>73</v>
      </c>
      <c r="K3" s="0" t="s">
        <v>74</v>
      </c>
      <c r="L3" s="0" t="s">
        <v>75</v>
      </c>
      <c r="M3" s="0" t="s">
        <v>76</v>
      </c>
      <c r="N3" s="0" t="n">
        <v>1</v>
      </c>
      <c r="V3" s="0" t="s">
        <v>77</v>
      </c>
      <c r="W3" s="12" t="s">
        <v>78</v>
      </c>
      <c r="Y3" s="0" t="s">
        <v>79</v>
      </c>
      <c r="Z3" s="0" t="s">
        <v>80</v>
      </c>
      <c r="AB3" s="0" t="s">
        <v>81</v>
      </c>
      <c r="AC3" s="0" t="s">
        <v>82</v>
      </c>
      <c r="AD3" s="0" t="s">
        <v>83</v>
      </c>
      <c r="AE3" s="0" t="s">
        <v>83</v>
      </c>
      <c r="AG3" s="0" t="s">
        <v>10</v>
      </c>
      <c r="AH3" s="0" t="s">
        <v>84</v>
      </c>
      <c r="AK3" s="0" t="s">
        <v>85</v>
      </c>
      <c r="AL3" s="13" t="n">
        <v>3800</v>
      </c>
      <c r="AM3" s="14" t="n">
        <v>0</v>
      </c>
      <c r="AN3" s="13" t="n">
        <v>3800</v>
      </c>
      <c r="AO3" s="13" t="n">
        <v>0</v>
      </c>
      <c r="AP3" s="0" t="s">
        <v>86</v>
      </c>
      <c r="AQ3" s="0" t="s">
        <v>87</v>
      </c>
      <c r="AR3" s="0" t="s">
        <v>88</v>
      </c>
      <c r="AS3" s="0" t="n">
        <v>815480.67</v>
      </c>
      <c r="AT3" s="0" t="s">
        <v>82</v>
      </c>
      <c r="AU3" s="0" t="s">
        <v>79</v>
      </c>
      <c r="AV3" s="0" t="s">
        <v>83</v>
      </c>
      <c r="AW3" s="0" t="s">
        <v>83</v>
      </c>
      <c r="AX3" s="0" t="s">
        <v>77</v>
      </c>
      <c r="AY3" s="0" t="s">
        <v>81</v>
      </c>
      <c r="AZ3" s="0" t="s">
        <v>89</v>
      </c>
      <c r="BA3" s="0" t="s">
        <v>89</v>
      </c>
      <c r="BB3" s="0" t="s">
        <v>90</v>
      </c>
      <c r="BC3" s="0" t="n">
        <v>0</v>
      </c>
      <c r="BD3" s="15" t="s">
        <v>91</v>
      </c>
      <c r="BE3" s="37" t="s">
        <v>92</v>
      </c>
      <c r="BF3" s="38"/>
    </row>
    <row r="4" customFormat="false" ht="16.4" hidden="false" customHeight="false" outlineLevel="0" collapsed="false">
      <c r="A4" s="36" t="str">
        <f aca="false">IF(B4=0,"",MAX($A$3)+1)</f>
        <v/>
      </c>
      <c r="B4" s="36" t="n">
        <f aca="false">IF(OR(M4="FLETE",M4="FLETE ENVIO GARANTIA",M4="FLETE RECOLECCION GARANTIA",M4="COMPENSACION"),0,1)</f>
        <v>0</v>
      </c>
      <c r="D4" s="10" t="s">
        <v>72</v>
      </c>
      <c r="J4" s="0" t="s">
        <v>73</v>
      </c>
      <c r="K4" s="0" t="s">
        <v>93</v>
      </c>
      <c r="L4" s="0" t="s">
        <v>94</v>
      </c>
      <c r="M4" s="0" t="s">
        <v>95</v>
      </c>
      <c r="N4" s="0" t="n">
        <v>1</v>
      </c>
      <c r="V4" s="0" t="s">
        <v>77</v>
      </c>
      <c r="W4" s="12" t="s">
        <v>78</v>
      </c>
      <c r="Y4" s="12" t="s">
        <v>79</v>
      </c>
      <c r="AG4" s="0" t="s">
        <v>10</v>
      </c>
      <c r="AL4" s="13" t="n">
        <v>811680.6723</v>
      </c>
      <c r="AM4" s="14" t="n">
        <v>0</v>
      </c>
      <c r="AN4" s="13" t="n">
        <v>811680.67</v>
      </c>
      <c r="AO4" s="13" t="n">
        <v>0</v>
      </c>
      <c r="AR4" s="0" t="s">
        <v>96</v>
      </c>
      <c r="AZ4" s="0" t="s">
        <v>89</v>
      </c>
      <c r="BA4" s="0" t="s">
        <v>89</v>
      </c>
      <c r="BB4" s="0" t="s">
        <v>90</v>
      </c>
      <c r="BC4" s="0" t="n">
        <v>0</v>
      </c>
      <c r="BD4" s="15" t="s">
        <v>91</v>
      </c>
      <c r="BE4" s="37" t="s">
        <v>92</v>
      </c>
      <c r="BF4" s="38"/>
    </row>
    <row r="5" customFormat="false" ht="16.4" hidden="false" customHeight="false" outlineLevel="0" collapsed="false">
      <c r="A5" s="36" t="n">
        <f aca="false">IF(B5=0,"",MAX($A$3:A4)+1)</f>
        <v>2</v>
      </c>
      <c r="B5" s="36" t="n">
        <f aca="false">IF(OR(M5="FLETE",M5="FLETE ENVIO GARANTIA",M5="FLETE RECOLECCION GARANTIA",M5="COMPENSACION"),0,1)</f>
        <v>1</v>
      </c>
      <c r="C5" s="39" t="s">
        <v>97</v>
      </c>
      <c r="D5" s="40" t="s">
        <v>98</v>
      </c>
      <c r="E5" s="11" t="n">
        <v>45716</v>
      </c>
      <c r="F5" s="11" t="n">
        <v>45717</v>
      </c>
      <c r="G5" s="11" t="n">
        <v>45719</v>
      </c>
      <c r="I5" s="11" t="n">
        <v>45721</v>
      </c>
      <c r="J5" s="39" t="s">
        <v>73</v>
      </c>
      <c r="K5" s="39" t="s">
        <v>74</v>
      </c>
      <c r="L5" s="39" t="s">
        <v>99</v>
      </c>
      <c r="M5" s="39" t="s">
        <v>100</v>
      </c>
      <c r="N5" s="39" t="n">
        <v>1</v>
      </c>
      <c r="O5" s="39"/>
      <c r="P5" s="0" t="s">
        <v>73</v>
      </c>
      <c r="R5" s="0" t="s">
        <v>101</v>
      </c>
      <c r="V5" s="39" t="s">
        <v>102</v>
      </c>
      <c r="W5" s="41" t="n">
        <v>0</v>
      </c>
      <c r="X5" s="39"/>
      <c r="Y5" s="41" t="s">
        <v>103</v>
      </c>
      <c r="Z5" s="39" t="s">
        <v>104</v>
      </c>
      <c r="AA5" s="41"/>
      <c r="AB5" s="39" t="s">
        <v>105</v>
      </c>
      <c r="AC5" s="39" t="s">
        <v>106</v>
      </c>
      <c r="AD5" s="39" t="s">
        <v>107</v>
      </c>
      <c r="AE5" s="39" t="s">
        <v>108</v>
      </c>
      <c r="AF5" s="39"/>
      <c r="AG5" s="39" t="s">
        <v>10</v>
      </c>
      <c r="AH5" s="39" t="s">
        <v>84</v>
      </c>
      <c r="AI5" s="39"/>
      <c r="AJ5" s="39"/>
      <c r="AK5" s="39" t="s">
        <v>85</v>
      </c>
      <c r="AL5" s="42" t="n">
        <v>0</v>
      </c>
      <c r="AM5" s="43" t="n">
        <v>0</v>
      </c>
      <c r="AN5" s="42"/>
      <c r="AO5" s="42" t="n">
        <v>0</v>
      </c>
      <c r="AP5" s="39" t="s">
        <v>109</v>
      </c>
      <c r="AQ5" s="0" t="s">
        <v>110</v>
      </c>
      <c r="AR5" s="0" t="s">
        <v>111</v>
      </c>
      <c r="AT5" s="0" t="s">
        <v>106</v>
      </c>
      <c r="AU5" s="0" t="s">
        <v>103</v>
      </c>
      <c r="AV5" s="0" t="s">
        <v>108</v>
      </c>
      <c r="AW5" s="0" t="s">
        <v>107</v>
      </c>
      <c r="AX5" s="0" t="s">
        <v>102</v>
      </c>
      <c r="AY5" s="0" t="s">
        <v>105</v>
      </c>
      <c r="AZ5" s="0" t="s">
        <v>89</v>
      </c>
      <c r="BA5" s="0" t="s">
        <v>89</v>
      </c>
      <c r="BB5" s="0" t="s">
        <v>90</v>
      </c>
      <c r="BC5" s="0" t="n">
        <v>0</v>
      </c>
      <c r="BD5" s="15" t="s">
        <v>112</v>
      </c>
      <c r="BE5" s="37" t="s">
        <v>92</v>
      </c>
      <c r="BF5" s="38"/>
    </row>
    <row r="6" customFormat="false" ht="16.4" hidden="false" customHeight="false" outlineLevel="0" collapsed="false">
      <c r="A6" s="36" t="str">
        <f aca="false">IF(B6=0,"",MAX($A$3:A5)+1)</f>
        <v/>
      </c>
      <c r="B6" s="36" t="n">
        <f aca="false">IF(OR(M6="FLETE",M6="FLETE ENVIO GARANTIA",M6="FLETE RECOLECCION GARANTIA",M6="COMPENSACION"),0,1)</f>
        <v>0</v>
      </c>
      <c r="D6" s="10" t="s">
        <v>98</v>
      </c>
      <c r="J6" s="0" t="s">
        <v>73</v>
      </c>
      <c r="K6" s="0" t="s">
        <v>93</v>
      </c>
      <c r="L6" s="0" t="s">
        <v>94</v>
      </c>
      <c r="M6" s="0" t="s">
        <v>95</v>
      </c>
      <c r="N6" s="0" t="n">
        <v>1</v>
      </c>
      <c r="V6" s="0" t="s">
        <v>102</v>
      </c>
      <c r="W6" s="12" t="n">
        <v>0</v>
      </c>
      <c r="Y6" s="0" t="s">
        <v>103</v>
      </c>
      <c r="AG6" s="0" t="s">
        <v>10</v>
      </c>
      <c r="AL6" s="13" t="n">
        <v>0</v>
      </c>
      <c r="AM6" s="14" t="n">
        <v>0</v>
      </c>
      <c r="AO6" s="13" t="n">
        <v>0</v>
      </c>
      <c r="AR6" s="0" t="s">
        <v>113</v>
      </c>
      <c r="AZ6" s="0" t="s">
        <v>89</v>
      </c>
      <c r="BA6" s="0" t="s">
        <v>89</v>
      </c>
      <c r="BB6" s="0" t="s">
        <v>90</v>
      </c>
      <c r="BC6" s="44" t="n">
        <v>0</v>
      </c>
      <c r="BD6" s="15" t="s">
        <v>112</v>
      </c>
      <c r="BE6" s="37" t="s">
        <v>92</v>
      </c>
    </row>
    <row r="7" customFormat="false" ht="16.4" hidden="false" customHeight="false" outlineLevel="0" collapsed="false">
      <c r="A7" s="36" t="n">
        <f aca="false">IF(B7=0,"",MAX($A$3:A6)+1)</f>
        <v>3</v>
      </c>
      <c r="B7" s="36" t="n">
        <f aca="false">IF(OR(M7="FLETE",M7="FLETE ENVIO GARANTIA",M7="FLETE RECOLECCION GARANTIA",M7="COMPENSACION"),0,1)</f>
        <v>1</v>
      </c>
      <c r="C7" s="0" t="s">
        <v>114</v>
      </c>
      <c r="D7" s="10" t="s">
        <v>115</v>
      </c>
      <c r="E7" s="11" t="n">
        <v>45715</v>
      </c>
      <c r="F7" s="11" t="n">
        <v>45717</v>
      </c>
      <c r="G7" s="11" t="n">
        <v>45719</v>
      </c>
      <c r="I7" s="11" t="n">
        <v>45720</v>
      </c>
      <c r="J7" s="0" t="s">
        <v>73</v>
      </c>
      <c r="K7" s="0" t="s">
        <v>74</v>
      </c>
      <c r="L7" s="0" t="s">
        <v>116</v>
      </c>
      <c r="M7" s="0" t="s">
        <v>117</v>
      </c>
      <c r="N7" s="0" t="n">
        <v>1</v>
      </c>
      <c r="O7" s="0" t="s">
        <v>118</v>
      </c>
      <c r="P7" s="0" t="s">
        <v>73</v>
      </c>
      <c r="R7" s="0" t="s">
        <v>119</v>
      </c>
      <c r="V7" s="0" t="s">
        <v>120</v>
      </c>
      <c r="W7" s="12" t="n">
        <v>0</v>
      </c>
      <c r="Y7" s="12" t="s">
        <v>121</v>
      </c>
      <c r="Z7" s="0" t="s">
        <v>122</v>
      </c>
      <c r="AB7" s="0" t="s">
        <v>123</v>
      </c>
      <c r="AC7" s="0" t="s">
        <v>124</v>
      </c>
      <c r="AE7" s="0" t="s">
        <v>125</v>
      </c>
      <c r="AF7" s="0" t="s">
        <v>126</v>
      </c>
      <c r="AG7" s="0" t="s">
        <v>10</v>
      </c>
      <c r="AH7" s="0" t="s">
        <v>84</v>
      </c>
      <c r="AK7" s="0" t="s">
        <v>85</v>
      </c>
      <c r="AL7" s="13" t="n">
        <v>0</v>
      </c>
      <c r="AM7" s="14" t="n">
        <v>0</v>
      </c>
      <c r="AO7" s="13" t="n">
        <v>0</v>
      </c>
      <c r="AP7" s="0" t="s">
        <v>127</v>
      </c>
      <c r="AQ7" s="0" t="s">
        <v>128</v>
      </c>
      <c r="AR7" s="0" t="s">
        <v>129</v>
      </c>
      <c r="AT7" s="0" t="s">
        <v>124</v>
      </c>
      <c r="AU7" s="0" t="s">
        <v>121</v>
      </c>
      <c r="AV7" s="0" t="s">
        <v>125</v>
      </c>
      <c r="AX7" s="0" t="s">
        <v>120</v>
      </c>
      <c r="AY7" s="0" t="s">
        <v>123</v>
      </c>
      <c r="AZ7" s="0" t="s">
        <v>89</v>
      </c>
      <c r="BA7" s="0" t="s">
        <v>89</v>
      </c>
      <c r="BB7" s="0" t="s">
        <v>130</v>
      </c>
      <c r="BC7" s="0" t="n">
        <v>0</v>
      </c>
      <c r="BD7" s="15" t="s">
        <v>131</v>
      </c>
      <c r="BE7" s="37" t="s">
        <v>92</v>
      </c>
    </row>
    <row r="8" customFormat="false" ht="16.4" hidden="false" customHeight="false" outlineLevel="0" collapsed="false">
      <c r="A8" s="36" t="str">
        <f aca="false">IF(B8=0,"",MAX($A$3:A7)+1)</f>
        <v/>
      </c>
      <c r="B8" s="36" t="n">
        <f aca="false">IF(OR(M8="FLETE",M8="FLETE ENVIO GARANTIA",M8="FLETE RECOLECCION GARANTIA",M8="COMPENSACION"),0,1)</f>
        <v>0</v>
      </c>
      <c r="D8" s="10" t="s">
        <v>115</v>
      </c>
      <c r="J8" s="0" t="s">
        <v>73</v>
      </c>
      <c r="K8" s="0" t="s">
        <v>93</v>
      </c>
      <c r="L8" s="0" t="s">
        <v>94</v>
      </c>
      <c r="M8" s="0" t="s">
        <v>95</v>
      </c>
      <c r="N8" s="0" t="n">
        <v>1</v>
      </c>
      <c r="V8" s="0" t="s">
        <v>120</v>
      </c>
      <c r="W8" s="12" t="n">
        <v>0</v>
      </c>
      <c r="Y8" s="0" t="s">
        <v>121</v>
      </c>
      <c r="AG8" s="0" t="s">
        <v>10</v>
      </c>
      <c r="AL8" s="13" t="n">
        <v>0</v>
      </c>
      <c r="AM8" s="14" t="n">
        <v>0</v>
      </c>
      <c r="AO8" s="13" t="n">
        <v>0</v>
      </c>
      <c r="AR8" s="0" t="s">
        <v>132</v>
      </c>
      <c r="AZ8" s="0" t="s">
        <v>89</v>
      </c>
      <c r="BA8" s="0" t="s">
        <v>89</v>
      </c>
      <c r="BB8" s="0" t="s">
        <v>130</v>
      </c>
      <c r="BC8" s="0" t="n">
        <v>0</v>
      </c>
      <c r="BD8" s="15" t="s">
        <v>131</v>
      </c>
      <c r="BE8" s="37" t="s">
        <v>92</v>
      </c>
    </row>
    <row r="9" customFormat="false" ht="16.4" hidden="false" customHeight="false" outlineLevel="0" collapsed="false">
      <c r="A9" s="36" t="n">
        <f aca="false">IF(B9=0,"",MAX($A$3:A8)+1)</f>
        <v>4</v>
      </c>
      <c r="B9" s="36" t="n">
        <f aca="false">IF(OR(M9="FLETE",M9="FLETE ENVIO GARANTIA",M9="FLETE RECOLECCION GARANTIA",M9="COMPENSACION"),0,1)</f>
        <v>1</v>
      </c>
      <c r="C9" s="0" t="s">
        <v>133</v>
      </c>
      <c r="D9" s="10" t="s">
        <v>134</v>
      </c>
      <c r="E9" s="11" t="n">
        <v>45653</v>
      </c>
      <c r="F9" s="11" t="n">
        <v>45716</v>
      </c>
      <c r="G9" s="11" t="n">
        <v>45719</v>
      </c>
      <c r="I9" s="11" t="n">
        <v>45720</v>
      </c>
      <c r="J9" s="0" t="s">
        <v>73</v>
      </c>
      <c r="K9" s="0" t="s">
        <v>135</v>
      </c>
      <c r="L9" s="0" t="s">
        <v>136</v>
      </c>
      <c r="M9" s="0" t="s">
        <v>137</v>
      </c>
      <c r="N9" s="0" t="n">
        <v>1</v>
      </c>
      <c r="P9" s="0" t="s">
        <v>138</v>
      </c>
      <c r="Q9" s="0" t="s">
        <v>139</v>
      </c>
      <c r="R9" s="0" t="s">
        <v>140</v>
      </c>
      <c r="T9" s="0" t="s">
        <v>141</v>
      </c>
      <c r="V9" s="0" t="s">
        <v>142</v>
      </c>
      <c r="W9" s="12" t="n">
        <v>0</v>
      </c>
      <c r="Y9" s="0" t="s">
        <v>143</v>
      </c>
      <c r="Z9" s="0" t="s">
        <v>144</v>
      </c>
      <c r="AB9" s="0" t="s">
        <v>145</v>
      </c>
      <c r="AC9" s="0" t="s">
        <v>146</v>
      </c>
      <c r="AD9" s="0" t="s">
        <v>147</v>
      </c>
      <c r="AE9" s="0" t="s">
        <v>147</v>
      </c>
      <c r="AG9" s="0" t="s">
        <v>3</v>
      </c>
      <c r="AH9" s="0" t="s">
        <v>84</v>
      </c>
      <c r="AK9" s="0" t="s">
        <v>85</v>
      </c>
      <c r="AL9" s="13" t="n">
        <v>312822.9487</v>
      </c>
      <c r="AM9" s="14" t="n">
        <v>50</v>
      </c>
      <c r="AN9" s="13" t="n">
        <v>156411.47</v>
      </c>
      <c r="AO9" s="13" t="n">
        <v>0</v>
      </c>
      <c r="AP9" s="0" t="s">
        <v>148</v>
      </c>
      <c r="AQ9" s="0" t="s">
        <v>128</v>
      </c>
      <c r="AR9" s="0" t="s">
        <v>149</v>
      </c>
      <c r="AS9" s="0" t="n">
        <v>281628.46</v>
      </c>
      <c r="AT9" s="0" t="s">
        <v>146</v>
      </c>
      <c r="AU9" s="0" t="s">
        <v>143</v>
      </c>
      <c r="AV9" s="0" t="s">
        <v>147</v>
      </c>
      <c r="AW9" s="0" t="s">
        <v>147</v>
      </c>
      <c r="AX9" s="0" t="s">
        <v>142</v>
      </c>
      <c r="AY9" s="0" t="s">
        <v>145</v>
      </c>
      <c r="AZ9" s="0" t="s">
        <v>89</v>
      </c>
      <c r="BA9" s="0" t="s">
        <v>89</v>
      </c>
      <c r="BB9" s="0" t="s">
        <v>90</v>
      </c>
      <c r="BC9" s="0" t="s">
        <v>150</v>
      </c>
      <c r="BD9" s="15" t="s">
        <v>151</v>
      </c>
      <c r="BE9" s="37" t="s">
        <v>152</v>
      </c>
    </row>
    <row r="10" customFormat="false" ht="16.4" hidden="false" customHeight="false" outlineLevel="0" collapsed="false">
      <c r="A10" s="36" t="n">
        <f aca="false">IF(B10=0,"",MAX($A$3:A9)+1)</f>
        <v>5</v>
      </c>
      <c r="B10" s="36" t="n">
        <f aca="false">IF(OR(M10="FLETE",M10="FLETE ENVIO GARANTIA",M10="FLETE RECOLECCION GARANTIA",M10="COMPENSACION"),0,1)</f>
        <v>1</v>
      </c>
      <c r="D10" s="10" t="s">
        <v>134</v>
      </c>
      <c r="J10" s="0" t="s">
        <v>73</v>
      </c>
      <c r="K10" s="0" t="s">
        <v>153</v>
      </c>
      <c r="L10" s="0" t="s">
        <v>154</v>
      </c>
      <c r="M10" s="0" t="s">
        <v>155</v>
      </c>
      <c r="N10" s="0" t="n">
        <v>1</v>
      </c>
      <c r="P10" s="0" t="s">
        <v>138</v>
      </c>
      <c r="Q10" s="0" t="s">
        <v>156</v>
      </c>
      <c r="R10" s="0" t="s">
        <v>157</v>
      </c>
      <c r="S10" s="0" t="s">
        <v>158</v>
      </c>
      <c r="T10" s="0" t="s">
        <v>159</v>
      </c>
      <c r="U10" s="0" t="s">
        <v>160</v>
      </c>
      <c r="V10" s="0" t="s">
        <v>142</v>
      </c>
      <c r="W10" s="12" t="n">
        <v>0</v>
      </c>
      <c r="Y10" s="12" t="s">
        <v>143</v>
      </c>
      <c r="AG10" s="0" t="s">
        <v>3</v>
      </c>
      <c r="AL10" s="13" t="n">
        <v>168431.9296</v>
      </c>
      <c r="AM10" s="14" t="n">
        <v>50</v>
      </c>
      <c r="AN10" s="13" t="n">
        <v>100216.99</v>
      </c>
      <c r="AO10" s="13" t="n">
        <v>16001.03</v>
      </c>
      <c r="AR10" s="0" t="s">
        <v>161</v>
      </c>
      <c r="AZ10" s="0" t="s">
        <v>89</v>
      </c>
      <c r="BA10" s="0" t="s">
        <v>89</v>
      </c>
      <c r="BB10" s="0" t="s">
        <v>90</v>
      </c>
      <c r="BC10" s="0" t="s">
        <v>150</v>
      </c>
      <c r="BD10" s="15" t="s">
        <v>151</v>
      </c>
      <c r="BE10" s="37" t="s">
        <v>152</v>
      </c>
    </row>
    <row r="11" customFormat="false" ht="16.4" hidden="false" customHeight="false" outlineLevel="0" collapsed="false">
      <c r="A11" s="36" t="str">
        <f aca="false">IF(B11=0,"",MAX($A$3:A10)+1)</f>
        <v/>
      </c>
      <c r="B11" s="36" t="n">
        <f aca="false">IF(OR(M11="FLETE",M11="FLETE ENVIO GARANTIA",M11="FLETE RECOLECCION GARANTIA",M11="COMPENSACION"),0,1)</f>
        <v>0</v>
      </c>
      <c r="D11" s="10" t="s">
        <v>134</v>
      </c>
      <c r="J11" s="0" t="s">
        <v>73</v>
      </c>
      <c r="K11" s="0" t="s">
        <v>93</v>
      </c>
      <c r="L11" s="0" t="s">
        <v>162</v>
      </c>
      <c r="M11" s="0" t="s">
        <v>163</v>
      </c>
      <c r="N11" s="0" t="n">
        <v>1</v>
      </c>
      <c r="P11" s="0" t="s">
        <v>73</v>
      </c>
      <c r="R11" s="0" t="s">
        <v>163</v>
      </c>
      <c r="V11" s="0" t="s">
        <v>142</v>
      </c>
      <c r="W11" s="12" t="n">
        <v>0</v>
      </c>
      <c r="Y11" s="0" t="s">
        <v>143</v>
      </c>
      <c r="AG11" s="0" t="s">
        <v>3</v>
      </c>
      <c r="AL11" s="13" t="n">
        <v>0</v>
      </c>
      <c r="AM11" s="14" t="n">
        <v>0</v>
      </c>
      <c r="AO11" s="13" t="n">
        <v>0</v>
      </c>
      <c r="AR11" s="0" t="s">
        <v>164</v>
      </c>
      <c r="AZ11" s="0" t="s">
        <v>89</v>
      </c>
      <c r="BA11" s="0" t="s">
        <v>89</v>
      </c>
      <c r="BB11" s="0" t="s">
        <v>90</v>
      </c>
      <c r="BC11" s="0" t="s">
        <v>150</v>
      </c>
      <c r="BD11" s="15" t="s">
        <v>151</v>
      </c>
      <c r="BE11" s="37" t="s">
        <v>152</v>
      </c>
    </row>
    <row r="12" customFormat="false" ht="16.4" hidden="false" customHeight="false" outlineLevel="0" collapsed="false">
      <c r="A12" s="36" t="str">
        <f aca="false">IF(B12=0,"",MAX($A$3:A11)+1)</f>
        <v/>
      </c>
      <c r="B12" s="36" t="n">
        <f aca="false">IF(OR(M12="FLETE",M12="FLETE ENVIO GARANTIA",M12="FLETE RECOLECCION GARANTIA",M12="COMPENSACION"),0,1)</f>
        <v>0</v>
      </c>
      <c r="D12" s="10" t="s">
        <v>134</v>
      </c>
      <c r="J12" s="0" t="s">
        <v>73</v>
      </c>
      <c r="K12" s="0" t="s">
        <v>93</v>
      </c>
      <c r="L12" s="0" t="s">
        <v>94</v>
      </c>
      <c r="M12" s="0" t="s">
        <v>95</v>
      </c>
      <c r="N12" s="0" t="n">
        <v>1</v>
      </c>
      <c r="V12" s="0" t="s">
        <v>142</v>
      </c>
      <c r="W12" s="12" t="n">
        <v>0</v>
      </c>
      <c r="Y12" s="12" t="s">
        <v>143</v>
      </c>
      <c r="AG12" s="0" t="s">
        <v>3</v>
      </c>
      <c r="AL12" s="13" t="n">
        <v>0</v>
      </c>
      <c r="AM12" s="14" t="n">
        <v>0</v>
      </c>
      <c r="AO12" s="13" t="n">
        <v>0</v>
      </c>
      <c r="AR12" s="0" t="s">
        <v>165</v>
      </c>
      <c r="AZ12" s="0" t="s">
        <v>89</v>
      </c>
      <c r="BA12" s="0" t="s">
        <v>89</v>
      </c>
      <c r="BB12" s="0" t="s">
        <v>90</v>
      </c>
      <c r="BC12" s="0" t="s">
        <v>150</v>
      </c>
      <c r="BD12" s="15" t="s">
        <v>151</v>
      </c>
      <c r="BE12" s="37" t="s">
        <v>152</v>
      </c>
    </row>
    <row r="13" customFormat="false" ht="16.4" hidden="false" customHeight="false" outlineLevel="0" collapsed="false">
      <c r="A13" s="36" t="str">
        <f aca="false">IF(B13=0,"",MAX($A$3:A12)+1)</f>
        <v/>
      </c>
      <c r="B13" s="36" t="n">
        <f aca="false">IF(OR(M13="FLETE",M13="FLETE ENVIO GARANTIA",M13="FLETE RECOLECCION GARANTIA",M13="COMPENSACION"),0,1)</f>
        <v>0</v>
      </c>
      <c r="D13" s="10" t="s">
        <v>134</v>
      </c>
      <c r="J13" s="0" t="s">
        <v>73</v>
      </c>
      <c r="K13" s="0" t="s">
        <v>93</v>
      </c>
      <c r="L13" s="0" t="s">
        <v>166</v>
      </c>
      <c r="M13" s="0" t="s">
        <v>167</v>
      </c>
      <c r="N13" s="0" t="n">
        <v>1</v>
      </c>
      <c r="P13" s="0" t="s">
        <v>73</v>
      </c>
      <c r="R13" s="0" t="s">
        <v>168</v>
      </c>
      <c r="V13" s="0" t="s">
        <v>142</v>
      </c>
      <c r="W13" s="12" t="n">
        <v>0</v>
      </c>
      <c r="Y13" s="12" t="s">
        <v>143</v>
      </c>
      <c r="AG13" s="0" t="s">
        <v>3</v>
      </c>
      <c r="AL13" s="13" t="n">
        <v>25000</v>
      </c>
      <c r="AM13" s="14" t="n">
        <v>0</v>
      </c>
      <c r="AN13" s="13" t="n">
        <v>25000</v>
      </c>
      <c r="AO13" s="13" t="n">
        <v>0</v>
      </c>
      <c r="AR13" s="0" t="s">
        <v>169</v>
      </c>
      <c r="AZ13" s="0" t="s">
        <v>89</v>
      </c>
      <c r="BA13" s="0" t="s">
        <v>89</v>
      </c>
      <c r="BB13" s="0" t="s">
        <v>90</v>
      </c>
      <c r="BC13" s="0" t="s">
        <v>150</v>
      </c>
      <c r="BD13" s="15" t="s">
        <v>151</v>
      </c>
      <c r="BE13" s="37" t="s">
        <v>152</v>
      </c>
    </row>
    <row r="14" customFormat="false" ht="16.4" hidden="false" customHeight="false" outlineLevel="0" collapsed="false">
      <c r="A14" s="36" t="n">
        <f aca="false">IF(B14=0,"",MAX($A$3:A13)+1)</f>
        <v>6</v>
      </c>
      <c r="B14" s="36" t="n">
        <f aca="false">IF(OR(M14="FLETE",M14="FLETE ENVIO GARANTIA",M14="FLETE RECOLECCION GARANTIA",M14="COMPENSACION"),0,1)</f>
        <v>1</v>
      </c>
      <c r="C14" s="0" t="s">
        <v>170</v>
      </c>
      <c r="D14" s="10" t="s">
        <v>171</v>
      </c>
      <c r="E14" s="11" t="n">
        <v>45712</v>
      </c>
      <c r="F14" s="11" t="n">
        <v>45716</v>
      </c>
      <c r="G14" s="11" t="n">
        <v>45719</v>
      </c>
      <c r="I14" s="11" t="n">
        <v>45719</v>
      </c>
      <c r="J14" s="0" t="s">
        <v>73</v>
      </c>
      <c r="K14" s="0" t="s">
        <v>172</v>
      </c>
      <c r="L14" s="0" t="s">
        <v>173</v>
      </c>
      <c r="M14" s="0" t="s">
        <v>174</v>
      </c>
      <c r="N14" s="0" t="n">
        <v>1</v>
      </c>
      <c r="P14" s="0" t="s">
        <v>73</v>
      </c>
      <c r="R14" s="0" t="s">
        <v>175</v>
      </c>
      <c r="U14" s="0" t="s">
        <v>176</v>
      </c>
      <c r="V14" s="0" t="s">
        <v>177</v>
      </c>
      <c r="W14" s="12" t="n">
        <v>0</v>
      </c>
      <c r="Y14" s="0" t="s">
        <v>178</v>
      </c>
      <c r="Z14" s="0" t="s">
        <v>179</v>
      </c>
      <c r="AB14" s="0" t="s">
        <v>180</v>
      </c>
      <c r="AC14" s="0" t="s">
        <v>181</v>
      </c>
      <c r="AD14" s="0" t="s">
        <v>182</v>
      </c>
      <c r="AE14" s="0" t="s">
        <v>182</v>
      </c>
      <c r="AG14" s="0" t="s">
        <v>11</v>
      </c>
      <c r="AH14" s="0" t="s">
        <v>84</v>
      </c>
      <c r="AK14" s="0" t="s">
        <v>85</v>
      </c>
      <c r="AL14" s="13" t="n">
        <v>19000</v>
      </c>
      <c r="AM14" s="14" t="n">
        <v>0</v>
      </c>
      <c r="AN14" s="13" t="n">
        <v>19000</v>
      </c>
      <c r="AO14" s="13" t="n">
        <v>0</v>
      </c>
      <c r="AP14" s="0" t="s">
        <v>183</v>
      </c>
      <c r="AQ14" s="0" t="s">
        <v>110</v>
      </c>
      <c r="AR14" s="0" t="s">
        <v>184</v>
      </c>
      <c r="AS14" s="0" t="n">
        <v>19000</v>
      </c>
      <c r="AT14" s="0" t="s">
        <v>181</v>
      </c>
      <c r="AU14" s="0" t="s">
        <v>178</v>
      </c>
      <c r="AV14" s="0" t="s">
        <v>182</v>
      </c>
      <c r="AW14" s="0" t="s">
        <v>182</v>
      </c>
      <c r="AX14" s="0" t="s">
        <v>177</v>
      </c>
      <c r="AY14" s="0" t="s">
        <v>180</v>
      </c>
      <c r="AZ14" s="0" t="s">
        <v>89</v>
      </c>
      <c r="BA14" s="0" t="s">
        <v>89</v>
      </c>
      <c r="BB14" s="0" t="s">
        <v>90</v>
      </c>
      <c r="BC14" s="0" t="s">
        <v>150</v>
      </c>
      <c r="BD14" s="15" t="s">
        <v>185</v>
      </c>
      <c r="BE14" s="37" t="s">
        <v>186</v>
      </c>
    </row>
    <row r="15" customFormat="false" ht="16.4" hidden="false" customHeight="false" outlineLevel="0" collapsed="false">
      <c r="A15" s="36" t="str">
        <f aca="false">IF(B15=0,"",MAX($A$3:A14)+1)</f>
        <v/>
      </c>
      <c r="B15" s="36" t="n">
        <f aca="false">IF(OR(M15="FLETE",M15="FLETE ENVIO GARANTIA",M15="FLETE RECOLECCION GARANTIA",M15="COMPENSACION"),0,1)</f>
        <v>0</v>
      </c>
      <c r="D15" s="10" t="s">
        <v>171</v>
      </c>
      <c r="J15" s="0" t="s">
        <v>73</v>
      </c>
      <c r="K15" s="0" t="s">
        <v>93</v>
      </c>
      <c r="L15" s="0" t="s">
        <v>94</v>
      </c>
      <c r="M15" s="0" t="s">
        <v>95</v>
      </c>
      <c r="N15" s="0" t="n">
        <v>1</v>
      </c>
      <c r="V15" s="0" t="s">
        <v>177</v>
      </c>
      <c r="W15" s="12" t="n">
        <v>0</v>
      </c>
      <c r="Y15" s="12" t="s">
        <v>178</v>
      </c>
      <c r="AG15" s="0" t="s">
        <v>11</v>
      </c>
      <c r="AL15" s="13" t="n">
        <v>0</v>
      </c>
      <c r="AM15" s="14" t="n">
        <v>0</v>
      </c>
      <c r="AO15" s="13" t="n">
        <v>0</v>
      </c>
      <c r="AR15" s="0" t="s">
        <v>187</v>
      </c>
      <c r="AZ15" s="0" t="s">
        <v>89</v>
      </c>
      <c r="BA15" s="0" t="s">
        <v>89</v>
      </c>
      <c r="BB15" s="0" t="s">
        <v>90</v>
      </c>
      <c r="BC15" s="0" t="s">
        <v>150</v>
      </c>
      <c r="BD15" s="15" t="s">
        <v>185</v>
      </c>
      <c r="BE15" s="37" t="s">
        <v>186</v>
      </c>
    </row>
    <row r="16" customFormat="false" ht="16.4" hidden="false" customHeight="false" outlineLevel="0" collapsed="false">
      <c r="A16" s="36" t="str">
        <f aca="false">IF(B16=0,"",MAX($A$3:A15)+1)</f>
        <v/>
      </c>
      <c r="B16" s="36" t="n">
        <f aca="false">IF(OR(M16="FLETE",M16="FLETE ENVIO GARANTIA",M16="FLETE RECOLECCION GARANTIA",M16="COMPENSACION"),0,1)</f>
        <v>0</v>
      </c>
      <c r="D16" s="10" t="s">
        <v>171</v>
      </c>
      <c r="J16" s="0" t="s">
        <v>73</v>
      </c>
      <c r="K16" s="0" t="s">
        <v>93</v>
      </c>
      <c r="L16" s="0" t="s">
        <v>166</v>
      </c>
      <c r="M16" s="0" t="s">
        <v>167</v>
      </c>
      <c r="N16" s="0" t="n">
        <v>1</v>
      </c>
      <c r="P16" s="0" t="s">
        <v>73</v>
      </c>
      <c r="R16" s="0" t="s">
        <v>168</v>
      </c>
      <c r="V16" s="0" t="s">
        <v>177</v>
      </c>
      <c r="W16" s="0" t="n">
        <v>0</v>
      </c>
      <c r="Y16" s="0" t="s">
        <v>178</v>
      </c>
      <c r="AG16" s="0" t="s">
        <v>11</v>
      </c>
      <c r="AL16" s="13" t="n">
        <v>0</v>
      </c>
      <c r="AM16" s="14" t="n">
        <v>0</v>
      </c>
      <c r="AO16" s="13" t="n">
        <v>0</v>
      </c>
      <c r="AR16" s="0" t="s">
        <v>188</v>
      </c>
      <c r="AZ16" s="0" t="s">
        <v>89</v>
      </c>
      <c r="BA16" s="0" t="s">
        <v>89</v>
      </c>
      <c r="BB16" s="0" t="s">
        <v>90</v>
      </c>
      <c r="BC16" s="0" t="s">
        <v>150</v>
      </c>
      <c r="BD16" s="15" t="s">
        <v>185</v>
      </c>
      <c r="BE16" s="37" t="s">
        <v>186</v>
      </c>
    </row>
    <row r="17" customFormat="false" ht="16.4" hidden="false" customHeight="false" outlineLevel="0" collapsed="false">
      <c r="A17" s="36" t="n">
        <f aca="false">IF(B17=0,"",MAX($A$3:A16)+1)</f>
        <v>7</v>
      </c>
      <c r="B17" s="36" t="n">
        <f aca="false">IF(OR(M17="FLETE",M17="FLETE ENVIO GARANTIA",M17="FLETE RECOLECCION GARANTIA",M17="COMPENSACION"),0,1)</f>
        <v>1</v>
      </c>
      <c r="C17" s="0" t="s">
        <v>189</v>
      </c>
      <c r="D17" s="10" t="s">
        <v>190</v>
      </c>
      <c r="E17" s="11" t="n">
        <v>45711</v>
      </c>
      <c r="F17" s="11" t="n">
        <v>45717</v>
      </c>
      <c r="G17" s="11" t="n">
        <v>45719</v>
      </c>
      <c r="I17" s="11" t="n">
        <v>45721</v>
      </c>
      <c r="J17" s="0" t="s">
        <v>191</v>
      </c>
      <c r="K17" s="0" t="s">
        <v>192</v>
      </c>
      <c r="L17" s="0" t="s">
        <v>193</v>
      </c>
      <c r="M17" s="0" t="s">
        <v>194</v>
      </c>
      <c r="N17" s="0" t="n">
        <v>1</v>
      </c>
      <c r="P17" s="0" t="s">
        <v>195</v>
      </c>
      <c r="Q17" s="0" t="s">
        <v>196</v>
      </c>
      <c r="R17" s="0" t="s">
        <v>197</v>
      </c>
      <c r="T17" s="0" t="s">
        <v>198</v>
      </c>
      <c r="U17" s="0" t="s">
        <v>199</v>
      </c>
      <c r="V17" s="0" t="s">
        <v>200</v>
      </c>
      <c r="W17" s="12" t="n">
        <v>0</v>
      </c>
      <c r="Y17" s="12" t="s">
        <v>201</v>
      </c>
      <c r="Z17" s="0" t="s">
        <v>202</v>
      </c>
      <c r="AB17" s="0" t="s">
        <v>203</v>
      </c>
      <c r="AC17" s="0" t="s">
        <v>204</v>
      </c>
      <c r="AE17" s="0" t="s">
        <v>205</v>
      </c>
      <c r="AF17" s="0" t="s">
        <v>206</v>
      </c>
      <c r="AG17" s="0" t="s">
        <v>10</v>
      </c>
      <c r="AK17" s="0" t="s">
        <v>85</v>
      </c>
      <c r="AL17" s="13" t="n">
        <v>853900</v>
      </c>
      <c r="AM17" s="14" t="n">
        <v>19.5863</v>
      </c>
      <c r="AN17" s="13" t="n">
        <v>817116.57</v>
      </c>
      <c r="AO17" s="13" t="n">
        <v>130463.99</v>
      </c>
      <c r="AP17" s="0" t="s">
        <v>207</v>
      </c>
      <c r="AR17" s="0" t="s">
        <v>208</v>
      </c>
      <c r="AS17" s="0" t="n">
        <v>817116.57</v>
      </c>
      <c r="AT17" s="0" t="s">
        <v>204</v>
      </c>
      <c r="AU17" s="0" t="s">
        <v>201</v>
      </c>
      <c r="AV17" s="0" t="s">
        <v>205</v>
      </c>
      <c r="AX17" s="0" t="s">
        <v>200</v>
      </c>
      <c r="AY17" s="0" t="s">
        <v>203</v>
      </c>
      <c r="AZ17" s="0" t="s">
        <v>89</v>
      </c>
      <c r="BA17" s="0" t="s">
        <v>89</v>
      </c>
      <c r="BB17" s="0" t="s">
        <v>90</v>
      </c>
      <c r="BC17" s="0" t="n">
        <v>0</v>
      </c>
      <c r="BD17" s="15" t="s">
        <v>209</v>
      </c>
      <c r="BE17" s="37" t="s">
        <v>92</v>
      </c>
    </row>
    <row r="18" customFormat="false" ht="16.4" hidden="false" customHeight="false" outlineLevel="0" collapsed="false">
      <c r="A18" s="36" t="str">
        <f aca="false">IF(B18=0,"",MAX($A$3:A17)+1)</f>
        <v/>
      </c>
      <c r="B18" s="36" t="n">
        <f aca="false">IF(OR(M18="FLETE",M18="FLETE ENVIO GARANTIA",M18="FLETE RECOLECCION GARANTIA",M18="COMPENSACION"),0,1)</f>
        <v>0</v>
      </c>
      <c r="D18" s="10" t="s">
        <v>190</v>
      </c>
      <c r="J18" s="0" t="s">
        <v>191</v>
      </c>
      <c r="K18" s="0" t="s">
        <v>93</v>
      </c>
      <c r="L18" s="0" t="s">
        <v>210</v>
      </c>
      <c r="M18" s="0" t="s">
        <v>211</v>
      </c>
      <c r="N18" s="0" t="n">
        <v>1</v>
      </c>
      <c r="P18" s="0" t="s">
        <v>73</v>
      </c>
      <c r="R18" s="0" t="s">
        <v>211</v>
      </c>
      <c r="V18" s="0" t="s">
        <v>200</v>
      </c>
      <c r="W18" s="12" t="n">
        <v>0</v>
      </c>
      <c r="Y18" s="12" t="s">
        <v>201</v>
      </c>
      <c r="AG18" s="0" t="s">
        <v>10</v>
      </c>
      <c r="AL18" s="13" t="n">
        <v>0</v>
      </c>
      <c r="AM18" s="14" t="n">
        <v>0</v>
      </c>
      <c r="AO18" s="13" t="n">
        <v>0</v>
      </c>
      <c r="AR18" s="0" t="s">
        <v>208</v>
      </c>
      <c r="AZ18" s="0" t="s">
        <v>89</v>
      </c>
      <c r="BA18" s="0" t="s">
        <v>89</v>
      </c>
      <c r="BB18" s="0" t="s">
        <v>90</v>
      </c>
      <c r="BC18" s="0" t="n">
        <v>0</v>
      </c>
      <c r="BD18" s="15" t="s">
        <v>209</v>
      </c>
      <c r="BE18" s="37" t="s">
        <v>92</v>
      </c>
    </row>
    <row r="19" customFormat="false" ht="16.4" hidden="false" customHeight="false" outlineLevel="0" collapsed="false">
      <c r="A19" s="36" t="n">
        <f aca="false">IF(B19=0,"",MAX($A$3:A18)+1)</f>
        <v>8</v>
      </c>
      <c r="B19" s="36" t="n">
        <f aca="false">IF(OR(M19="FLETE",M19="FLETE ENVIO GARANTIA",M19="FLETE RECOLECCION GARANTIA",M19="COMPENSACION"),0,1)</f>
        <v>1</v>
      </c>
      <c r="C19" s="0" t="s">
        <v>212</v>
      </c>
      <c r="D19" s="10" t="s">
        <v>213</v>
      </c>
      <c r="E19" s="11" t="n">
        <v>45711</v>
      </c>
      <c r="F19" s="11" t="n">
        <v>45717</v>
      </c>
      <c r="G19" s="11" t="n">
        <v>45719</v>
      </c>
      <c r="I19" s="11" t="n">
        <v>45721</v>
      </c>
      <c r="J19" s="0" t="s">
        <v>191</v>
      </c>
      <c r="K19" s="0" t="s">
        <v>214</v>
      </c>
      <c r="L19" s="0" t="s">
        <v>215</v>
      </c>
      <c r="M19" s="0" t="s">
        <v>216</v>
      </c>
      <c r="N19" s="0" t="n">
        <v>1</v>
      </c>
      <c r="P19" s="0" t="s">
        <v>217</v>
      </c>
      <c r="Q19" s="0" t="s">
        <v>218</v>
      </c>
      <c r="R19" s="0" t="s">
        <v>219</v>
      </c>
      <c r="S19" s="0" t="s">
        <v>220</v>
      </c>
      <c r="T19" s="0" t="s">
        <v>221</v>
      </c>
      <c r="U19" s="0" t="s">
        <v>160</v>
      </c>
      <c r="V19" s="0" t="s">
        <v>222</v>
      </c>
      <c r="W19" s="12" t="n">
        <v>0</v>
      </c>
      <c r="Y19" s="12" t="s">
        <v>223</v>
      </c>
      <c r="Z19" s="0" t="s">
        <v>224</v>
      </c>
      <c r="AB19" s="0" t="s">
        <v>225</v>
      </c>
      <c r="AC19" s="0" t="s">
        <v>226</v>
      </c>
      <c r="AE19" s="0" t="s">
        <v>227</v>
      </c>
      <c r="AF19" s="0" t="s">
        <v>228</v>
      </c>
      <c r="AG19" s="0" t="s">
        <v>10</v>
      </c>
      <c r="AK19" s="0" t="s">
        <v>85</v>
      </c>
      <c r="AL19" s="13" t="n">
        <v>1454925</v>
      </c>
      <c r="AM19" s="14" t="n">
        <v>20.2777</v>
      </c>
      <c r="AN19" s="13" t="n">
        <v>1380280.61</v>
      </c>
      <c r="AO19" s="13" t="n">
        <v>220380.94</v>
      </c>
      <c r="AP19" s="0" t="s">
        <v>207</v>
      </c>
      <c r="AR19" s="0" t="s">
        <v>229</v>
      </c>
      <c r="AS19" s="0" t="n">
        <v>1380280.61</v>
      </c>
      <c r="AT19" s="0" t="s">
        <v>226</v>
      </c>
      <c r="AU19" s="0" t="s">
        <v>223</v>
      </c>
      <c r="AV19" s="0" t="s">
        <v>227</v>
      </c>
      <c r="AX19" s="0" t="s">
        <v>222</v>
      </c>
      <c r="AY19" s="0" t="s">
        <v>225</v>
      </c>
      <c r="AZ19" s="0" t="s">
        <v>89</v>
      </c>
      <c r="BA19" s="0" t="s">
        <v>89</v>
      </c>
      <c r="BB19" s="0" t="s">
        <v>90</v>
      </c>
      <c r="BC19" s="0" t="n">
        <v>0</v>
      </c>
      <c r="BD19" s="15" t="s">
        <v>230</v>
      </c>
      <c r="BE19" s="37" t="s">
        <v>92</v>
      </c>
    </row>
    <row r="20" customFormat="false" ht="16.4" hidden="false" customHeight="false" outlineLevel="0" collapsed="false">
      <c r="A20" s="36" t="str">
        <f aca="false">IF(B20=0,"",MAX($A$3:A19)+1)</f>
        <v/>
      </c>
      <c r="B20" s="36" t="n">
        <f aca="false">IF(OR(M20="FLETE",M20="FLETE ENVIO GARANTIA",M20="FLETE RECOLECCION GARANTIA",M20="COMPENSACION"),0,1)</f>
        <v>0</v>
      </c>
      <c r="D20" s="10" t="s">
        <v>213</v>
      </c>
      <c r="J20" s="0" t="s">
        <v>191</v>
      </c>
      <c r="K20" s="0" t="s">
        <v>93</v>
      </c>
      <c r="L20" s="0" t="s">
        <v>210</v>
      </c>
      <c r="M20" s="0" t="s">
        <v>211</v>
      </c>
      <c r="N20" s="0" t="n">
        <v>1</v>
      </c>
      <c r="P20" s="0" t="s">
        <v>73</v>
      </c>
      <c r="R20" s="0" t="s">
        <v>211</v>
      </c>
      <c r="V20" s="0" t="s">
        <v>222</v>
      </c>
      <c r="W20" s="12" t="n">
        <v>0</v>
      </c>
      <c r="Y20" s="12" t="s">
        <v>223</v>
      </c>
      <c r="AG20" s="0" t="s">
        <v>10</v>
      </c>
      <c r="AL20" s="13" t="n">
        <v>0</v>
      </c>
      <c r="AM20" s="14" t="n">
        <v>0</v>
      </c>
      <c r="AO20" s="13" t="n">
        <v>0</v>
      </c>
      <c r="AR20" s="0" t="s">
        <v>229</v>
      </c>
      <c r="AZ20" s="0" t="s">
        <v>89</v>
      </c>
      <c r="BA20" s="0" t="s">
        <v>89</v>
      </c>
      <c r="BB20" s="0" t="s">
        <v>90</v>
      </c>
      <c r="BC20" s="0" t="n">
        <v>0</v>
      </c>
      <c r="BD20" s="15" t="s">
        <v>230</v>
      </c>
      <c r="BE20" s="37" t="s">
        <v>92</v>
      </c>
    </row>
    <row r="21" customFormat="false" ht="16.4" hidden="false" customHeight="false" outlineLevel="0" collapsed="false">
      <c r="A21" s="36" t="n">
        <f aca="false">IF(B21=0,"",MAX($A$3:A20)+1)</f>
        <v>9</v>
      </c>
      <c r="B21" s="36" t="n">
        <f aca="false">IF(OR(M21="FLETE",M21="FLETE ENVIO GARANTIA",M21="FLETE RECOLECCION GARANTIA",M21="COMPENSACION"),0,1)</f>
        <v>1</v>
      </c>
      <c r="C21" s="0" t="s">
        <v>231</v>
      </c>
      <c r="D21" s="10" t="n">
        <v>2736959765</v>
      </c>
      <c r="E21" s="11" t="n">
        <v>45711</v>
      </c>
      <c r="F21" s="11" t="n">
        <v>45717</v>
      </c>
      <c r="G21" s="11" t="n">
        <v>45719</v>
      </c>
      <c r="I21" s="11" t="n">
        <v>45720</v>
      </c>
      <c r="J21" s="0" t="s">
        <v>232</v>
      </c>
      <c r="K21" s="0" t="s">
        <v>214</v>
      </c>
      <c r="L21" s="0" t="s">
        <v>233</v>
      </c>
      <c r="M21" s="0" t="s">
        <v>234</v>
      </c>
      <c r="N21" s="0" t="n">
        <v>1</v>
      </c>
      <c r="P21" s="0" t="s">
        <v>217</v>
      </c>
      <c r="Q21" s="0" t="s">
        <v>218</v>
      </c>
      <c r="R21" s="0" t="s">
        <v>235</v>
      </c>
      <c r="S21" s="0" t="s">
        <v>158</v>
      </c>
      <c r="T21" s="0" t="s">
        <v>236</v>
      </c>
      <c r="U21" s="0" t="s">
        <v>160</v>
      </c>
      <c r="V21" s="0" t="s">
        <v>237</v>
      </c>
      <c r="W21" s="12" t="n">
        <v>0</v>
      </c>
      <c r="Y21" s="0" t="s">
        <v>238</v>
      </c>
      <c r="Z21" s="0" t="s">
        <v>202</v>
      </c>
      <c r="AB21" s="0" t="n">
        <v>1073245736</v>
      </c>
      <c r="AC21" s="0" t="s">
        <v>239</v>
      </c>
      <c r="AE21" s="0" t="n">
        <v>573188095946</v>
      </c>
      <c r="AF21" s="0" t="n">
        <v>138596693</v>
      </c>
      <c r="AG21" s="0" t="s">
        <v>10</v>
      </c>
      <c r="AK21" s="0" t="s">
        <v>85</v>
      </c>
      <c r="AL21" s="13" t="n">
        <v>1360900</v>
      </c>
      <c r="AM21" s="14" t="n">
        <v>0</v>
      </c>
      <c r="AN21" s="13" t="n">
        <v>1619471</v>
      </c>
      <c r="AO21" s="13" t="n">
        <v>258571</v>
      </c>
      <c r="AP21" s="0" t="n">
        <v>0</v>
      </c>
      <c r="AR21" s="0" t="s">
        <v>240</v>
      </c>
      <c r="AS21" s="0" t="n">
        <v>1619471</v>
      </c>
      <c r="AT21" s="0" t="s">
        <v>239</v>
      </c>
      <c r="AU21" s="0" t="s">
        <v>238</v>
      </c>
      <c r="AV21" s="0" t="n">
        <v>573188095946</v>
      </c>
      <c r="AX21" s="0" t="s">
        <v>237</v>
      </c>
      <c r="AY21" s="0" t="n">
        <v>1073245736</v>
      </c>
      <c r="AZ21" s="0" t="s">
        <v>89</v>
      </c>
      <c r="BA21" s="0" t="s">
        <v>89</v>
      </c>
      <c r="BB21" s="0" t="s">
        <v>130</v>
      </c>
      <c r="BC21" s="44" t="s">
        <v>241</v>
      </c>
      <c r="BD21" s="15" t="s">
        <v>242</v>
      </c>
      <c r="BE21" s="37" t="s">
        <v>92</v>
      </c>
    </row>
    <row r="22" customFormat="false" ht="16.4" hidden="false" customHeight="false" outlineLevel="0" collapsed="false">
      <c r="A22" s="36" t="str">
        <f aca="false">IF(B22=0,"",MAX($A$3:A21)+1)</f>
        <v/>
      </c>
      <c r="B22" s="36" t="n">
        <f aca="false">IF(OR(M22="FLETE",M22="FLETE ENVIO GARANTIA",M22="FLETE RECOLECCION GARANTIA",M22="COMPENSACION"),0,1)</f>
        <v>0</v>
      </c>
      <c r="D22" s="10" t="n">
        <v>2736959765</v>
      </c>
      <c r="J22" s="0" t="s">
        <v>232</v>
      </c>
      <c r="K22" s="0" t="s">
        <v>93</v>
      </c>
      <c r="L22" s="0" t="s">
        <v>210</v>
      </c>
      <c r="M22" s="0" t="s">
        <v>211</v>
      </c>
      <c r="N22" s="0" t="n">
        <v>1</v>
      </c>
      <c r="P22" s="0" t="s">
        <v>73</v>
      </c>
      <c r="R22" s="0" t="s">
        <v>211</v>
      </c>
      <c r="V22" s="0" t="s">
        <v>237</v>
      </c>
      <c r="W22" s="12" t="n">
        <v>0</v>
      </c>
      <c r="Y22" s="12" t="s">
        <v>238</v>
      </c>
      <c r="AG22" s="0" t="s">
        <v>10</v>
      </c>
      <c r="AL22" s="13" t="n">
        <v>0</v>
      </c>
      <c r="AM22" s="14" t="n">
        <v>0</v>
      </c>
      <c r="AO22" s="13" t="n">
        <v>0</v>
      </c>
      <c r="AR22" s="0" t="s">
        <v>240</v>
      </c>
      <c r="AZ22" s="0" t="s">
        <v>89</v>
      </c>
      <c r="BA22" s="0" t="s">
        <v>89</v>
      </c>
      <c r="BB22" s="0" t="s">
        <v>130</v>
      </c>
      <c r="BC22" s="0" t="s">
        <v>241</v>
      </c>
      <c r="BD22" s="15" t="s">
        <v>242</v>
      </c>
      <c r="BE22" s="37" t="s">
        <v>92</v>
      </c>
    </row>
    <row r="23" customFormat="false" ht="16.4" hidden="false" customHeight="false" outlineLevel="0" collapsed="false">
      <c r="A23" s="36" t="n">
        <f aca="false">IF(B23=0,"",MAX($A$3:A22)+1)</f>
        <v>10</v>
      </c>
      <c r="B23" s="36" t="n">
        <f aca="false">IF(OR(M23="FLETE",M23="FLETE ENVIO GARANTIA",M23="FLETE RECOLECCION GARANTIA",M23="COMPENSACION"),0,1)</f>
        <v>1</v>
      </c>
      <c r="C23" s="0" t="s">
        <v>243</v>
      </c>
      <c r="D23" s="10" t="s">
        <v>244</v>
      </c>
      <c r="E23" s="11" t="n">
        <v>45708</v>
      </c>
      <c r="F23" s="11" t="n">
        <v>45717</v>
      </c>
      <c r="G23" s="11" t="n">
        <v>45719</v>
      </c>
      <c r="I23" s="11" t="n">
        <v>45716</v>
      </c>
      <c r="J23" s="0" t="s">
        <v>245</v>
      </c>
      <c r="K23" s="0" t="s">
        <v>246</v>
      </c>
      <c r="L23" s="0" t="s">
        <v>247</v>
      </c>
      <c r="M23" s="0" t="s">
        <v>248</v>
      </c>
      <c r="N23" s="0" t="n">
        <v>2</v>
      </c>
      <c r="P23" s="0" t="s">
        <v>249</v>
      </c>
      <c r="Q23" s="0" t="s">
        <v>250</v>
      </c>
      <c r="R23" s="0" t="s">
        <v>251</v>
      </c>
      <c r="T23" s="0" t="s">
        <v>252</v>
      </c>
      <c r="V23" s="0" t="s">
        <v>245</v>
      </c>
      <c r="W23" s="12" t="n">
        <v>0</v>
      </c>
      <c r="Y23" s="12" t="s">
        <v>238</v>
      </c>
      <c r="AC23" s="0" t="s">
        <v>253</v>
      </c>
      <c r="AE23" s="0" t="s">
        <v>254</v>
      </c>
      <c r="AG23" s="0" t="s">
        <v>10</v>
      </c>
      <c r="AH23" s="0" t="n">
        <v>1</v>
      </c>
      <c r="AK23" s="0" t="s">
        <v>85</v>
      </c>
      <c r="AL23" s="13" t="n">
        <v>32900</v>
      </c>
      <c r="AM23" s="14" t="n">
        <v>0</v>
      </c>
      <c r="AN23" s="13" t="n">
        <v>78302</v>
      </c>
      <c r="AO23" s="13" t="n">
        <v>12502</v>
      </c>
      <c r="AP23" s="0" t="s">
        <v>255</v>
      </c>
      <c r="AR23" s="0" t="s">
        <v>256</v>
      </c>
      <c r="AS23" s="0" t="n">
        <v>3401972</v>
      </c>
      <c r="AT23" s="0" t="s">
        <v>253</v>
      </c>
      <c r="AV23" s="0" t="s">
        <v>254</v>
      </c>
      <c r="AX23" s="0" t="s">
        <v>245</v>
      </c>
      <c r="AZ23" s="0" t="s">
        <v>257</v>
      </c>
      <c r="BA23" s="0" t="s">
        <v>257</v>
      </c>
      <c r="BB23" s="0" t="s">
        <v>90</v>
      </c>
      <c r="BC23" s="0" t="s">
        <v>241</v>
      </c>
      <c r="BD23" s="15" t="s">
        <v>258</v>
      </c>
      <c r="BE23" s="37" t="s">
        <v>92</v>
      </c>
    </row>
    <row r="24" customFormat="false" ht="16.4" hidden="false" customHeight="false" outlineLevel="0" collapsed="false">
      <c r="A24" s="36" t="n">
        <f aca="false">IF(B24=0,"",MAX($A$3:A23)+1)</f>
        <v>11</v>
      </c>
      <c r="B24" s="36" t="n">
        <f aca="false">IF(OR(M24="FLETE",M24="FLETE ENVIO GARANTIA",M24="FLETE RECOLECCION GARANTIA",M24="COMPENSACION"),0,1)</f>
        <v>1</v>
      </c>
      <c r="D24" s="10" t="s">
        <v>244</v>
      </c>
      <c r="J24" s="0" t="s">
        <v>245</v>
      </c>
      <c r="K24" s="0" t="s">
        <v>246</v>
      </c>
      <c r="L24" s="0" t="s">
        <v>259</v>
      </c>
      <c r="M24" s="0" t="s">
        <v>260</v>
      </c>
      <c r="N24" s="0" t="n">
        <v>2</v>
      </c>
      <c r="P24" s="0" t="s">
        <v>249</v>
      </c>
      <c r="Q24" s="0" t="s">
        <v>250</v>
      </c>
      <c r="R24" s="0" t="s">
        <v>261</v>
      </c>
      <c r="V24" s="0" t="s">
        <v>245</v>
      </c>
      <c r="W24" s="12" t="n">
        <v>0</v>
      </c>
      <c r="Y24" s="12" t="s">
        <v>238</v>
      </c>
      <c r="AG24" s="0" t="s">
        <v>10</v>
      </c>
      <c r="AL24" s="13" t="n">
        <v>32900</v>
      </c>
      <c r="AM24" s="14" t="n">
        <v>0</v>
      </c>
      <c r="AN24" s="13" t="n">
        <v>78302</v>
      </c>
      <c r="AO24" s="13" t="n">
        <v>12502</v>
      </c>
      <c r="AR24" s="0" t="s">
        <v>256</v>
      </c>
      <c r="AZ24" s="0" t="s">
        <v>257</v>
      </c>
      <c r="BA24" s="0" t="s">
        <v>257</v>
      </c>
      <c r="BB24" s="0" t="s">
        <v>90</v>
      </c>
      <c r="BC24" s="0" t="s">
        <v>241</v>
      </c>
      <c r="BD24" s="15" t="s">
        <v>258</v>
      </c>
      <c r="BE24" s="37" t="s">
        <v>92</v>
      </c>
    </row>
    <row r="25" customFormat="false" ht="16.4" hidden="false" customHeight="false" outlineLevel="0" collapsed="false">
      <c r="A25" s="36" t="n">
        <f aca="false">IF(B25=0,"",MAX($A$3:A24)+1)</f>
        <v>12</v>
      </c>
      <c r="B25" s="36" t="n">
        <f aca="false">IF(OR(M25="FLETE",M25="FLETE ENVIO GARANTIA",M25="FLETE RECOLECCION GARANTIA",M25="COMPENSACION"),0,1)</f>
        <v>1</v>
      </c>
      <c r="D25" s="10" t="s">
        <v>244</v>
      </c>
      <c r="J25" s="0" t="s">
        <v>245</v>
      </c>
      <c r="K25" s="0" t="s">
        <v>246</v>
      </c>
      <c r="L25" s="0" t="s">
        <v>262</v>
      </c>
      <c r="M25" s="0" t="s">
        <v>263</v>
      </c>
      <c r="N25" s="0" t="n">
        <v>2</v>
      </c>
      <c r="P25" s="0" t="s">
        <v>249</v>
      </c>
      <c r="Q25" s="0" t="s">
        <v>250</v>
      </c>
      <c r="R25" s="0" t="s">
        <v>251</v>
      </c>
      <c r="T25" s="0" t="s">
        <v>264</v>
      </c>
      <c r="V25" s="0" t="s">
        <v>245</v>
      </c>
      <c r="W25" s="12" t="n">
        <v>0</v>
      </c>
      <c r="Y25" s="12" t="s">
        <v>238</v>
      </c>
      <c r="AG25" s="0" t="s">
        <v>10</v>
      </c>
      <c r="AL25" s="13" t="n">
        <v>32900</v>
      </c>
      <c r="AM25" s="14" t="n">
        <v>0</v>
      </c>
      <c r="AN25" s="13" t="n">
        <v>78302</v>
      </c>
      <c r="AO25" s="13" t="n">
        <v>12502</v>
      </c>
      <c r="AR25" s="0" t="s">
        <v>256</v>
      </c>
      <c r="AZ25" s="0" t="s">
        <v>257</v>
      </c>
      <c r="BA25" s="0" t="s">
        <v>257</v>
      </c>
      <c r="BB25" s="0" t="s">
        <v>90</v>
      </c>
      <c r="BC25" s="0" t="s">
        <v>241</v>
      </c>
      <c r="BD25" s="15" t="s">
        <v>258</v>
      </c>
      <c r="BE25" s="37" t="s">
        <v>92</v>
      </c>
    </row>
    <row r="26" customFormat="false" ht="16.4" hidden="false" customHeight="false" outlineLevel="0" collapsed="false">
      <c r="A26" s="36" t="n">
        <f aca="false">IF(B26=0,"",MAX($A$3:A25)+1)</f>
        <v>13</v>
      </c>
      <c r="B26" s="36" t="n">
        <f aca="false">IF(OR(M26="FLETE",M26="FLETE ENVIO GARANTIA",M26="FLETE RECOLECCION GARANTIA",M26="COMPENSACION"),0,1)</f>
        <v>1</v>
      </c>
      <c r="D26" s="10" t="s">
        <v>244</v>
      </c>
      <c r="J26" s="0" t="s">
        <v>245</v>
      </c>
      <c r="K26" s="0" t="s">
        <v>246</v>
      </c>
      <c r="L26" s="0" t="s">
        <v>265</v>
      </c>
      <c r="M26" s="0" t="s">
        <v>266</v>
      </c>
      <c r="N26" s="0" t="n">
        <v>2</v>
      </c>
      <c r="P26" s="0" t="s">
        <v>249</v>
      </c>
      <c r="Q26" s="0" t="s">
        <v>250</v>
      </c>
      <c r="R26" s="0" t="s">
        <v>267</v>
      </c>
      <c r="V26" s="0" t="s">
        <v>245</v>
      </c>
      <c r="W26" s="12" t="n">
        <v>0</v>
      </c>
      <c r="Y26" s="12" t="s">
        <v>238</v>
      </c>
      <c r="AG26" s="0" t="s">
        <v>10</v>
      </c>
      <c r="AL26" s="13" t="n">
        <v>32900</v>
      </c>
      <c r="AM26" s="14" t="n">
        <v>0</v>
      </c>
      <c r="AN26" s="13" t="n">
        <v>78302</v>
      </c>
      <c r="AO26" s="13" t="n">
        <v>12502</v>
      </c>
      <c r="AR26" s="0" t="s">
        <v>256</v>
      </c>
      <c r="AZ26" s="0" t="s">
        <v>257</v>
      </c>
      <c r="BA26" s="0" t="s">
        <v>257</v>
      </c>
      <c r="BB26" s="0" t="s">
        <v>90</v>
      </c>
      <c r="BC26" s="0" t="s">
        <v>241</v>
      </c>
      <c r="BD26" s="15" t="s">
        <v>258</v>
      </c>
      <c r="BE26" s="37" t="s">
        <v>92</v>
      </c>
    </row>
    <row r="27" customFormat="false" ht="16.4" hidden="false" customHeight="false" outlineLevel="0" collapsed="false">
      <c r="A27" s="36" t="n">
        <f aca="false">IF(B27=0,"",MAX($A$3:A26)+1)</f>
        <v>14</v>
      </c>
      <c r="B27" s="36" t="n">
        <f aca="false">IF(OR(M27="FLETE",M27="FLETE ENVIO GARANTIA",M27="FLETE RECOLECCION GARANTIA",M27="COMPENSACION"),0,1)</f>
        <v>1</v>
      </c>
      <c r="D27" s="10" t="s">
        <v>244</v>
      </c>
      <c r="J27" s="0" t="s">
        <v>245</v>
      </c>
      <c r="K27" s="0" t="s">
        <v>246</v>
      </c>
      <c r="L27" s="0" t="s">
        <v>268</v>
      </c>
      <c r="M27" s="0" t="s">
        <v>269</v>
      </c>
      <c r="N27" s="0" t="n">
        <v>2</v>
      </c>
      <c r="P27" s="0" t="s">
        <v>249</v>
      </c>
      <c r="Q27" s="0" t="s">
        <v>250</v>
      </c>
      <c r="R27" s="0" t="s">
        <v>270</v>
      </c>
      <c r="V27" s="0" t="s">
        <v>245</v>
      </c>
      <c r="W27" s="12" t="n">
        <v>0</v>
      </c>
      <c r="Y27" s="0" t="s">
        <v>238</v>
      </c>
      <c r="AG27" s="0" t="s">
        <v>10</v>
      </c>
      <c r="AL27" s="13" t="n">
        <v>32900</v>
      </c>
      <c r="AM27" s="14" t="n">
        <v>0</v>
      </c>
      <c r="AN27" s="13" t="n">
        <v>78302</v>
      </c>
      <c r="AO27" s="13" t="n">
        <v>12502</v>
      </c>
      <c r="AR27" s="0" t="s">
        <v>256</v>
      </c>
      <c r="AZ27" s="0" t="s">
        <v>257</v>
      </c>
      <c r="BA27" s="0" t="s">
        <v>257</v>
      </c>
      <c r="BB27" s="0" t="s">
        <v>90</v>
      </c>
      <c r="BC27" s="0" t="s">
        <v>241</v>
      </c>
      <c r="BD27" s="15" t="s">
        <v>258</v>
      </c>
      <c r="BE27" s="37" t="s">
        <v>92</v>
      </c>
    </row>
    <row r="28" customFormat="false" ht="16.4" hidden="false" customHeight="false" outlineLevel="0" collapsed="false">
      <c r="A28" s="36" t="n">
        <f aca="false">IF(B28=0,"",MAX($A$3:A27)+1)</f>
        <v>15</v>
      </c>
      <c r="B28" s="36" t="n">
        <f aca="false">IF(OR(M28="FLETE",M28="FLETE ENVIO GARANTIA",M28="FLETE RECOLECCION GARANTIA",M28="COMPENSACION"),0,1)</f>
        <v>1</v>
      </c>
      <c r="D28" s="10" t="s">
        <v>244</v>
      </c>
      <c r="J28" s="0" t="s">
        <v>245</v>
      </c>
      <c r="K28" s="0" t="s">
        <v>246</v>
      </c>
      <c r="L28" s="0" t="s">
        <v>271</v>
      </c>
      <c r="M28" s="0" t="s">
        <v>272</v>
      </c>
      <c r="N28" s="0" t="n">
        <v>2</v>
      </c>
      <c r="P28" s="0" t="s">
        <v>249</v>
      </c>
      <c r="Q28" s="0" t="s">
        <v>250</v>
      </c>
      <c r="R28" s="0" t="s">
        <v>273</v>
      </c>
      <c r="V28" s="0" t="s">
        <v>245</v>
      </c>
      <c r="W28" s="12" t="n">
        <v>0</v>
      </c>
      <c r="Y28" s="12" t="s">
        <v>238</v>
      </c>
      <c r="AG28" s="0" t="s">
        <v>10</v>
      </c>
      <c r="AL28" s="13" t="n">
        <v>32900</v>
      </c>
      <c r="AM28" s="14" t="n">
        <v>0</v>
      </c>
      <c r="AN28" s="13" t="n">
        <v>78302</v>
      </c>
      <c r="AO28" s="13" t="n">
        <v>12502</v>
      </c>
      <c r="AR28" s="0" t="s">
        <v>256</v>
      </c>
      <c r="AZ28" s="0" t="s">
        <v>257</v>
      </c>
      <c r="BA28" s="0" t="s">
        <v>257</v>
      </c>
      <c r="BB28" s="0" t="s">
        <v>90</v>
      </c>
      <c r="BC28" s="0" t="s">
        <v>241</v>
      </c>
      <c r="BD28" s="15" t="s">
        <v>258</v>
      </c>
      <c r="BE28" s="37" t="s">
        <v>92</v>
      </c>
    </row>
    <row r="29" customFormat="false" ht="16.4" hidden="false" customHeight="false" outlineLevel="0" collapsed="false">
      <c r="A29" s="36" t="n">
        <f aca="false">IF(B29=0,"",MAX($A$3:A28)+1)</f>
        <v>16</v>
      </c>
      <c r="B29" s="36" t="n">
        <f aca="false">IF(OR(M29="FLETE",M29="FLETE ENVIO GARANTIA",M29="FLETE RECOLECCION GARANTIA",M29="COMPENSACION"),0,1)</f>
        <v>1</v>
      </c>
      <c r="D29" s="10" t="s">
        <v>244</v>
      </c>
      <c r="J29" s="0" t="s">
        <v>245</v>
      </c>
      <c r="K29" s="0" t="s">
        <v>246</v>
      </c>
      <c r="L29" s="0" t="s">
        <v>274</v>
      </c>
      <c r="M29" s="0" t="s">
        <v>275</v>
      </c>
      <c r="N29" s="0" t="n">
        <v>1</v>
      </c>
      <c r="P29" s="0" t="s">
        <v>249</v>
      </c>
      <c r="Q29" s="0" t="s">
        <v>250</v>
      </c>
      <c r="R29" s="0" t="s">
        <v>251</v>
      </c>
      <c r="T29" s="0" t="s">
        <v>276</v>
      </c>
      <c r="V29" s="0" t="s">
        <v>245</v>
      </c>
      <c r="W29" s="12" t="n">
        <v>0</v>
      </c>
      <c r="Y29" s="12" t="s">
        <v>238</v>
      </c>
      <c r="AG29" s="0" t="s">
        <v>10</v>
      </c>
      <c r="AL29" s="13" t="n">
        <v>32900</v>
      </c>
      <c r="AM29" s="14" t="n">
        <v>0</v>
      </c>
      <c r="AN29" s="13" t="n">
        <v>39151</v>
      </c>
      <c r="AO29" s="13" t="n">
        <v>6251</v>
      </c>
      <c r="AR29" s="0" t="s">
        <v>256</v>
      </c>
      <c r="AZ29" s="0" t="s">
        <v>257</v>
      </c>
      <c r="BA29" s="0" t="s">
        <v>257</v>
      </c>
      <c r="BB29" s="0" t="s">
        <v>90</v>
      </c>
      <c r="BC29" s="0" t="s">
        <v>241</v>
      </c>
      <c r="BD29" s="15" t="s">
        <v>258</v>
      </c>
      <c r="BE29" s="37" t="s">
        <v>92</v>
      </c>
    </row>
    <row r="30" customFormat="false" ht="16.4" hidden="false" customHeight="false" outlineLevel="0" collapsed="false">
      <c r="A30" s="36" t="n">
        <f aca="false">IF(B30=0,"",MAX($A$3:A29)+1)</f>
        <v>17</v>
      </c>
      <c r="B30" s="36" t="n">
        <f aca="false">IF(OR(M30="FLETE",M30="FLETE ENVIO GARANTIA",M30="FLETE RECOLECCION GARANTIA",M30="COMPENSACION"),0,1)</f>
        <v>1</v>
      </c>
      <c r="D30" s="10" t="s">
        <v>244</v>
      </c>
      <c r="J30" s="0" t="s">
        <v>245</v>
      </c>
      <c r="K30" s="0" t="s">
        <v>246</v>
      </c>
      <c r="L30" s="0" t="s">
        <v>277</v>
      </c>
      <c r="M30" s="0" t="s">
        <v>278</v>
      </c>
      <c r="N30" s="0" t="n">
        <v>1</v>
      </c>
      <c r="P30" s="0" t="s">
        <v>249</v>
      </c>
      <c r="Q30" s="0" t="s">
        <v>250</v>
      </c>
      <c r="R30" s="0" t="s">
        <v>251</v>
      </c>
      <c r="T30" s="0" t="s">
        <v>279</v>
      </c>
      <c r="V30" s="0" t="s">
        <v>245</v>
      </c>
      <c r="W30" s="12" t="n">
        <v>0</v>
      </c>
      <c r="Y30" s="0" t="s">
        <v>238</v>
      </c>
      <c r="AG30" s="0" t="s">
        <v>10</v>
      </c>
      <c r="AL30" s="13" t="n">
        <v>32900</v>
      </c>
      <c r="AM30" s="14" t="n">
        <v>0</v>
      </c>
      <c r="AN30" s="13" t="n">
        <v>39151</v>
      </c>
      <c r="AO30" s="13" t="n">
        <v>6251</v>
      </c>
      <c r="AR30" s="0" t="s">
        <v>256</v>
      </c>
      <c r="AZ30" s="0" t="s">
        <v>257</v>
      </c>
      <c r="BA30" s="0" t="s">
        <v>257</v>
      </c>
      <c r="BB30" s="0" t="s">
        <v>90</v>
      </c>
      <c r="BC30" s="0" t="s">
        <v>241</v>
      </c>
      <c r="BD30" s="15" t="s">
        <v>258</v>
      </c>
      <c r="BE30" s="37" t="s">
        <v>92</v>
      </c>
    </row>
    <row r="31" customFormat="false" ht="16.4" hidden="false" customHeight="false" outlineLevel="0" collapsed="false">
      <c r="A31" s="36" t="n">
        <f aca="false">IF(B31=0,"",MAX($A$3:A30)+1)</f>
        <v>18</v>
      </c>
      <c r="B31" s="36" t="n">
        <f aca="false">IF(OR(M31="FLETE",M31="FLETE ENVIO GARANTIA",M31="FLETE RECOLECCION GARANTIA",M31="COMPENSACION"),0,1)</f>
        <v>1</v>
      </c>
      <c r="D31" s="10" t="s">
        <v>244</v>
      </c>
      <c r="J31" s="0" t="s">
        <v>245</v>
      </c>
      <c r="K31" s="0" t="s">
        <v>246</v>
      </c>
      <c r="L31" s="0" t="s">
        <v>280</v>
      </c>
      <c r="M31" s="0" t="s">
        <v>281</v>
      </c>
      <c r="N31" s="0" t="n">
        <v>1</v>
      </c>
      <c r="P31" s="0" t="s">
        <v>249</v>
      </c>
      <c r="Q31" s="0" t="s">
        <v>250</v>
      </c>
      <c r="R31" s="0" t="s">
        <v>251</v>
      </c>
      <c r="T31" s="0" t="s">
        <v>282</v>
      </c>
      <c r="V31" s="0" t="s">
        <v>245</v>
      </c>
      <c r="W31" s="12" t="n">
        <v>0</v>
      </c>
      <c r="Y31" s="12" t="s">
        <v>238</v>
      </c>
      <c r="AG31" s="0" t="s">
        <v>10</v>
      </c>
      <c r="AL31" s="13" t="n">
        <v>32900</v>
      </c>
      <c r="AM31" s="14" t="n">
        <v>0</v>
      </c>
      <c r="AN31" s="13" t="n">
        <v>39151</v>
      </c>
      <c r="AO31" s="13" t="n">
        <v>6251</v>
      </c>
      <c r="AR31" s="0" t="s">
        <v>256</v>
      </c>
      <c r="AZ31" s="0" t="s">
        <v>257</v>
      </c>
      <c r="BA31" s="0" t="s">
        <v>257</v>
      </c>
      <c r="BB31" s="0" t="s">
        <v>90</v>
      </c>
      <c r="BC31" s="0" t="s">
        <v>241</v>
      </c>
      <c r="BD31" s="15" t="s">
        <v>258</v>
      </c>
      <c r="BE31" s="37" t="s">
        <v>92</v>
      </c>
    </row>
    <row r="32" customFormat="false" ht="16.4" hidden="false" customHeight="false" outlineLevel="0" collapsed="false">
      <c r="A32" s="36" t="n">
        <f aca="false">IF(B32=0,"",MAX($A$3:A31)+1)</f>
        <v>19</v>
      </c>
      <c r="B32" s="36" t="n">
        <f aca="false">IF(OR(M32="FLETE",M32="FLETE ENVIO GARANTIA",M32="FLETE RECOLECCION GARANTIA",M32="COMPENSACION"),0,1)</f>
        <v>1</v>
      </c>
      <c r="D32" s="10" t="s">
        <v>244</v>
      </c>
      <c r="J32" s="0" t="s">
        <v>245</v>
      </c>
      <c r="K32" s="0" t="s">
        <v>246</v>
      </c>
      <c r="L32" s="0" t="s">
        <v>283</v>
      </c>
      <c r="M32" s="0" t="s">
        <v>284</v>
      </c>
      <c r="N32" s="0" t="n">
        <v>1</v>
      </c>
      <c r="P32" s="0" t="s">
        <v>249</v>
      </c>
      <c r="Q32" s="0" t="s">
        <v>250</v>
      </c>
      <c r="R32" s="0" t="s">
        <v>251</v>
      </c>
      <c r="T32" s="0" t="s">
        <v>285</v>
      </c>
      <c r="V32" s="0" t="s">
        <v>245</v>
      </c>
      <c r="W32" s="12" t="n">
        <v>0</v>
      </c>
      <c r="Y32" s="0" t="s">
        <v>238</v>
      </c>
      <c r="AG32" s="0" t="s">
        <v>10</v>
      </c>
      <c r="AL32" s="13" t="n">
        <v>32900</v>
      </c>
      <c r="AM32" s="14" t="n">
        <v>0</v>
      </c>
      <c r="AN32" s="13" t="n">
        <v>39151</v>
      </c>
      <c r="AO32" s="13" t="n">
        <v>6251</v>
      </c>
      <c r="AR32" s="0" t="s">
        <v>256</v>
      </c>
      <c r="AZ32" s="0" t="s">
        <v>257</v>
      </c>
      <c r="BA32" s="0" t="s">
        <v>257</v>
      </c>
      <c r="BB32" s="0" t="s">
        <v>90</v>
      </c>
      <c r="BC32" s="0" t="s">
        <v>241</v>
      </c>
      <c r="BD32" s="15" t="s">
        <v>258</v>
      </c>
      <c r="BE32" s="37" t="s">
        <v>92</v>
      </c>
    </row>
    <row r="33" customFormat="false" ht="16.4" hidden="false" customHeight="false" outlineLevel="0" collapsed="false">
      <c r="A33" s="36" t="n">
        <f aca="false">IF(B33=0,"",MAX($A$3:A32)+1)</f>
        <v>20</v>
      </c>
      <c r="B33" s="36" t="n">
        <f aca="false">IF(OR(M33="FLETE",M33="FLETE ENVIO GARANTIA",M33="FLETE RECOLECCION GARANTIA",M33="COMPENSACION"),0,1)</f>
        <v>1</v>
      </c>
      <c r="D33" s="10" t="s">
        <v>244</v>
      </c>
      <c r="J33" s="0" t="s">
        <v>245</v>
      </c>
      <c r="K33" s="0" t="s">
        <v>246</v>
      </c>
      <c r="L33" s="0" t="s">
        <v>286</v>
      </c>
      <c r="M33" s="0" t="s">
        <v>287</v>
      </c>
      <c r="N33" s="0" t="n">
        <v>1</v>
      </c>
      <c r="P33" s="0" t="s">
        <v>249</v>
      </c>
      <c r="Q33" s="0" t="s">
        <v>250</v>
      </c>
      <c r="R33" s="0" t="s">
        <v>251</v>
      </c>
      <c r="T33" s="0" t="s">
        <v>288</v>
      </c>
      <c r="V33" s="0" t="s">
        <v>245</v>
      </c>
      <c r="W33" s="12" t="n">
        <v>0</v>
      </c>
      <c r="Y33" s="12" t="s">
        <v>238</v>
      </c>
      <c r="AG33" s="0" t="s">
        <v>10</v>
      </c>
      <c r="AL33" s="13" t="n">
        <v>32900</v>
      </c>
      <c r="AM33" s="14" t="n">
        <v>0</v>
      </c>
      <c r="AN33" s="13" t="n">
        <v>39151</v>
      </c>
      <c r="AO33" s="13" t="n">
        <v>6251</v>
      </c>
      <c r="AR33" s="0" t="s">
        <v>256</v>
      </c>
      <c r="AZ33" s="0" t="s">
        <v>257</v>
      </c>
      <c r="BA33" s="0" t="s">
        <v>257</v>
      </c>
      <c r="BB33" s="0" t="s">
        <v>90</v>
      </c>
      <c r="BC33" s="0" t="s">
        <v>241</v>
      </c>
      <c r="BD33" s="15" t="s">
        <v>258</v>
      </c>
      <c r="BE33" s="37" t="s">
        <v>92</v>
      </c>
    </row>
    <row r="34" customFormat="false" ht="16.4" hidden="false" customHeight="false" outlineLevel="0" collapsed="false">
      <c r="A34" s="36" t="n">
        <f aca="false">IF(B34=0,"",MAX($A$3:A33)+1)</f>
        <v>21</v>
      </c>
      <c r="B34" s="36" t="n">
        <f aca="false">IF(OR(M34="FLETE",M34="FLETE ENVIO GARANTIA",M34="FLETE RECOLECCION GARANTIA",M34="COMPENSACION"),0,1)</f>
        <v>1</v>
      </c>
      <c r="D34" s="10" t="s">
        <v>244</v>
      </c>
      <c r="J34" s="0" t="s">
        <v>245</v>
      </c>
      <c r="K34" s="0" t="s">
        <v>246</v>
      </c>
      <c r="L34" s="0" t="s">
        <v>289</v>
      </c>
      <c r="M34" s="0" t="s">
        <v>290</v>
      </c>
      <c r="N34" s="0" t="n">
        <v>2</v>
      </c>
      <c r="P34" s="0" t="s">
        <v>249</v>
      </c>
      <c r="Q34" s="0" t="s">
        <v>250</v>
      </c>
      <c r="R34" s="0" t="s">
        <v>291</v>
      </c>
      <c r="V34" s="0" t="s">
        <v>245</v>
      </c>
      <c r="W34" s="12" t="n">
        <v>0</v>
      </c>
      <c r="Y34" s="12" t="s">
        <v>238</v>
      </c>
      <c r="AG34" s="0" t="s">
        <v>10</v>
      </c>
      <c r="AL34" s="13" t="n">
        <v>32900</v>
      </c>
      <c r="AM34" s="14" t="n">
        <v>0</v>
      </c>
      <c r="AN34" s="13" t="n">
        <v>78302</v>
      </c>
      <c r="AO34" s="13" t="n">
        <v>12502</v>
      </c>
      <c r="AR34" s="0" t="s">
        <v>256</v>
      </c>
      <c r="AZ34" s="0" t="s">
        <v>257</v>
      </c>
      <c r="BA34" s="0" t="s">
        <v>257</v>
      </c>
      <c r="BB34" s="0" t="s">
        <v>90</v>
      </c>
      <c r="BC34" s="0" t="s">
        <v>241</v>
      </c>
      <c r="BD34" s="15" t="s">
        <v>258</v>
      </c>
      <c r="BE34" s="37" t="s">
        <v>92</v>
      </c>
    </row>
    <row r="35" customFormat="false" ht="16.4" hidden="false" customHeight="false" outlineLevel="0" collapsed="false">
      <c r="A35" s="36" t="n">
        <f aca="false">IF(B35=0,"",MAX($A$3:A34)+1)</f>
        <v>22</v>
      </c>
      <c r="B35" s="36" t="n">
        <f aca="false">IF(OR(M35="FLETE",M35="FLETE ENVIO GARANTIA",M35="FLETE RECOLECCION GARANTIA",M35="COMPENSACION"),0,1)</f>
        <v>1</v>
      </c>
      <c r="D35" s="10" t="s">
        <v>244</v>
      </c>
      <c r="J35" s="0" t="s">
        <v>245</v>
      </c>
      <c r="K35" s="0" t="s">
        <v>292</v>
      </c>
      <c r="L35" s="0" t="s">
        <v>293</v>
      </c>
      <c r="M35" s="0" t="s">
        <v>294</v>
      </c>
      <c r="N35" s="0" t="n">
        <v>1</v>
      </c>
      <c r="P35" s="0" t="s">
        <v>249</v>
      </c>
      <c r="Q35" s="0" t="s">
        <v>295</v>
      </c>
      <c r="R35" s="0" t="s">
        <v>296</v>
      </c>
      <c r="V35" s="0" t="s">
        <v>245</v>
      </c>
      <c r="W35" s="12" t="n">
        <v>0</v>
      </c>
      <c r="Y35" s="12" t="s">
        <v>238</v>
      </c>
      <c r="AG35" s="0" t="s">
        <v>10</v>
      </c>
      <c r="AL35" s="13" t="n">
        <v>47900</v>
      </c>
      <c r="AM35" s="14" t="n">
        <v>0</v>
      </c>
      <c r="AN35" s="13" t="n">
        <v>57001</v>
      </c>
      <c r="AO35" s="13" t="n">
        <v>9101</v>
      </c>
      <c r="AR35" s="0" t="s">
        <v>256</v>
      </c>
      <c r="AZ35" s="0" t="s">
        <v>257</v>
      </c>
      <c r="BA35" s="0" t="s">
        <v>257</v>
      </c>
      <c r="BB35" s="0" t="s">
        <v>90</v>
      </c>
      <c r="BC35" s="0" t="s">
        <v>241</v>
      </c>
      <c r="BD35" s="15" t="s">
        <v>258</v>
      </c>
      <c r="BE35" s="37" t="s">
        <v>92</v>
      </c>
    </row>
    <row r="36" customFormat="false" ht="16.4" hidden="false" customHeight="false" outlineLevel="0" collapsed="false">
      <c r="A36" s="36" t="n">
        <f aca="false">IF(B36=0,"",MAX($A$3:A35)+1)</f>
        <v>23</v>
      </c>
      <c r="B36" s="36" t="n">
        <f aca="false">IF(OR(M36="FLETE",M36="FLETE ENVIO GARANTIA",M36="FLETE RECOLECCION GARANTIA",M36="COMPENSACION"),0,1)</f>
        <v>1</v>
      </c>
      <c r="D36" s="10" t="s">
        <v>244</v>
      </c>
      <c r="J36" s="0" t="s">
        <v>245</v>
      </c>
      <c r="K36" s="0" t="s">
        <v>292</v>
      </c>
      <c r="L36" s="0" t="s">
        <v>297</v>
      </c>
      <c r="M36" s="0" t="s">
        <v>298</v>
      </c>
      <c r="N36" s="0" t="n">
        <v>1</v>
      </c>
      <c r="P36" s="0" t="s">
        <v>249</v>
      </c>
      <c r="Q36" s="0" t="s">
        <v>295</v>
      </c>
      <c r="R36" s="0" t="s">
        <v>299</v>
      </c>
      <c r="V36" s="0" t="s">
        <v>245</v>
      </c>
      <c r="W36" s="12" t="n">
        <v>0</v>
      </c>
      <c r="Y36" s="0" t="s">
        <v>238</v>
      </c>
      <c r="AG36" s="0" t="s">
        <v>10</v>
      </c>
      <c r="AL36" s="13" t="n">
        <v>47900</v>
      </c>
      <c r="AM36" s="14" t="n">
        <v>0</v>
      </c>
      <c r="AN36" s="13" t="n">
        <v>57001</v>
      </c>
      <c r="AO36" s="13" t="n">
        <v>9101</v>
      </c>
      <c r="AR36" s="0" t="s">
        <v>256</v>
      </c>
      <c r="AZ36" s="0" t="s">
        <v>257</v>
      </c>
      <c r="BA36" s="0" t="s">
        <v>257</v>
      </c>
      <c r="BB36" s="0" t="s">
        <v>90</v>
      </c>
      <c r="BC36" s="0" t="s">
        <v>241</v>
      </c>
      <c r="BD36" s="15" t="s">
        <v>258</v>
      </c>
      <c r="BE36" s="37" t="s">
        <v>92</v>
      </c>
    </row>
    <row r="37" customFormat="false" ht="16.4" hidden="false" customHeight="false" outlineLevel="0" collapsed="false">
      <c r="A37" s="36" t="n">
        <f aca="false">IF(B37=0,"",MAX($A$3:A36)+1)</f>
        <v>24</v>
      </c>
      <c r="B37" s="36" t="n">
        <f aca="false">IF(OR(M37="FLETE",M37="FLETE ENVIO GARANTIA",M37="FLETE RECOLECCION GARANTIA",M37="COMPENSACION"),0,1)</f>
        <v>1</v>
      </c>
      <c r="D37" s="10" t="s">
        <v>244</v>
      </c>
      <c r="J37" s="0" t="s">
        <v>245</v>
      </c>
      <c r="K37" s="0" t="s">
        <v>292</v>
      </c>
      <c r="L37" s="0" t="s">
        <v>300</v>
      </c>
      <c r="M37" s="0" t="s">
        <v>301</v>
      </c>
      <c r="N37" s="0" t="n">
        <v>1</v>
      </c>
      <c r="P37" s="0" t="s">
        <v>249</v>
      </c>
      <c r="Q37" s="0" t="s">
        <v>295</v>
      </c>
      <c r="R37" s="0" t="s">
        <v>302</v>
      </c>
      <c r="V37" s="0" t="s">
        <v>245</v>
      </c>
      <c r="W37" s="12" t="n">
        <v>0</v>
      </c>
      <c r="Y37" s="12" t="s">
        <v>238</v>
      </c>
      <c r="AG37" s="0" t="s">
        <v>10</v>
      </c>
      <c r="AL37" s="13" t="n">
        <v>89900</v>
      </c>
      <c r="AM37" s="14" t="n">
        <v>0</v>
      </c>
      <c r="AN37" s="13" t="n">
        <v>106981</v>
      </c>
      <c r="AO37" s="13" t="n">
        <v>17081</v>
      </c>
      <c r="AR37" s="0" t="s">
        <v>256</v>
      </c>
      <c r="AZ37" s="0" t="s">
        <v>257</v>
      </c>
      <c r="BA37" s="0" t="s">
        <v>257</v>
      </c>
      <c r="BB37" s="0" t="s">
        <v>90</v>
      </c>
      <c r="BC37" s="0" t="s">
        <v>241</v>
      </c>
      <c r="BD37" s="15" t="s">
        <v>258</v>
      </c>
      <c r="BE37" s="37" t="s">
        <v>92</v>
      </c>
    </row>
    <row r="38" customFormat="false" ht="16.4" hidden="false" customHeight="false" outlineLevel="0" collapsed="false">
      <c r="A38" s="36" t="n">
        <f aca="false">IF(B38=0,"",MAX($A$3:A37)+1)</f>
        <v>25</v>
      </c>
      <c r="B38" s="36" t="n">
        <f aca="false">IF(OR(M38="FLETE",M38="FLETE ENVIO GARANTIA",M38="FLETE RECOLECCION GARANTIA",M38="COMPENSACION"),0,1)</f>
        <v>1</v>
      </c>
      <c r="D38" s="10" t="s">
        <v>244</v>
      </c>
      <c r="J38" s="0" t="s">
        <v>245</v>
      </c>
      <c r="K38" s="0" t="s">
        <v>292</v>
      </c>
      <c r="L38" s="0" t="s">
        <v>303</v>
      </c>
      <c r="M38" s="0" t="s">
        <v>304</v>
      </c>
      <c r="N38" s="0" t="n">
        <v>1</v>
      </c>
      <c r="P38" s="0" t="s">
        <v>249</v>
      </c>
      <c r="Q38" s="0" t="s">
        <v>295</v>
      </c>
      <c r="R38" s="0" t="s">
        <v>305</v>
      </c>
      <c r="V38" s="0" t="s">
        <v>245</v>
      </c>
      <c r="W38" s="12" t="n">
        <v>0</v>
      </c>
      <c r="Y38" s="0" t="s">
        <v>238</v>
      </c>
      <c r="AG38" s="0" t="s">
        <v>10</v>
      </c>
      <c r="AL38" s="13" t="n">
        <v>38900</v>
      </c>
      <c r="AM38" s="14" t="n">
        <v>0</v>
      </c>
      <c r="AN38" s="13" t="n">
        <v>46291</v>
      </c>
      <c r="AO38" s="13" t="n">
        <v>7391</v>
      </c>
      <c r="AR38" s="0" t="s">
        <v>256</v>
      </c>
      <c r="AZ38" s="0" t="s">
        <v>257</v>
      </c>
      <c r="BA38" s="0" t="s">
        <v>257</v>
      </c>
      <c r="BB38" s="0" t="s">
        <v>90</v>
      </c>
      <c r="BC38" s="0" t="s">
        <v>241</v>
      </c>
      <c r="BD38" s="15" t="s">
        <v>258</v>
      </c>
      <c r="BE38" s="37" t="s">
        <v>92</v>
      </c>
    </row>
    <row r="39" customFormat="false" ht="16.4" hidden="false" customHeight="false" outlineLevel="0" collapsed="false">
      <c r="A39" s="36" t="n">
        <f aca="false">IF(B39=0,"",MAX($A$3:A38)+1)</f>
        <v>26</v>
      </c>
      <c r="B39" s="36" t="n">
        <f aca="false">IF(OR(M39="FLETE",M39="FLETE ENVIO GARANTIA",M39="FLETE RECOLECCION GARANTIA",M39="COMPENSACION"),0,1)</f>
        <v>1</v>
      </c>
      <c r="D39" s="10" t="s">
        <v>244</v>
      </c>
      <c r="J39" s="0" t="s">
        <v>245</v>
      </c>
      <c r="K39" s="0" t="s">
        <v>292</v>
      </c>
      <c r="L39" s="0" t="s">
        <v>306</v>
      </c>
      <c r="M39" s="0" t="s">
        <v>307</v>
      </c>
      <c r="N39" s="0" t="n">
        <v>1</v>
      </c>
      <c r="P39" s="0" t="s">
        <v>249</v>
      </c>
      <c r="Q39" s="0" t="s">
        <v>295</v>
      </c>
      <c r="R39" s="0" t="s">
        <v>308</v>
      </c>
      <c r="V39" s="0" t="s">
        <v>245</v>
      </c>
      <c r="W39" s="12" t="n">
        <v>0</v>
      </c>
      <c r="Y39" s="12" t="s">
        <v>238</v>
      </c>
      <c r="AG39" s="0" t="s">
        <v>10</v>
      </c>
      <c r="AL39" s="13" t="n">
        <v>89900</v>
      </c>
      <c r="AM39" s="14" t="n">
        <v>0</v>
      </c>
      <c r="AN39" s="13" t="n">
        <v>106981</v>
      </c>
      <c r="AO39" s="13" t="n">
        <v>17081</v>
      </c>
      <c r="AR39" s="0" t="s">
        <v>256</v>
      </c>
      <c r="AZ39" s="0" t="s">
        <v>257</v>
      </c>
      <c r="BA39" s="0" t="s">
        <v>257</v>
      </c>
      <c r="BB39" s="0" t="s">
        <v>90</v>
      </c>
      <c r="BC39" s="0" t="s">
        <v>241</v>
      </c>
      <c r="BD39" s="15" t="s">
        <v>258</v>
      </c>
      <c r="BE39" s="37" t="s">
        <v>92</v>
      </c>
    </row>
    <row r="40" customFormat="false" ht="16.4" hidden="false" customHeight="false" outlineLevel="0" collapsed="false">
      <c r="A40" s="36" t="n">
        <f aca="false">IF(B40=0,"",MAX($A$3:A39)+1)</f>
        <v>27</v>
      </c>
      <c r="B40" s="36" t="n">
        <f aca="false">IF(OR(M40="FLETE",M40="FLETE ENVIO GARANTIA",M40="FLETE RECOLECCION GARANTIA",M40="COMPENSACION"),0,1)</f>
        <v>1</v>
      </c>
      <c r="D40" s="10" t="s">
        <v>244</v>
      </c>
      <c r="J40" s="0" t="s">
        <v>245</v>
      </c>
      <c r="K40" s="0" t="s">
        <v>292</v>
      </c>
      <c r="L40" s="0" t="s">
        <v>309</v>
      </c>
      <c r="M40" s="0" t="s">
        <v>310</v>
      </c>
      <c r="N40" s="0" t="n">
        <v>1</v>
      </c>
      <c r="P40" s="0" t="s">
        <v>249</v>
      </c>
      <c r="Q40" s="0" t="s">
        <v>295</v>
      </c>
      <c r="R40" s="0" t="s">
        <v>311</v>
      </c>
      <c r="V40" s="0" t="s">
        <v>245</v>
      </c>
      <c r="W40" s="12" t="n">
        <v>0</v>
      </c>
      <c r="Y40" s="0" t="s">
        <v>238</v>
      </c>
      <c r="AG40" s="0" t="s">
        <v>10</v>
      </c>
      <c r="AL40" s="13" t="n">
        <v>47900</v>
      </c>
      <c r="AM40" s="14" t="n">
        <v>0</v>
      </c>
      <c r="AN40" s="13" t="n">
        <v>57001</v>
      </c>
      <c r="AO40" s="13" t="n">
        <v>9101</v>
      </c>
      <c r="AR40" s="0" t="s">
        <v>256</v>
      </c>
      <c r="AZ40" s="0" t="s">
        <v>257</v>
      </c>
      <c r="BA40" s="0" t="s">
        <v>257</v>
      </c>
      <c r="BB40" s="0" t="s">
        <v>90</v>
      </c>
      <c r="BC40" s="0" t="s">
        <v>241</v>
      </c>
      <c r="BD40" s="15" t="s">
        <v>258</v>
      </c>
      <c r="BE40" s="37" t="s">
        <v>92</v>
      </c>
    </row>
    <row r="41" customFormat="false" ht="16.4" hidden="false" customHeight="false" outlineLevel="0" collapsed="false">
      <c r="A41" s="36" t="n">
        <f aca="false">IF(B41=0,"",MAX($A$3:A40)+1)</f>
        <v>28</v>
      </c>
      <c r="B41" s="36" t="n">
        <f aca="false">IF(OR(M41="FLETE",M41="FLETE ENVIO GARANTIA",M41="FLETE RECOLECCION GARANTIA",M41="COMPENSACION"),0,1)</f>
        <v>1</v>
      </c>
      <c r="D41" s="10" t="s">
        <v>244</v>
      </c>
      <c r="J41" s="0" t="s">
        <v>245</v>
      </c>
      <c r="K41" s="0" t="s">
        <v>292</v>
      </c>
      <c r="L41" s="0" t="s">
        <v>312</v>
      </c>
      <c r="M41" s="0" t="s">
        <v>313</v>
      </c>
      <c r="N41" s="0" t="n">
        <v>1</v>
      </c>
      <c r="P41" s="0" t="s">
        <v>249</v>
      </c>
      <c r="Q41" s="0" t="s">
        <v>295</v>
      </c>
      <c r="R41" s="0" t="s">
        <v>314</v>
      </c>
      <c r="V41" s="0" t="s">
        <v>245</v>
      </c>
      <c r="W41" s="12" t="n">
        <v>0</v>
      </c>
      <c r="Y41" s="12" t="s">
        <v>238</v>
      </c>
      <c r="AG41" s="0" t="s">
        <v>10</v>
      </c>
      <c r="AL41" s="13" t="n">
        <v>38900</v>
      </c>
      <c r="AM41" s="14" t="n">
        <v>0</v>
      </c>
      <c r="AN41" s="13" t="n">
        <v>46291</v>
      </c>
      <c r="AO41" s="13" t="n">
        <v>7391</v>
      </c>
      <c r="AR41" s="0" t="s">
        <v>256</v>
      </c>
      <c r="AZ41" s="0" t="s">
        <v>257</v>
      </c>
      <c r="BA41" s="0" t="s">
        <v>257</v>
      </c>
      <c r="BB41" s="0" t="s">
        <v>90</v>
      </c>
      <c r="BC41" s="0" t="s">
        <v>241</v>
      </c>
      <c r="BD41" s="15" t="s">
        <v>258</v>
      </c>
      <c r="BE41" s="37" t="s">
        <v>92</v>
      </c>
    </row>
    <row r="42" customFormat="false" ht="16.4" hidden="false" customHeight="false" outlineLevel="0" collapsed="false">
      <c r="A42" s="36" t="n">
        <f aca="false">IF(B42=0,"",MAX($A$3:A41)+1)</f>
        <v>29</v>
      </c>
      <c r="B42" s="36" t="n">
        <f aca="false">IF(OR(M42="FLETE",M42="FLETE ENVIO GARANTIA",M42="FLETE RECOLECCION GARANTIA",M42="COMPENSACION"),0,1)</f>
        <v>1</v>
      </c>
      <c r="D42" s="10" t="s">
        <v>244</v>
      </c>
      <c r="J42" s="0" t="s">
        <v>245</v>
      </c>
      <c r="K42" s="0" t="s">
        <v>292</v>
      </c>
      <c r="L42" s="0" t="s">
        <v>315</v>
      </c>
      <c r="M42" s="0" t="s">
        <v>316</v>
      </c>
      <c r="N42" s="0" t="n">
        <v>1</v>
      </c>
      <c r="P42" s="0" t="s">
        <v>249</v>
      </c>
      <c r="Q42" s="0" t="s">
        <v>295</v>
      </c>
      <c r="R42" s="0" t="s">
        <v>317</v>
      </c>
      <c r="V42" s="0" t="s">
        <v>245</v>
      </c>
      <c r="W42" s="12" t="n">
        <v>0</v>
      </c>
      <c r="Y42" s="0" t="s">
        <v>238</v>
      </c>
      <c r="AG42" s="0" t="s">
        <v>10</v>
      </c>
      <c r="AL42" s="13" t="n">
        <v>47900</v>
      </c>
      <c r="AM42" s="14" t="n">
        <v>0</v>
      </c>
      <c r="AN42" s="13" t="n">
        <v>57001</v>
      </c>
      <c r="AO42" s="13" t="n">
        <v>9101</v>
      </c>
      <c r="AR42" s="0" t="s">
        <v>256</v>
      </c>
      <c r="AZ42" s="0" t="s">
        <v>257</v>
      </c>
      <c r="BA42" s="0" t="s">
        <v>257</v>
      </c>
      <c r="BB42" s="0" t="s">
        <v>90</v>
      </c>
      <c r="BC42" s="0" t="s">
        <v>241</v>
      </c>
      <c r="BD42" s="15" t="s">
        <v>258</v>
      </c>
      <c r="BE42" s="37" t="s">
        <v>92</v>
      </c>
    </row>
    <row r="43" customFormat="false" ht="16.4" hidden="false" customHeight="false" outlineLevel="0" collapsed="false">
      <c r="A43" s="36" t="n">
        <f aca="false">IF(B43=0,"",MAX($A$3:A42)+1)</f>
        <v>30</v>
      </c>
      <c r="B43" s="36" t="n">
        <f aca="false">IF(OR(M43="FLETE",M43="FLETE ENVIO GARANTIA",M43="FLETE RECOLECCION GARANTIA",M43="COMPENSACION"),0,1)</f>
        <v>1</v>
      </c>
      <c r="D43" s="10" t="s">
        <v>244</v>
      </c>
      <c r="J43" s="0" t="s">
        <v>245</v>
      </c>
      <c r="K43" s="0" t="s">
        <v>292</v>
      </c>
      <c r="L43" s="0" t="s">
        <v>318</v>
      </c>
      <c r="M43" s="0" t="s">
        <v>319</v>
      </c>
      <c r="N43" s="0" t="n">
        <v>1</v>
      </c>
      <c r="P43" s="0" t="s">
        <v>249</v>
      </c>
      <c r="Q43" s="0" t="s">
        <v>295</v>
      </c>
      <c r="R43" s="0" t="s">
        <v>320</v>
      </c>
      <c r="V43" s="0" t="s">
        <v>245</v>
      </c>
      <c r="W43" s="12" t="n">
        <v>0</v>
      </c>
      <c r="Y43" s="12" t="s">
        <v>238</v>
      </c>
      <c r="AG43" s="0" t="s">
        <v>10</v>
      </c>
      <c r="AL43" s="13" t="n">
        <v>89900</v>
      </c>
      <c r="AM43" s="14" t="n">
        <v>0</v>
      </c>
      <c r="AN43" s="13" t="n">
        <v>106981</v>
      </c>
      <c r="AO43" s="13" t="n">
        <v>17081</v>
      </c>
      <c r="AR43" s="0" t="s">
        <v>256</v>
      </c>
      <c r="AZ43" s="0" t="s">
        <v>257</v>
      </c>
      <c r="BA43" s="0" t="s">
        <v>257</v>
      </c>
      <c r="BB43" s="0" t="s">
        <v>90</v>
      </c>
      <c r="BC43" s="0" t="s">
        <v>241</v>
      </c>
      <c r="BD43" s="15" t="s">
        <v>258</v>
      </c>
      <c r="BE43" s="37" t="s">
        <v>92</v>
      </c>
    </row>
    <row r="44" customFormat="false" ht="16.4" hidden="false" customHeight="false" outlineLevel="0" collapsed="false">
      <c r="A44" s="36" t="n">
        <f aca="false">IF(B44=0,"",MAX($A$3:A43)+1)</f>
        <v>31</v>
      </c>
      <c r="B44" s="36" t="n">
        <f aca="false">IF(OR(M44="FLETE",M44="FLETE ENVIO GARANTIA",M44="FLETE RECOLECCION GARANTIA",M44="COMPENSACION"),0,1)</f>
        <v>1</v>
      </c>
      <c r="D44" s="10" t="s">
        <v>244</v>
      </c>
      <c r="J44" s="0" t="s">
        <v>245</v>
      </c>
      <c r="K44" s="0" t="s">
        <v>292</v>
      </c>
      <c r="L44" s="0" t="s">
        <v>321</v>
      </c>
      <c r="M44" s="0" t="s">
        <v>322</v>
      </c>
      <c r="N44" s="0" t="n">
        <v>1</v>
      </c>
      <c r="P44" s="0" t="s">
        <v>249</v>
      </c>
      <c r="Q44" s="0" t="s">
        <v>295</v>
      </c>
      <c r="R44" s="0" t="s">
        <v>323</v>
      </c>
      <c r="V44" s="0" t="s">
        <v>245</v>
      </c>
      <c r="W44" s="12" t="n">
        <v>0</v>
      </c>
      <c r="Y44" s="0" t="s">
        <v>238</v>
      </c>
      <c r="AG44" s="0" t="s">
        <v>10</v>
      </c>
      <c r="AL44" s="13" t="n">
        <v>38900</v>
      </c>
      <c r="AM44" s="14" t="n">
        <v>0</v>
      </c>
      <c r="AN44" s="13" t="n">
        <v>46291</v>
      </c>
      <c r="AO44" s="13" t="n">
        <v>7391</v>
      </c>
      <c r="AR44" s="0" t="s">
        <v>256</v>
      </c>
      <c r="AZ44" s="0" t="s">
        <v>257</v>
      </c>
      <c r="BA44" s="0" t="s">
        <v>257</v>
      </c>
      <c r="BB44" s="0" t="s">
        <v>90</v>
      </c>
      <c r="BC44" s="0" t="s">
        <v>241</v>
      </c>
      <c r="BD44" s="15" t="s">
        <v>258</v>
      </c>
      <c r="BE44" s="37" t="s">
        <v>92</v>
      </c>
    </row>
    <row r="45" customFormat="false" ht="16.4" hidden="false" customHeight="false" outlineLevel="0" collapsed="false">
      <c r="A45" s="36" t="n">
        <f aca="false">IF(B45=0,"",MAX($A$3:A44)+1)</f>
        <v>32</v>
      </c>
      <c r="B45" s="36" t="n">
        <f aca="false">IF(OR(M45="FLETE",M45="FLETE ENVIO GARANTIA",M45="FLETE RECOLECCION GARANTIA",M45="COMPENSACION"),0,1)</f>
        <v>1</v>
      </c>
      <c r="D45" s="10" t="s">
        <v>244</v>
      </c>
      <c r="J45" s="0" t="s">
        <v>245</v>
      </c>
      <c r="K45" s="0" t="s">
        <v>292</v>
      </c>
      <c r="L45" s="0" t="s">
        <v>324</v>
      </c>
      <c r="M45" s="0" t="s">
        <v>325</v>
      </c>
      <c r="N45" s="0" t="n">
        <v>1</v>
      </c>
      <c r="P45" s="0" t="s">
        <v>249</v>
      </c>
      <c r="Q45" s="0" t="s">
        <v>295</v>
      </c>
      <c r="R45" s="0" t="s">
        <v>326</v>
      </c>
      <c r="V45" s="0" t="s">
        <v>245</v>
      </c>
      <c r="W45" s="12" t="n">
        <v>0</v>
      </c>
      <c r="Y45" s="12" t="s">
        <v>238</v>
      </c>
      <c r="AG45" s="0" t="s">
        <v>10</v>
      </c>
      <c r="AL45" s="13" t="n">
        <v>89900</v>
      </c>
      <c r="AM45" s="14" t="n">
        <v>0</v>
      </c>
      <c r="AN45" s="13" t="n">
        <v>106981</v>
      </c>
      <c r="AO45" s="13" t="n">
        <v>17081</v>
      </c>
      <c r="AR45" s="0" t="s">
        <v>256</v>
      </c>
      <c r="AZ45" s="0" t="s">
        <v>257</v>
      </c>
      <c r="BA45" s="0" t="s">
        <v>257</v>
      </c>
      <c r="BB45" s="0" t="s">
        <v>90</v>
      </c>
      <c r="BC45" s="0" t="s">
        <v>241</v>
      </c>
      <c r="BD45" s="15" t="s">
        <v>258</v>
      </c>
      <c r="BE45" s="37" t="s">
        <v>92</v>
      </c>
    </row>
    <row r="46" customFormat="false" ht="16.4" hidden="false" customHeight="false" outlineLevel="0" collapsed="false">
      <c r="A46" s="36" t="n">
        <f aca="false">IF(B46=0,"",MAX($A$3:A45)+1)</f>
        <v>33</v>
      </c>
      <c r="B46" s="36" t="n">
        <f aca="false">IF(OR(M46="FLETE",M46="FLETE ENVIO GARANTIA",M46="FLETE RECOLECCION GARANTIA",M46="COMPENSACION"),0,1)</f>
        <v>1</v>
      </c>
      <c r="D46" s="10" t="s">
        <v>244</v>
      </c>
      <c r="J46" s="0" t="s">
        <v>245</v>
      </c>
      <c r="K46" s="0" t="s">
        <v>292</v>
      </c>
      <c r="L46" s="0" t="s">
        <v>327</v>
      </c>
      <c r="M46" s="0" t="s">
        <v>328</v>
      </c>
      <c r="N46" s="0" t="n">
        <v>1</v>
      </c>
      <c r="P46" s="0" t="s">
        <v>249</v>
      </c>
      <c r="Q46" s="0" t="s">
        <v>295</v>
      </c>
      <c r="R46" s="0" t="s">
        <v>329</v>
      </c>
      <c r="V46" s="0" t="s">
        <v>245</v>
      </c>
      <c r="W46" s="12" t="n">
        <v>0</v>
      </c>
      <c r="Y46" s="12" t="s">
        <v>238</v>
      </c>
      <c r="AG46" s="0" t="s">
        <v>10</v>
      </c>
      <c r="AL46" s="13" t="n">
        <v>38900</v>
      </c>
      <c r="AM46" s="14" t="n">
        <v>0</v>
      </c>
      <c r="AN46" s="13" t="n">
        <v>46291</v>
      </c>
      <c r="AO46" s="13" t="n">
        <v>7391</v>
      </c>
      <c r="AR46" s="0" t="s">
        <v>256</v>
      </c>
      <c r="AZ46" s="0" t="s">
        <v>257</v>
      </c>
      <c r="BA46" s="0" t="s">
        <v>257</v>
      </c>
      <c r="BB46" s="0" t="s">
        <v>90</v>
      </c>
      <c r="BC46" s="0" t="s">
        <v>241</v>
      </c>
      <c r="BD46" s="15" t="s">
        <v>258</v>
      </c>
      <c r="BE46" s="37" t="s">
        <v>92</v>
      </c>
    </row>
    <row r="47" customFormat="false" ht="16.4" hidden="false" customHeight="false" outlineLevel="0" collapsed="false">
      <c r="A47" s="36" t="n">
        <f aca="false">IF(B47=0,"",MAX($A$3:A46)+1)</f>
        <v>34</v>
      </c>
      <c r="B47" s="36" t="n">
        <f aca="false">IF(OR(M47="FLETE",M47="FLETE ENVIO GARANTIA",M47="FLETE RECOLECCION GARANTIA",M47="COMPENSACION"),0,1)</f>
        <v>1</v>
      </c>
      <c r="D47" s="10" t="s">
        <v>244</v>
      </c>
      <c r="J47" s="0" t="s">
        <v>245</v>
      </c>
      <c r="K47" s="0" t="s">
        <v>292</v>
      </c>
      <c r="L47" s="0" t="s">
        <v>330</v>
      </c>
      <c r="M47" s="0" t="s">
        <v>331</v>
      </c>
      <c r="N47" s="0" t="n">
        <v>1</v>
      </c>
      <c r="P47" s="0" t="s">
        <v>249</v>
      </c>
      <c r="Q47" s="0" t="s">
        <v>295</v>
      </c>
      <c r="R47" s="0" t="s">
        <v>332</v>
      </c>
      <c r="V47" s="0" t="s">
        <v>245</v>
      </c>
      <c r="W47" s="12" t="n">
        <v>0</v>
      </c>
      <c r="Y47" s="12" t="s">
        <v>238</v>
      </c>
      <c r="AG47" s="0" t="s">
        <v>10</v>
      </c>
      <c r="AL47" s="13" t="n">
        <v>38900</v>
      </c>
      <c r="AM47" s="14" t="n">
        <v>0</v>
      </c>
      <c r="AN47" s="13" t="n">
        <v>46291</v>
      </c>
      <c r="AO47" s="13" t="n">
        <v>7391</v>
      </c>
      <c r="AR47" s="0" t="s">
        <v>256</v>
      </c>
      <c r="AZ47" s="0" t="s">
        <v>257</v>
      </c>
      <c r="BA47" s="0" t="s">
        <v>257</v>
      </c>
      <c r="BB47" s="0" t="s">
        <v>90</v>
      </c>
      <c r="BC47" s="0" t="s">
        <v>241</v>
      </c>
      <c r="BD47" s="15" t="s">
        <v>258</v>
      </c>
      <c r="BE47" s="37" t="s">
        <v>92</v>
      </c>
    </row>
    <row r="48" customFormat="false" ht="16.4" hidden="false" customHeight="false" outlineLevel="0" collapsed="false">
      <c r="A48" s="36" t="n">
        <f aca="false">IF(B48=0,"",MAX($A$3:A47)+1)</f>
        <v>35</v>
      </c>
      <c r="B48" s="36" t="n">
        <f aca="false">IF(OR(M48="FLETE",M48="FLETE ENVIO GARANTIA",M48="FLETE RECOLECCION GARANTIA",M48="COMPENSACION"),0,1)</f>
        <v>1</v>
      </c>
      <c r="D48" s="10" t="s">
        <v>244</v>
      </c>
      <c r="J48" s="0" t="s">
        <v>245</v>
      </c>
      <c r="K48" s="0" t="s">
        <v>292</v>
      </c>
      <c r="L48" s="0" t="s">
        <v>333</v>
      </c>
      <c r="M48" s="0" t="s">
        <v>334</v>
      </c>
      <c r="N48" s="0" t="n">
        <v>1</v>
      </c>
      <c r="P48" s="0" t="s">
        <v>249</v>
      </c>
      <c r="Q48" s="0" t="s">
        <v>295</v>
      </c>
      <c r="R48" s="0" t="s">
        <v>335</v>
      </c>
      <c r="V48" s="0" t="s">
        <v>245</v>
      </c>
      <c r="W48" s="12" t="n">
        <v>0</v>
      </c>
      <c r="Y48" s="12" t="s">
        <v>238</v>
      </c>
      <c r="AG48" s="0" t="s">
        <v>10</v>
      </c>
      <c r="AL48" s="13" t="n">
        <v>89900</v>
      </c>
      <c r="AM48" s="14" t="n">
        <v>0</v>
      </c>
      <c r="AN48" s="13" t="n">
        <v>106981</v>
      </c>
      <c r="AO48" s="13" t="n">
        <v>17081</v>
      </c>
      <c r="AR48" s="0" t="s">
        <v>256</v>
      </c>
      <c r="AZ48" s="0" t="s">
        <v>257</v>
      </c>
      <c r="BA48" s="0" t="s">
        <v>257</v>
      </c>
      <c r="BB48" s="0" t="s">
        <v>90</v>
      </c>
      <c r="BC48" s="0" t="s">
        <v>241</v>
      </c>
      <c r="BD48" s="15" t="s">
        <v>258</v>
      </c>
      <c r="BE48" s="37" t="s">
        <v>92</v>
      </c>
    </row>
    <row r="49" customFormat="false" ht="16.4" hidden="false" customHeight="false" outlineLevel="0" collapsed="false">
      <c r="A49" s="36" t="n">
        <f aca="false">IF(B49=0,"",MAX($A$3:A48)+1)</f>
        <v>36</v>
      </c>
      <c r="B49" s="36" t="n">
        <f aca="false">IF(OR(M49="FLETE",M49="FLETE ENVIO GARANTIA",M49="FLETE RECOLECCION GARANTIA",M49="COMPENSACION"),0,1)</f>
        <v>1</v>
      </c>
      <c r="D49" s="10" t="s">
        <v>244</v>
      </c>
      <c r="J49" s="0" t="s">
        <v>245</v>
      </c>
      <c r="K49" s="0" t="s">
        <v>292</v>
      </c>
      <c r="L49" s="0" t="s">
        <v>336</v>
      </c>
      <c r="M49" s="0" t="s">
        <v>337</v>
      </c>
      <c r="N49" s="0" t="n">
        <v>1</v>
      </c>
      <c r="P49" s="0" t="s">
        <v>249</v>
      </c>
      <c r="Q49" s="0" t="s">
        <v>295</v>
      </c>
      <c r="R49" s="0" t="s">
        <v>338</v>
      </c>
      <c r="V49" s="0" t="s">
        <v>245</v>
      </c>
      <c r="W49" s="12" t="n">
        <v>0</v>
      </c>
      <c r="Y49" s="12" t="s">
        <v>238</v>
      </c>
      <c r="AG49" s="0" t="s">
        <v>10</v>
      </c>
      <c r="AL49" s="13" t="n">
        <v>38900</v>
      </c>
      <c r="AM49" s="14" t="n">
        <v>0</v>
      </c>
      <c r="AN49" s="13" t="n">
        <v>46291</v>
      </c>
      <c r="AO49" s="13" t="n">
        <v>7391</v>
      </c>
      <c r="AR49" s="0" t="s">
        <v>256</v>
      </c>
      <c r="AZ49" s="0" t="s">
        <v>257</v>
      </c>
      <c r="BA49" s="0" t="s">
        <v>257</v>
      </c>
      <c r="BB49" s="0" t="s">
        <v>90</v>
      </c>
      <c r="BC49" s="0" t="s">
        <v>241</v>
      </c>
      <c r="BD49" s="15" t="s">
        <v>258</v>
      </c>
      <c r="BE49" s="37" t="s">
        <v>92</v>
      </c>
    </row>
    <row r="50" customFormat="false" ht="16.4" hidden="false" customHeight="false" outlineLevel="0" collapsed="false">
      <c r="A50" s="36" t="n">
        <f aca="false">IF(B50=0,"",MAX($A$3:A49)+1)</f>
        <v>37</v>
      </c>
      <c r="B50" s="36" t="n">
        <f aca="false">IF(OR(M50="FLETE",M50="FLETE ENVIO GARANTIA",M50="FLETE RECOLECCION GARANTIA",M50="COMPENSACION"),0,1)</f>
        <v>1</v>
      </c>
      <c r="D50" s="10" t="s">
        <v>244</v>
      </c>
      <c r="J50" s="0" t="s">
        <v>245</v>
      </c>
      <c r="K50" s="0" t="s">
        <v>292</v>
      </c>
      <c r="L50" s="0" t="s">
        <v>339</v>
      </c>
      <c r="M50" s="0" t="s">
        <v>340</v>
      </c>
      <c r="N50" s="0" t="n">
        <v>1</v>
      </c>
      <c r="P50" s="0" t="s">
        <v>249</v>
      </c>
      <c r="Q50" s="0" t="s">
        <v>295</v>
      </c>
      <c r="R50" s="0" t="s">
        <v>341</v>
      </c>
      <c r="V50" s="0" t="s">
        <v>245</v>
      </c>
      <c r="W50" s="12" t="n">
        <v>0</v>
      </c>
      <c r="Y50" s="12" t="s">
        <v>238</v>
      </c>
      <c r="AG50" s="0" t="s">
        <v>10</v>
      </c>
      <c r="AL50" s="13" t="n">
        <v>38900</v>
      </c>
      <c r="AM50" s="14" t="n">
        <v>0</v>
      </c>
      <c r="AN50" s="13" t="n">
        <v>46291</v>
      </c>
      <c r="AO50" s="13" t="n">
        <v>7391</v>
      </c>
      <c r="AR50" s="0" t="s">
        <v>256</v>
      </c>
      <c r="AZ50" s="0" t="s">
        <v>257</v>
      </c>
      <c r="BA50" s="0" t="s">
        <v>257</v>
      </c>
      <c r="BB50" s="0" t="s">
        <v>90</v>
      </c>
      <c r="BC50" s="0" t="s">
        <v>241</v>
      </c>
      <c r="BD50" s="15" t="s">
        <v>258</v>
      </c>
      <c r="BE50" s="37" t="s">
        <v>92</v>
      </c>
    </row>
    <row r="51" customFormat="false" ht="16.4" hidden="false" customHeight="false" outlineLevel="0" collapsed="false">
      <c r="A51" s="36" t="n">
        <f aca="false">IF(B51=0,"",MAX($A$3:A50)+1)</f>
        <v>38</v>
      </c>
      <c r="B51" s="36" t="n">
        <f aca="false">IF(OR(M51="FLETE",M51="FLETE ENVIO GARANTIA",M51="FLETE RECOLECCION GARANTIA",M51="COMPENSACION"),0,1)</f>
        <v>1</v>
      </c>
      <c r="D51" s="10" t="s">
        <v>244</v>
      </c>
      <c r="J51" s="0" t="s">
        <v>245</v>
      </c>
      <c r="K51" s="0" t="s">
        <v>292</v>
      </c>
      <c r="L51" s="0" t="s">
        <v>342</v>
      </c>
      <c r="M51" s="0" t="s">
        <v>343</v>
      </c>
      <c r="N51" s="0" t="n">
        <v>1</v>
      </c>
      <c r="P51" s="0" t="s">
        <v>249</v>
      </c>
      <c r="Q51" s="0" t="s">
        <v>295</v>
      </c>
      <c r="R51" s="0" t="s">
        <v>344</v>
      </c>
      <c r="V51" s="0" t="s">
        <v>245</v>
      </c>
      <c r="W51" s="12" t="n">
        <v>0</v>
      </c>
      <c r="Y51" s="12" t="s">
        <v>238</v>
      </c>
      <c r="AG51" s="0" t="s">
        <v>10</v>
      </c>
      <c r="AL51" s="13" t="n">
        <v>47900</v>
      </c>
      <c r="AM51" s="14" t="n">
        <v>0</v>
      </c>
      <c r="AN51" s="13" t="n">
        <v>57001</v>
      </c>
      <c r="AO51" s="13" t="n">
        <v>9101</v>
      </c>
      <c r="AR51" s="0" t="s">
        <v>256</v>
      </c>
      <c r="AZ51" s="0" t="s">
        <v>257</v>
      </c>
      <c r="BA51" s="0" t="s">
        <v>257</v>
      </c>
      <c r="BB51" s="0" t="s">
        <v>90</v>
      </c>
      <c r="BC51" s="0" t="s">
        <v>241</v>
      </c>
      <c r="BD51" s="15" t="s">
        <v>258</v>
      </c>
      <c r="BE51" s="37" t="s">
        <v>92</v>
      </c>
    </row>
    <row r="52" customFormat="false" ht="16.4" hidden="false" customHeight="false" outlineLevel="0" collapsed="false">
      <c r="A52" s="36" t="n">
        <f aca="false">IF(B52=0,"",MAX($A$3:A51)+1)</f>
        <v>39</v>
      </c>
      <c r="B52" s="36" t="n">
        <f aca="false">IF(OR(M52="FLETE",M52="FLETE ENVIO GARANTIA",M52="FLETE RECOLECCION GARANTIA",M52="COMPENSACION"),0,1)</f>
        <v>1</v>
      </c>
      <c r="D52" s="10" t="s">
        <v>244</v>
      </c>
      <c r="J52" s="0" t="s">
        <v>245</v>
      </c>
      <c r="K52" s="0" t="s">
        <v>345</v>
      </c>
      <c r="L52" s="0" t="s">
        <v>346</v>
      </c>
      <c r="M52" s="0" t="s">
        <v>347</v>
      </c>
      <c r="N52" s="0" t="n">
        <v>2</v>
      </c>
      <c r="P52" s="0" t="s">
        <v>249</v>
      </c>
      <c r="Q52" s="0" t="s">
        <v>348</v>
      </c>
      <c r="R52" s="0" t="s">
        <v>349</v>
      </c>
      <c r="T52" s="0" t="s">
        <v>350</v>
      </c>
      <c r="V52" s="0" t="s">
        <v>245</v>
      </c>
      <c r="W52" s="12" t="n">
        <v>0</v>
      </c>
      <c r="Y52" s="12" t="s">
        <v>238</v>
      </c>
      <c r="AG52" s="0" t="s">
        <v>10</v>
      </c>
      <c r="AL52" s="13" t="n">
        <v>39900</v>
      </c>
      <c r="AM52" s="14" t="n">
        <v>0</v>
      </c>
      <c r="AN52" s="13" t="n">
        <v>94962</v>
      </c>
      <c r="AO52" s="13" t="n">
        <v>15162</v>
      </c>
      <c r="AR52" s="0" t="s">
        <v>256</v>
      </c>
      <c r="AZ52" s="0" t="s">
        <v>257</v>
      </c>
      <c r="BA52" s="0" t="s">
        <v>257</v>
      </c>
      <c r="BB52" s="0" t="s">
        <v>90</v>
      </c>
      <c r="BC52" s="0" t="s">
        <v>241</v>
      </c>
      <c r="BD52" s="15" t="s">
        <v>258</v>
      </c>
      <c r="BE52" s="37" t="s">
        <v>92</v>
      </c>
    </row>
    <row r="53" customFormat="false" ht="16.4" hidden="false" customHeight="false" outlineLevel="0" collapsed="false">
      <c r="A53" s="36" t="n">
        <f aca="false">IF(B53=0,"",MAX($A$3:A52)+1)</f>
        <v>40</v>
      </c>
      <c r="B53" s="36" t="n">
        <f aca="false">IF(OR(M53="FLETE",M53="FLETE ENVIO GARANTIA",M53="FLETE RECOLECCION GARANTIA",M53="COMPENSACION"),0,1)</f>
        <v>1</v>
      </c>
      <c r="D53" s="10" t="s">
        <v>244</v>
      </c>
      <c r="J53" s="0" t="s">
        <v>245</v>
      </c>
      <c r="K53" s="0" t="s">
        <v>345</v>
      </c>
      <c r="L53" s="0" t="s">
        <v>351</v>
      </c>
      <c r="M53" s="0" t="s">
        <v>352</v>
      </c>
      <c r="N53" s="0" t="n">
        <v>2</v>
      </c>
      <c r="P53" s="0" t="s">
        <v>249</v>
      </c>
      <c r="Q53" s="0" t="s">
        <v>348</v>
      </c>
      <c r="R53" s="0" t="s">
        <v>353</v>
      </c>
      <c r="T53" s="0" t="s">
        <v>198</v>
      </c>
      <c r="V53" s="0" t="s">
        <v>245</v>
      </c>
      <c r="W53" s="12" t="n">
        <v>0</v>
      </c>
      <c r="Y53" s="12" t="s">
        <v>238</v>
      </c>
      <c r="AG53" s="0" t="s">
        <v>10</v>
      </c>
      <c r="AL53" s="13" t="n">
        <v>39900</v>
      </c>
      <c r="AM53" s="14" t="n">
        <v>0</v>
      </c>
      <c r="AN53" s="13" t="n">
        <v>94962</v>
      </c>
      <c r="AO53" s="13" t="n">
        <v>15162</v>
      </c>
      <c r="AR53" s="0" t="s">
        <v>256</v>
      </c>
      <c r="AZ53" s="0" t="s">
        <v>257</v>
      </c>
      <c r="BA53" s="0" t="s">
        <v>257</v>
      </c>
      <c r="BB53" s="0" t="s">
        <v>90</v>
      </c>
      <c r="BC53" s="0" t="s">
        <v>241</v>
      </c>
      <c r="BD53" s="15" t="s">
        <v>258</v>
      </c>
      <c r="BE53" s="37" t="s">
        <v>92</v>
      </c>
    </row>
    <row r="54" customFormat="false" ht="16.4" hidden="false" customHeight="false" outlineLevel="0" collapsed="false">
      <c r="A54" s="36" t="n">
        <f aca="false">IF(B54=0,"",MAX($A$3:A53)+1)</f>
        <v>41</v>
      </c>
      <c r="B54" s="36" t="n">
        <f aca="false">IF(OR(M54="FLETE",M54="FLETE ENVIO GARANTIA",M54="FLETE RECOLECCION GARANTIA",M54="COMPENSACION"),0,1)</f>
        <v>1</v>
      </c>
      <c r="D54" s="10" t="s">
        <v>244</v>
      </c>
      <c r="J54" s="0" t="s">
        <v>245</v>
      </c>
      <c r="K54" s="0" t="s">
        <v>345</v>
      </c>
      <c r="L54" s="0" t="s">
        <v>354</v>
      </c>
      <c r="M54" s="0" t="s">
        <v>355</v>
      </c>
      <c r="N54" s="0" t="n">
        <v>1</v>
      </c>
      <c r="P54" s="0" t="s">
        <v>249</v>
      </c>
      <c r="Q54" s="0" t="s">
        <v>348</v>
      </c>
      <c r="R54" s="0" t="s">
        <v>356</v>
      </c>
      <c r="T54" s="0" t="s">
        <v>198</v>
      </c>
      <c r="V54" s="0" t="s">
        <v>245</v>
      </c>
      <c r="W54" s="12" t="n">
        <v>0</v>
      </c>
      <c r="Y54" s="12" t="s">
        <v>238</v>
      </c>
      <c r="AG54" s="0" t="s">
        <v>10</v>
      </c>
      <c r="AL54" s="13" t="n">
        <v>43900</v>
      </c>
      <c r="AM54" s="14" t="n">
        <v>0</v>
      </c>
      <c r="AN54" s="13" t="n">
        <v>52241</v>
      </c>
      <c r="AO54" s="13" t="n">
        <v>8341</v>
      </c>
      <c r="AR54" s="0" t="s">
        <v>256</v>
      </c>
      <c r="AZ54" s="0" t="s">
        <v>257</v>
      </c>
      <c r="BA54" s="0" t="s">
        <v>257</v>
      </c>
      <c r="BB54" s="0" t="s">
        <v>90</v>
      </c>
      <c r="BC54" s="0" t="s">
        <v>241</v>
      </c>
      <c r="BD54" s="15" t="s">
        <v>258</v>
      </c>
      <c r="BE54" s="37" t="s">
        <v>92</v>
      </c>
    </row>
    <row r="55" customFormat="false" ht="16.4" hidden="false" customHeight="false" outlineLevel="0" collapsed="false">
      <c r="A55" s="36" t="n">
        <f aca="false">IF(B55=0,"",MAX($A$3:A54)+1)</f>
        <v>42</v>
      </c>
      <c r="B55" s="36" t="n">
        <f aca="false">IF(OR(M55="FLETE",M55="FLETE ENVIO GARANTIA",M55="FLETE RECOLECCION GARANTIA",M55="COMPENSACION"),0,1)</f>
        <v>1</v>
      </c>
      <c r="D55" s="10" t="s">
        <v>244</v>
      </c>
      <c r="J55" s="0" t="s">
        <v>245</v>
      </c>
      <c r="K55" s="0" t="s">
        <v>345</v>
      </c>
      <c r="L55" s="0" t="s">
        <v>357</v>
      </c>
      <c r="M55" s="0" t="s">
        <v>358</v>
      </c>
      <c r="N55" s="0" t="n">
        <v>1</v>
      </c>
      <c r="P55" s="0" t="s">
        <v>249</v>
      </c>
      <c r="Q55" s="0" t="s">
        <v>348</v>
      </c>
      <c r="R55" s="0" t="s">
        <v>359</v>
      </c>
      <c r="V55" s="0" t="s">
        <v>245</v>
      </c>
      <c r="W55" s="12" t="n">
        <v>0</v>
      </c>
      <c r="Y55" s="12" t="s">
        <v>238</v>
      </c>
      <c r="AG55" s="0" t="s">
        <v>10</v>
      </c>
      <c r="AL55" s="13" t="n">
        <v>33900</v>
      </c>
      <c r="AM55" s="14" t="n">
        <v>0</v>
      </c>
      <c r="AN55" s="13" t="n">
        <v>40341</v>
      </c>
      <c r="AO55" s="13" t="n">
        <v>6441</v>
      </c>
      <c r="AR55" s="0" t="s">
        <v>256</v>
      </c>
      <c r="AZ55" s="0" t="s">
        <v>257</v>
      </c>
      <c r="BA55" s="0" t="s">
        <v>257</v>
      </c>
      <c r="BB55" s="0" t="s">
        <v>90</v>
      </c>
      <c r="BC55" s="0" t="s">
        <v>241</v>
      </c>
      <c r="BD55" s="15" t="s">
        <v>258</v>
      </c>
      <c r="BE55" s="37" t="s">
        <v>92</v>
      </c>
    </row>
    <row r="56" customFormat="false" ht="16.4" hidden="false" customHeight="false" outlineLevel="0" collapsed="false">
      <c r="A56" s="36" t="n">
        <f aca="false">IF(B56=0,"",MAX($A$3:A55)+1)</f>
        <v>43</v>
      </c>
      <c r="B56" s="36" t="n">
        <f aca="false">IF(OR(M56="FLETE",M56="FLETE ENVIO GARANTIA",M56="FLETE RECOLECCION GARANTIA",M56="COMPENSACION"),0,1)</f>
        <v>1</v>
      </c>
      <c r="D56" s="10" t="s">
        <v>244</v>
      </c>
      <c r="J56" s="0" t="s">
        <v>245</v>
      </c>
      <c r="K56" s="0" t="s">
        <v>345</v>
      </c>
      <c r="L56" s="0" t="s">
        <v>360</v>
      </c>
      <c r="M56" s="0" t="s">
        <v>361</v>
      </c>
      <c r="N56" s="0" t="n">
        <v>1</v>
      </c>
      <c r="P56" s="0" t="s">
        <v>249</v>
      </c>
      <c r="Q56" s="0" t="s">
        <v>348</v>
      </c>
      <c r="R56" s="0" t="s">
        <v>362</v>
      </c>
      <c r="V56" s="0" t="s">
        <v>245</v>
      </c>
      <c r="W56" s="12" t="n">
        <v>0</v>
      </c>
      <c r="Y56" s="12" t="s">
        <v>238</v>
      </c>
      <c r="AG56" s="0" t="s">
        <v>10</v>
      </c>
      <c r="AL56" s="13" t="n">
        <v>26900</v>
      </c>
      <c r="AM56" s="14" t="n">
        <v>0</v>
      </c>
      <c r="AN56" s="13" t="n">
        <v>32011</v>
      </c>
      <c r="AO56" s="13" t="n">
        <v>5111</v>
      </c>
      <c r="AR56" s="0" t="s">
        <v>256</v>
      </c>
      <c r="AZ56" s="0" t="s">
        <v>257</v>
      </c>
      <c r="BA56" s="0" t="s">
        <v>257</v>
      </c>
      <c r="BB56" s="0" t="s">
        <v>90</v>
      </c>
      <c r="BC56" s="0" t="s">
        <v>241</v>
      </c>
      <c r="BD56" s="15" t="s">
        <v>258</v>
      </c>
      <c r="BE56" s="37" t="s">
        <v>92</v>
      </c>
    </row>
    <row r="57" customFormat="false" ht="16.4" hidden="false" customHeight="false" outlineLevel="0" collapsed="false">
      <c r="A57" s="36" t="n">
        <f aca="false">IF(B57=0,"",MAX($A$3:A56)+1)</f>
        <v>44</v>
      </c>
      <c r="B57" s="36" t="n">
        <f aca="false">IF(OR(M57="FLETE",M57="FLETE ENVIO GARANTIA",M57="FLETE RECOLECCION GARANTIA",M57="COMPENSACION"),0,1)</f>
        <v>1</v>
      </c>
      <c r="D57" s="10" t="s">
        <v>244</v>
      </c>
      <c r="J57" s="0" t="s">
        <v>245</v>
      </c>
      <c r="K57" s="0" t="s">
        <v>345</v>
      </c>
      <c r="L57" s="0" t="s">
        <v>363</v>
      </c>
      <c r="M57" s="0" t="s">
        <v>364</v>
      </c>
      <c r="N57" s="0" t="n">
        <v>1</v>
      </c>
      <c r="P57" s="0" t="s">
        <v>249</v>
      </c>
      <c r="Q57" s="0" t="s">
        <v>348</v>
      </c>
      <c r="R57" s="0" t="s">
        <v>365</v>
      </c>
      <c r="V57" s="0" t="s">
        <v>245</v>
      </c>
      <c r="W57" s="12" t="n">
        <v>0</v>
      </c>
      <c r="Y57" s="12" t="s">
        <v>238</v>
      </c>
      <c r="AG57" s="0" t="s">
        <v>10</v>
      </c>
      <c r="AL57" s="13" t="n">
        <v>19900</v>
      </c>
      <c r="AM57" s="14" t="n">
        <v>0</v>
      </c>
      <c r="AN57" s="13" t="n">
        <v>23681</v>
      </c>
      <c r="AO57" s="13" t="n">
        <v>3781</v>
      </c>
      <c r="AR57" s="0" t="s">
        <v>256</v>
      </c>
      <c r="AZ57" s="0" t="s">
        <v>257</v>
      </c>
      <c r="BA57" s="0" t="s">
        <v>257</v>
      </c>
      <c r="BB57" s="0" t="s">
        <v>90</v>
      </c>
      <c r="BC57" s="0" t="s">
        <v>241</v>
      </c>
      <c r="BD57" s="15" t="s">
        <v>258</v>
      </c>
      <c r="BE57" s="37" t="s">
        <v>92</v>
      </c>
    </row>
    <row r="58" customFormat="false" ht="16.4" hidden="false" customHeight="false" outlineLevel="0" collapsed="false">
      <c r="A58" s="36" t="n">
        <f aca="false">IF(B58=0,"",MAX($A$3:A57)+1)</f>
        <v>45</v>
      </c>
      <c r="B58" s="36" t="n">
        <f aca="false">IF(OR(M58="FLETE",M58="FLETE ENVIO GARANTIA",M58="FLETE RECOLECCION GARANTIA",M58="COMPENSACION"),0,1)</f>
        <v>1</v>
      </c>
      <c r="D58" s="10" t="s">
        <v>244</v>
      </c>
      <c r="J58" s="0" t="s">
        <v>245</v>
      </c>
      <c r="K58" s="0" t="s">
        <v>345</v>
      </c>
      <c r="L58" s="0" t="s">
        <v>366</v>
      </c>
      <c r="M58" s="0" t="s">
        <v>367</v>
      </c>
      <c r="N58" s="0" t="n">
        <v>1</v>
      </c>
      <c r="P58" s="0" t="s">
        <v>249</v>
      </c>
      <c r="Q58" s="0" t="s">
        <v>348</v>
      </c>
      <c r="R58" s="0" t="s">
        <v>368</v>
      </c>
      <c r="V58" s="0" t="s">
        <v>245</v>
      </c>
      <c r="W58" s="12" t="n">
        <v>0</v>
      </c>
      <c r="Y58" s="12" t="s">
        <v>238</v>
      </c>
      <c r="AG58" s="0" t="s">
        <v>10</v>
      </c>
      <c r="AL58" s="13" t="n">
        <v>33900</v>
      </c>
      <c r="AM58" s="14" t="n">
        <v>0</v>
      </c>
      <c r="AN58" s="13" t="n">
        <v>40341</v>
      </c>
      <c r="AO58" s="13" t="n">
        <v>6441</v>
      </c>
      <c r="AR58" s="0" t="s">
        <v>256</v>
      </c>
      <c r="AZ58" s="0" t="s">
        <v>257</v>
      </c>
      <c r="BA58" s="0" t="s">
        <v>257</v>
      </c>
      <c r="BB58" s="0" t="s">
        <v>90</v>
      </c>
      <c r="BC58" s="0" t="s">
        <v>241</v>
      </c>
      <c r="BD58" s="15" t="s">
        <v>258</v>
      </c>
      <c r="BE58" s="37" t="s">
        <v>92</v>
      </c>
    </row>
    <row r="59" customFormat="false" ht="16.4" hidden="false" customHeight="false" outlineLevel="0" collapsed="false">
      <c r="A59" s="36" t="n">
        <f aca="false">IF(B59=0,"",MAX($A$3:A58)+1)</f>
        <v>46</v>
      </c>
      <c r="B59" s="36" t="n">
        <f aca="false">IF(OR(M59="FLETE",M59="FLETE ENVIO GARANTIA",M59="FLETE RECOLECCION GARANTIA",M59="COMPENSACION"),0,1)</f>
        <v>1</v>
      </c>
      <c r="D59" s="10" t="s">
        <v>244</v>
      </c>
      <c r="J59" s="0" t="s">
        <v>245</v>
      </c>
      <c r="K59" s="0" t="s">
        <v>345</v>
      </c>
      <c r="L59" s="0" t="s">
        <v>369</v>
      </c>
      <c r="M59" s="0" t="s">
        <v>370</v>
      </c>
      <c r="N59" s="0" t="n">
        <v>1</v>
      </c>
      <c r="P59" s="0" t="s">
        <v>249</v>
      </c>
      <c r="Q59" s="0" t="s">
        <v>348</v>
      </c>
      <c r="R59" s="0" t="s">
        <v>371</v>
      </c>
      <c r="V59" s="0" t="s">
        <v>245</v>
      </c>
      <c r="W59" s="12" t="n">
        <v>0</v>
      </c>
      <c r="Y59" s="12" t="s">
        <v>238</v>
      </c>
      <c r="AG59" s="0" t="s">
        <v>10</v>
      </c>
      <c r="AL59" s="13" t="n">
        <v>26900</v>
      </c>
      <c r="AM59" s="14" t="n">
        <v>0</v>
      </c>
      <c r="AN59" s="13" t="n">
        <v>32011</v>
      </c>
      <c r="AO59" s="13" t="n">
        <v>5111</v>
      </c>
      <c r="AR59" s="0" t="s">
        <v>256</v>
      </c>
      <c r="AZ59" s="0" t="s">
        <v>257</v>
      </c>
      <c r="BA59" s="0" t="s">
        <v>257</v>
      </c>
      <c r="BB59" s="0" t="s">
        <v>90</v>
      </c>
      <c r="BC59" s="0" t="s">
        <v>241</v>
      </c>
      <c r="BD59" s="15" t="s">
        <v>258</v>
      </c>
      <c r="BE59" s="37" t="s">
        <v>92</v>
      </c>
    </row>
    <row r="60" customFormat="false" ht="16.4" hidden="false" customHeight="false" outlineLevel="0" collapsed="false">
      <c r="A60" s="36" t="n">
        <f aca="false">IF(B60=0,"",MAX($A$3:A59)+1)</f>
        <v>47</v>
      </c>
      <c r="B60" s="36" t="n">
        <f aca="false">IF(OR(M60="FLETE",M60="FLETE ENVIO GARANTIA",M60="FLETE RECOLECCION GARANTIA",M60="COMPENSACION"),0,1)</f>
        <v>1</v>
      </c>
      <c r="D60" s="10" t="s">
        <v>244</v>
      </c>
      <c r="J60" s="0" t="s">
        <v>245</v>
      </c>
      <c r="K60" s="0" t="s">
        <v>345</v>
      </c>
      <c r="L60" s="0" t="s">
        <v>372</v>
      </c>
      <c r="M60" s="0" t="s">
        <v>373</v>
      </c>
      <c r="N60" s="0" t="n">
        <v>1</v>
      </c>
      <c r="P60" s="0" t="s">
        <v>249</v>
      </c>
      <c r="Q60" s="0" t="s">
        <v>348</v>
      </c>
      <c r="R60" s="0" t="s">
        <v>374</v>
      </c>
      <c r="V60" s="0" t="s">
        <v>245</v>
      </c>
      <c r="W60" s="12" t="n">
        <v>0</v>
      </c>
      <c r="Y60" s="12" t="s">
        <v>238</v>
      </c>
      <c r="AG60" s="0" t="s">
        <v>10</v>
      </c>
      <c r="AL60" s="13" t="n">
        <v>19900</v>
      </c>
      <c r="AM60" s="14" t="n">
        <v>0</v>
      </c>
      <c r="AN60" s="13" t="n">
        <v>23681</v>
      </c>
      <c r="AO60" s="13" t="n">
        <v>3781</v>
      </c>
      <c r="AR60" s="0" t="s">
        <v>256</v>
      </c>
      <c r="AZ60" s="0" t="s">
        <v>257</v>
      </c>
      <c r="BA60" s="0" t="s">
        <v>257</v>
      </c>
      <c r="BB60" s="0" t="s">
        <v>90</v>
      </c>
      <c r="BC60" s="0" t="s">
        <v>241</v>
      </c>
      <c r="BD60" s="15" t="s">
        <v>258</v>
      </c>
      <c r="BE60" s="37" t="s">
        <v>92</v>
      </c>
    </row>
    <row r="61" customFormat="false" ht="16.4" hidden="false" customHeight="false" outlineLevel="0" collapsed="false">
      <c r="A61" s="36" t="n">
        <f aca="false">IF(B61=0,"",MAX($A$3:A60)+1)</f>
        <v>48</v>
      </c>
      <c r="B61" s="36" t="n">
        <f aca="false">IF(OR(M61="FLETE",M61="FLETE ENVIO GARANTIA",M61="FLETE RECOLECCION GARANTIA",M61="COMPENSACION"),0,1)</f>
        <v>1</v>
      </c>
      <c r="D61" s="10" t="s">
        <v>244</v>
      </c>
      <c r="J61" s="0" t="s">
        <v>245</v>
      </c>
      <c r="K61" s="0" t="s">
        <v>345</v>
      </c>
      <c r="L61" s="0" t="s">
        <v>375</v>
      </c>
      <c r="M61" s="0" t="s">
        <v>376</v>
      </c>
      <c r="N61" s="0" t="n">
        <v>1</v>
      </c>
      <c r="P61" s="0" t="s">
        <v>249</v>
      </c>
      <c r="Q61" s="0" t="s">
        <v>348</v>
      </c>
      <c r="R61" s="0" t="s">
        <v>377</v>
      </c>
      <c r="V61" s="0" t="s">
        <v>245</v>
      </c>
      <c r="W61" s="0" t="n">
        <v>0</v>
      </c>
      <c r="Y61" s="0" t="s">
        <v>238</v>
      </c>
      <c r="AG61" s="0" t="s">
        <v>10</v>
      </c>
      <c r="AL61" s="13" t="n">
        <v>33900</v>
      </c>
      <c r="AM61" s="14" t="n">
        <v>0</v>
      </c>
      <c r="AN61" s="13" t="n">
        <v>40341</v>
      </c>
      <c r="AO61" s="13" t="n">
        <v>6441</v>
      </c>
      <c r="AR61" s="0" t="s">
        <v>256</v>
      </c>
      <c r="AZ61" s="0" t="s">
        <v>257</v>
      </c>
      <c r="BA61" s="0" t="s">
        <v>257</v>
      </c>
      <c r="BB61" s="0" t="s">
        <v>90</v>
      </c>
      <c r="BC61" s="0" t="s">
        <v>241</v>
      </c>
      <c r="BD61" s="15" t="s">
        <v>258</v>
      </c>
      <c r="BE61" s="37" t="s">
        <v>92</v>
      </c>
    </row>
    <row r="62" customFormat="false" ht="16.4" hidden="false" customHeight="false" outlineLevel="0" collapsed="false">
      <c r="A62" s="36" t="n">
        <f aca="false">IF(B62=0,"",MAX($A$3:A61)+1)</f>
        <v>49</v>
      </c>
      <c r="B62" s="36" t="n">
        <f aca="false">IF(OR(M62="FLETE",M62="FLETE ENVIO GARANTIA",M62="FLETE RECOLECCION GARANTIA",M62="COMPENSACION"),0,1)</f>
        <v>1</v>
      </c>
      <c r="D62" s="10" t="s">
        <v>244</v>
      </c>
      <c r="J62" s="0" t="s">
        <v>245</v>
      </c>
      <c r="K62" s="0" t="s">
        <v>345</v>
      </c>
      <c r="L62" s="0" t="s">
        <v>378</v>
      </c>
      <c r="M62" s="0" t="s">
        <v>379</v>
      </c>
      <c r="N62" s="0" t="n">
        <v>1</v>
      </c>
      <c r="P62" s="0" t="s">
        <v>249</v>
      </c>
      <c r="Q62" s="0" t="s">
        <v>348</v>
      </c>
      <c r="R62" s="0" t="s">
        <v>380</v>
      </c>
      <c r="V62" s="0" t="s">
        <v>245</v>
      </c>
      <c r="W62" s="12" t="n">
        <v>0</v>
      </c>
      <c r="Y62" s="0" t="s">
        <v>238</v>
      </c>
      <c r="AG62" s="0" t="s">
        <v>10</v>
      </c>
      <c r="AL62" s="13" t="n">
        <v>26900</v>
      </c>
      <c r="AM62" s="14" t="n">
        <v>0</v>
      </c>
      <c r="AN62" s="13" t="n">
        <v>32011</v>
      </c>
      <c r="AO62" s="13" t="n">
        <v>5111</v>
      </c>
      <c r="AR62" s="0" t="s">
        <v>256</v>
      </c>
      <c r="AZ62" s="0" t="s">
        <v>257</v>
      </c>
      <c r="BA62" s="0" t="s">
        <v>257</v>
      </c>
      <c r="BB62" s="0" t="s">
        <v>90</v>
      </c>
      <c r="BC62" s="0" t="s">
        <v>241</v>
      </c>
      <c r="BD62" s="15" t="s">
        <v>258</v>
      </c>
      <c r="BE62" s="37" t="s">
        <v>92</v>
      </c>
    </row>
    <row r="63" customFormat="false" ht="16.4" hidden="false" customHeight="false" outlineLevel="0" collapsed="false">
      <c r="A63" s="36" t="n">
        <f aca="false">IF(B63=0,"",MAX($A$3:A62)+1)</f>
        <v>50</v>
      </c>
      <c r="B63" s="36" t="n">
        <f aca="false">IF(OR(M63="FLETE",M63="FLETE ENVIO GARANTIA",M63="FLETE RECOLECCION GARANTIA",M63="COMPENSACION"),0,1)</f>
        <v>1</v>
      </c>
      <c r="D63" s="10" t="s">
        <v>244</v>
      </c>
      <c r="J63" s="0" t="s">
        <v>245</v>
      </c>
      <c r="K63" s="0" t="s">
        <v>345</v>
      </c>
      <c r="L63" s="0" t="s">
        <v>381</v>
      </c>
      <c r="M63" s="0" t="s">
        <v>382</v>
      </c>
      <c r="N63" s="0" t="n">
        <v>1</v>
      </c>
      <c r="P63" s="0" t="s">
        <v>249</v>
      </c>
      <c r="Q63" s="0" t="s">
        <v>348</v>
      </c>
      <c r="R63" s="0" t="s">
        <v>383</v>
      </c>
      <c r="V63" s="0" t="s">
        <v>245</v>
      </c>
      <c r="W63" s="12" t="n">
        <v>0</v>
      </c>
      <c r="Y63" s="12" t="s">
        <v>238</v>
      </c>
      <c r="AG63" s="0" t="s">
        <v>10</v>
      </c>
      <c r="AL63" s="13" t="n">
        <v>19900</v>
      </c>
      <c r="AM63" s="14" t="n">
        <v>0</v>
      </c>
      <c r="AN63" s="13" t="n">
        <v>23681</v>
      </c>
      <c r="AO63" s="13" t="n">
        <v>3781</v>
      </c>
      <c r="AR63" s="0" t="s">
        <v>256</v>
      </c>
      <c r="AZ63" s="0" t="s">
        <v>257</v>
      </c>
      <c r="BA63" s="0" t="s">
        <v>257</v>
      </c>
      <c r="BB63" s="0" t="s">
        <v>90</v>
      </c>
      <c r="BC63" s="0" t="s">
        <v>241</v>
      </c>
      <c r="BD63" s="15" t="s">
        <v>258</v>
      </c>
      <c r="BE63" s="37" t="s">
        <v>92</v>
      </c>
    </row>
    <row r="64" customFormat="false" ht="16.4" hidden="false" customHeight="false" outlineLevel="0" collapsed="false">
      <c r="A64" s="36" t="n">
        <f aca="false">IF(B64=0,"",MAX($A$3:A63)+1)</f>
        <v>51</v>
      </c>
      <c r="B64" s="36" t="n">
        <f aca="false">IF(OR(M64="FLETE",M64="FLETE ENVIO GARANTIA",M64="FLETE RECOLECCION GARANTIA",M64="COMPENSACION"),0,1)</f>
        <v>1</v>
      </c>
      <c r="D64" s="10" t="s">
        <v>244</v>
      </c>
      <c r="J64" s="0" t="s">
        <v>245</v>
      </c>
      <c r="K64" s="0" t="s">
        <v>345</v>
      </c>
      <c r="L64" s="0" t="s">
        <v>384</v>
      </c>
      <c r="M64" s="0" t="s">
        <v>385</v>
      </c>
      <c r="N64" s="0" t="n">
        <v>1</v>
      </c>
      <c r="P64" s="0" t="s">
        <v>249</v>
      </c>
      <c r="Q64" s="0" t="s">
        <v>348</v>
      </c>
      <c r="R64" s="0" t="s">
        <v>349</v>
      </c>
      <c r="T64" s="0" t="s">
        <v>198</v>
      </c>
      <c r="V64" s="0" t="s">
        <v>245</v>
      </c>
      <c r="W64" s="12" t="n">
        <v>0</v>
      </c>
      <c r="Y64" s="0" t="s">
        <v>238</v>
      </c>
      <c r="AG64" s="0" t="s">
        <v>10</v>
      </c>
      <c r="AL64" s="13" t="n">
        <v>39900</v>
      </c>
      <c r="AM64" s="14" t="n">
        <v>0</v>
      </c>
      <c r="AN64" s="13" t="n">
        <v>47481</v>
      </c>
      <c r="AO64" s="13" t="n">
        <v>7581</v>
      </c>
      <c r="AR64" s="0" t="s">
        <v>256</v>
      </c>
      <c r="AZ64" s="0" t="s">
        <v>257</v>
      </c>
      <c r="BA64" s="0" t="s">
        <v>257</v>
      </c>
      <c r="BB64" s="0" t="s">
        <v>90</v>
      </c>
      <c r="BC64" s="0" t="s">
        <v>241</v>
      </c>
      <c r="BD64" s="15" t="s">
        <v>258</v>
      </c>
      <c r="BE64" s="37" t="s">
        <v>92</v>
      </c>
    </row>
    <row r="65" customFormat="false" ht="16.4" hidden="false" customHeight="false" outlineLevel="0" collapsed="false">
      <c r="A65" s="36" t="n">
        <f aca="false">IF(B65=0,"",MAX($A$3:A64)+1)</f>
        <v>52</v>
      </c>
      <c r="B65" s="36" t="n">
        <f aca="false">IF(OR(M65="FLETE",M65="FLETE ENVIO GARANTIA",M65="FLETE RECOLECCION GARANTIA",M65="COMPENSACION"),0,1)</f>
        <v>1</v>
      </c>
      <c r="D65" s="10" t="s">
        <v>244</v>
      </c>
      <c r="J65" s="0" t="s">
        <v>245</v>
      </c>
      <c r="K65" s="0" t="s">
        <v>345</v>
      </c>
      <c r="L65" s="0" t="s">
        <v>386</v>
      </c>
      <c r="M65" s="0" t="s">
        <v>387</v>
      </c>
      <c r="N65" s="0" t="n">
        <v>1</v>
      </c>
      <c r="P65" s="0" t="s">
        <v>249</v>
      </c>
      <c r="Q65" s="0" t="s">
        <v>348</v>
      </c>
      <c r="R65" s="0" t="s">
        <v>349</v>
      </c>
      <c r="T65" s="0" t="s">
        <v>388</v>
      </c>
      <c r="V65" s="0" t="s">
        <v>245</v>
      </c>
      <c r="W65" s="12" t="n">
        <v>0</v>
      </c>
      <c r="Y65" s="12" t="s">
        <v>238</v>
      </c>
      <c r="AG65" s="0" t="s">
        <v>10</v>
      </c>
      <c r="AL65" s="13" t="n">
        <v>39900</v>
      </c>
      <c r="AM65" s="14" t="n">
        <v>0</v>
      </c>
      <c r="AN65" s="13" t="n">
        <v>47481</v>
      </c>
      <c r="AO65" s="13" t="n">
        <v>7581</v>
      </c>
      <c r="AR65" s="0" t="s">
        <v>256</v>
      </c>
      <c r="AZ65" s="0" t="s">
        <v>257</v>
      </c>
      <c r="BA65" s="0" t="s">
        <v>257</v>
      </c>
      <c r="BB65" s="0" t="s">
        <v>90</v>
      </c>
      <c r="BC65" s="0" t="s">
        <v>241</v>
      </c>
      <c r="BD65" s="15" t="s">
        <v>258</v>
      </c>
      <c r="BE65" s="37" t="s">
        <v>92</v>
      </c>
    </row>
    <row r="66" customFormat="false" ht="16.4" hidden="false" customHeight="false" outlineLevel="0" collapsed="false">
      <c r="A66" s="36" t="n">
        <f aca="false">IF(B66=0,"",MAX($A$3:A65)+1)</f>
        <v>53</v>
      </c>
      <c r="B66" s="36" t="n">
        <f aca="false">IF(OR(M66="FLETE",M66="FLETE ENVIO GARANTIA",M66="FLETE RECOLECCION GARANTIA",M66="COMPENSACION"),0,1)</f>
        <v>1</v>
      </c>
      <c r="D66" s="10" t="s">
        <v>244</v>
      </c>
      <c r="J66" s="0" t="s">
        <v>245</v>
      </c>
      <c r="K66" s="0" t="s">
        <v>345</v>
      </c>
      <c r="L66" s="0" t="s">
        <v>389</v>
      </c>
      <c r="M66" s="0" t="s">
        <v>390</v>
      </c>
      <c r="N66" s="0" t="n">
        <v>1</v>
      </c>
      <c r="P66" s="0" t="s">
        <v>249</v>
      </c>
      <c r="Q66" s="0" t="s">
        <v>348</v>
      </c>
      <c r="R66" s="0" t="s">
        <v>349</v>
      </c>
      <c r="T66" s="0" t="s">
        <v>391</v>
      </c>
      <c r="V66" s="0" t="s">
        <v>245</v>
      </c>
      <c r="W66" s="12" t="n">
        <v>0</v>
      </c>
      <c r="Y66" s="0" t="s">
        <v>238</v>
      </c>
      <c r="AG66" s="0" t="s">
        <v>10</v>
      </c>
      <c r="AL66" s="13" t="n">
        <v>39900</v>
      </c>
      <c r="AM66" s="14" t="n">
        <v>0</v>
      </c>
      <c r="AN66" s="13" t="n">
        <v>47481</v>
      </c>
      <c r="AO66" s="13" t="n">
        <v>7581</v>
      </c>
      <c r="AR66" s="0" t="s">
        <v>256</v>
      </c>
      <c r="AZ66" s="0" t="s">
        <v>257</v>
      </c>
      <c r="BA66" s="0" t="s">
        <v>257</v>
      </c>
      <c r="BB66" s="0" t="s">
        <v>90</v>
      </c>
      <c r="BC66" s="0" t="s">
        <v>241</v>
      </c>
      <c r="BD66" s="15" t="s">
        <v>258</v>
      </c>
      <c r="BE66" s="37" t="s">
        <v>92</v>
      </c>
    </row>
    <row r="67" customFormat="false" ht="16.4" hidden="false" customHeight="false" outlineLevel="0" collapsed="false">
      <c r="A67" s="36" t="n">
        <f aca="false">IF(B67=0,"",MAX($A$3:A66)+1)</f>
        <v>54</v>
      </c>
      <c r="B67" s="36" t="n">
        <f aca="false">IF(OR(M67="FLETE",M67="FLETE ENVIO GARANTIA",M67="FLETE RECOLECCION GARANTIA",M67="COMPENSACION"),0,1)</f>
        <v>1</v>
      </c>
      <c r="D67" s="10" t="s">
        <v>244</v>
      </c>
      <c r="J67" s="0" t="s">
        <v>245</v>
      </c>
      <c r="K67" s="0" t="s">
        <v>345</v>
      </c>
      <c r="L67" s="0" t="s">
        <v>392</v>
      </c>
      <c r="M67" s="0" t="s">
        <v>393</v>
      </c>
      <c r="N67" s="0" t="n">
        <v>1</v>
      </c>
      <c r="P67" s="0" t="s">
        <v>249</v>
      </c>
      <c r="Q67" s="0" t="s">
        <v>348</v>
      </c>
      <c r="R67" s="0" t="s">
        <v>353</v>
      </c>
      <c r="T67" s="0" t="s">
        <v>391</v>
      </c>
      <c r="V67" s="0" t="s">
        <v>245</v>
      </c>
      <c r="W67" s="12" t="n">
        <v>0</v>
      </c>
      <c r="Y67" s="12" t="s">
        <v>238</v>
      </c>
      <c r="AG67" s="0" t="s">
        <v>10</v>
      </c>
      <c r="AL67" s="13" t="n">
        <v>39900</v>
      </c>
      <c r="AM67" s="14" t="n">
        <v>0</v>
      </c>
      <c r="AN67" s="13" t="n">
        <v>47481</v>
      </c>
      <c r="AO67" s="13" t="n">
        <v>7581</v>
      </c>
      <c r="AR67" s="0" t="s">
        <v>256</v>
      </c>
      <c r="AZ67" s="0" t="s">
        <v>257</v>
      </c>
      <c r="BA67" s="0" t="s">
        <v>257</v>
      </c>
      <c r="BB67" s="0" t="s">
        <v>90</v>
      </c>
      <c r="BC67" s="0" t="s">
        <v>241</v>
      </c>
      <c r="BD67" s="15" t="s">
        <v>258</v>
      </c>
      <c r="BE67" s="37" t="s">
        <v>92</v>
      </c>
    </row>
    <row r="68" customFormat="false" ht="16.4" hidden="false" customHeight="false" outlineLevel="0" collapsed="false">
      <c r="A68" s="36" t="n">
        <f aca="false">IF(B68=0,"",MAX($A$3:A67)+1)</f>
        <v>55</v>
      </c>
      <c r="B68" s="36" t="n">
        <f aca="false">IF(OR(M68="FLETE",M68="FLETE ENVIO GARANTIA",M68="FLETE RECOLECCION GARANTIA",M68="COMPENSACION"),0,1)</f>
        <v>1</v>
      </c>
      <c r="D68" s="10" t="s">
        <v>244</v>
      </c>
      <c r="J68" s="0" t="s">
        <v>245</v>
      </c>
      <c r="K68" s="0" t="s">
        <v>345</v>
      </c>
      <c r="L68" s="0" t="s">
        <v>394</v>
      </c>
      <c r="M68" s="0" t="s">
        <v>395</v>
      </c>
      <c r="N68" s="0" t="n">
        <v>1</v>
      </c>
      <c r="P68" s="0" t="s">
        <v>249</v>
      </c>
      <c r="Q68" s="0" t="s">
        <v>348</v>
      </c>
      <c r="R68" s="0" t="s">
        <v>396</v>
      </c>
      <c r="T68" s="0" t="s">
        <v>198</v>
      </c>
      <c r="V68" s="0" t="s">
        <v>245</v>
      </c>
      <c r="W68" s="12" t="n">
        <v>0</v>
      </c>
      <c r="Y68" s="0" t="s">
        <v>238</v>
      </c>
      <c r="AG68" s="0" t="s">
        <v>10</v>
      </c>
      <c r="AL68" s="13" t="n">
        <v>39900</v>
      </c>
      <c r="AM68" s="14" t="n">
        <v>0</v>
      </c>
      <c r="AN68" s="13" t="n">
        <v>47481</v>
      </c>
      <c r="AO68" s="13" t="n">
        <v>7581</v>
      </c>
      <c r="AR68" s="0" t="s">
        <v>256</v>
      </c>
      <c r="AZ68" s="0" t="s">
        <v>257</v>
      </c>
      <c r="BA68" s="0" t="s">
        <v>257</v>
      </c>
      <c r="BB68" s="0" t="s">
        <v>90</v>
      </c>
      <c r="BC68" s="0" t="s">
        <v>241</v>
      </c>
      <c r="BD68" s="15" t="s">
        <v>258</v>
      </c>
      <c r="BE68" s="37" t="s">
        <v>92</v>
      </c>
    </row>
    <row r="69" customFormat="false" ht="16.4" hidden="false" customHeight="false" outlineLevel="0" collapsed="false">
      <c r="A69" s="36" t="n">
        <f aca="false">IF(B69=0,"",MAX($A$3:A68)+1)</f>
        <v>56</v>
      </c>
      <c r="B69" s="36" t="n">
        <f aca="false">IF(OR(M69="FLETE",M69="FLETE ENVIO GARANTIA",M69="FLETE RECOLECCION GARANTIA",M69="COMPENSACION"),0,1)</f>
        <v>1</v>
      </c>
      <c r="D69" s="10" t="s">
        <v>244</v>
      </c>
      <c r="J69" s="0" t="s">
        <v>245</v>
      </c>
      <c r="K69" s="0" t="s">
        <v>345</v>
      </c>
      <c r="L69" s="0" t="s">
        <v>397</v>
      </c>
      <c r="M69" s="0" t="s">
        <v>398</v>
      </c>
      <c r="N69" s="0" t="n">
        <v>2</v>
      </c>
      <c r="P69" s="0" t="s">
        <v>249</v>
      </c>
      <c r="Q69" s="0" t="s">
        <v>348</v>
      </c>
      <c r="R69" s="0" t="s">
        <v>396</v>
      </c>
      <c r="T69" s="0" t="s">
        <v>388</v>
      </c>
      <c r="V69" s="0" t="s">
        <v>245</v>
      </c>
      <c r="W69" s="12" t="n">
        <v>0</v>
      </c>
      <c r="Y69" s="12" t="s">
        <v>238</v>
      </c>
      <c r="AG69" s="0" t="s">
        <v>10</v>
      </c>
      <c r="AL69" s="13" t="n">
        <v>39900</v>
      </c>
      <c r="AM69" s="14" t="n">
        <v>0</v>
      </c>
      <c r="AN69" s="13" t="n">
        <v>94962</v>
      </c>
      <c r="AO69" s="13" t="n">
        <v>15162</v>
      </c>
      <c r="AR69" s="0" t="s">
        <v>256</v>
      </c>
      <c r="AZ69" s="0" t="s">
        <v>257</v>
      </c>
      <c r="BA69" s="0" t="s">
        <v>257</v>
      </c>
      <c r="BB69" s="0" t="s">
        <v>90</v>
      </c>
      <c r="BC69" s="0" t="s">
        <v>241</v>
      </c>
      <c r="BD69" s="15" t="s">
        <v>258</v>
      </c>
      <c r="BE69" s="37" t="s">
        <v>92</v>
      </c>
    </row>
    <row r="70" customFormat="false" ht="16.4" hidden="false" customHeight="false" outlineLevel="0" collapsed="false">
      <c r="A70" s="36" t="n">
        <f aca="false">IF(B70=0,"",MAX($A$3:A69)+1)</f>
        <v>57</v>
      </c>
      <c r="B70" s="36" t="n">
        <f aca="false">IF(OR(M70="FLETE",M70="FLETE ENVIO GARANTIA",M70="FLETE RECOLECCION GARANTIA",M70="COMPENSACION"),0,1)</f>
        <v>1</v>
      </c>
      <c r="D70" s="10" t="s">
        <v>244</v>
      </c>
      <c r="J70" s="0" t="s">
        <v>245</v>
      </c>
      <c r="K70" s="0" t="s">
        <v>345</v>
      </c>
      <c r="L70" s="0" t="s">
        <v>399</v>
      </c>
      <c r="M70" s="0" t="s">
        <v>400</v>
      </c>
      <c r="N70" s="0" t="n">
        <v>2</v>
      </c>
      <c r="P70" s="0" t="s">
        <v>249</v>
      </c>
      <c r="Q70" s="0" t="s">
        <v>348</v>
      </c>
      <c r="R70" s="0" t="s">
        <v>396</v>
      </c>
      <c r="T70" s="0" t="s">
        <v>391</v>
      </c>
      <c r="V70" s="0" t="s">
        <v>245</v>
      </c>
      <c r="W70" s="12" t="n">
        <v>0</v>
      </c>
      <c r="Y70" s="0" t="s">
        <v>238</v>
      </c>
      <c r="AG70" s="0" t="s">
        <v>10</v>
      </c>
      <c r="AL70" s="13" t="n">
        <v>39900</v>
      </c>
      <c r="AM70" s="14" t="n">
        <v>0</v>
      </c>
      <c r="AN70" s="13" t="n">
        <v>94962</v>
      </c>
      <c r="AO70" s="13" t="n">
        <v>15162</v>
      </c>
      <c r="AR70" s="0" t="s">
        <v>256</v>
      </c>
      <c r="AZ70" s="0" t="s">
        <v>257</v>
      </c>
      <c r="BA70" s="0" t="s">
        <v>257</v>
      </c>
      <c r="BB70" s="0" t="s">
        <v>90</v>
      </c>
      <c r="BC70" s="0" t="s">
        <v>241</v>
      </c>
      <c r="BD70" s="15" t="s">
        <v>258</v>
      </c>
      <c r="BE70" s="37" t="s">
        <v>92</v>
      </c>
    </row>
    <row r="71" customFormat="false" ht="16.4" hidden="false" customHeight="false" outlineLevel="0" collapsed="false">
      <c r="A71" s="36" t="n">
        <f aca="false">IF(B71=0,"",MAX($A$3:A70)+1)</f>
        <v>58</v>
      </c>
      <c r="B71" s="36" t="n">
        <f aca="false">IF(OR(M71="FLETE",M71="FLETE ENVIO GARANTIA",M71="FLETE RECOLECCION GARANTIA",M71="COMPENSACION"),0,1)</f>
        <v>1</v>
      </c>
      <c r="D71" s="10" t="s">
        <v>244</v>
      </c>
      <c r="J71" s="0" t="s">
        <v>245</v>
      </c>
      <c r="K71" s="0" t="s">
        <v>345</v>
      </c>
      <c r="L71" s="0" t="s">
        <v>401</v>
      </c>
      <c r="M71" s="0" t="s">
        <v>402</v>
      </c>
      <c r="N71" s="0" t="n">
        <v>1</v>
      </c>
      <c r="P71" s="0" t="s">
        <v>249</v>
      </c>
      <c r="Q71" s="0" t="s">
        <v>348</v>
      </c>
      <c r="R71" s="0" t="s">
        <v>356</v>
      </c>
      <c r="T71" s="0" t="s">
        <v>350</v>
      </c>
      <c r="V71" s="0" t="s">
        <v>245</v>
      </c>
      <c r="W71" s="12" t="n">
        <v>0</v>
      </c>
      <c r="Y71" s="12" t="s">
        <v>238</v>
      </c>
      <c r="AG71" s="0" t="s">
        <v>10</v>
      </c>
      <c r="AL71" s="13" t="n">
        <v>43900</v>
      </c>
      <c r="AM71" s="14" t="n">
        <v>0</v>
      </c>
      <c r="AN71" s="13" t="n">
        <v>52241</v>
      </c>
      <c r="AO71" s="13" t="n">
        <v>8341</v>
      </c>
      <c r="AR71" s="0" t="s">
        <v>256</v>
      </c>
      <c r="AZ71" s="0" t="s">
        <v>257</v>
      </c>
      <c r="BA71" s="0" t="s">
        <v>257</v>
      </c>
      <c r="BB71" s="0" t="s">
        <v>90</v>
      </c>
      <c r="BC71" s="0" t="s">
        <v>241</v>
      </c>
      <c r="BD71" s="15" t="s">
        <v>258</v>
      </c>
      <c r="BE71" s="37" t="s">
        <v>92</v>
      </c>
    </row>
    <row r="72" customFormat="false" ht="16.4" hidden="false" customHeight="false" outlineLevel="0" collapsed="false">
      <c r="A72" s="36" t="n">
        <f aca="false">IF(B72=0,"",MAX($A$3:A71)+1)</f>
        <v>59</v>
      </c>
      <c r="B72" s="36" t="n">
        <f aca="false">IF(OR(M72="FLETE",M72="FLETE ENVIO GARANTIA",M72="FLETE RECOLECCION GARANTIA",M72="COMPENSACION"),0,1)</f>
        <v>1</v>
      </c>
      <c r="D72" s="10" t="s">
        <v>244</v>
      </c>
      <c r="J72" s="0" t="s">
        <v>245</v>
      </c>
      <c r="K72" s="0" t="s">
        <v>345</v>
      </c>
      <c r="L72" s="0" t="s">
        <v>403</v>
      </c>
      <c r="M72" s="0" t="s">
        <v>404</v>
      </c>
      <c r="N72" s="0" t="n">
        <v>2</v>
      </c>
      <c r="P72" s="0" t="s">
        <v>249</v>
      </c>
      <c r="Q72" s="0" t="s">
        <v>348</v>
      </c>
      <c r="R72" s="0" t="s">
        <v>356</v>
      </c>
      <c r="T72" s="0" t="s">
        <v>388</v>
      </c>
      <c r="V72" s="0" t="s">
        <v>245</v>
      </c>
      <c r="W72" s="12" t="n">
        <v>0</v>
      </c>
      <c r="Y72" s="0" t="s">
        <v>238</v>
      </c>
      <c r="AG72" s="0" t="s">
        <v>10</v>
      </c>
      <c r="AL72" s="13" t="n">
        <v>43900</v>
      </c>
      <c r="AM72" s="14" t="n">
        <v>0</v>
      </c>
      <c r="AN72" s="13" t="n">
        <v>104482</v>
      </c>
      <c r="AO72" s="13" t="n">
        <v>16682</v>
      </c>
      <c r="AR72" s="0" t="s">
        <v>256</v>
      </c>
      <c r="AZ72" s="0" t="s">
        <v>257</v>
      </c>
      <c r="BA72" s="0" t="s">
        <v>257</v>
      </c>
      <c r="BB72" s="0" t="s">
        <v>90</v>
      </c>
      <c r="BC72" s="0" t="s">
        <v>241</v>
      </c>
      <c r="BD72" s="15" t="s">
        <v>258</v>
      </c>
      <c r="BE72" s="37" t="s">
        <v>92</v>
      </c>
    </row>
    <row r="73" customFormat="false" ht="16.4" hidden="false" customHeight="false" outlineLevel="0" collapsed="false">
      <c r="A73" s="36" t="n">
        <f aca="false">IF(B73=0,"",MAX($A$3:A72)+1)</f>
        <v>60</v>
      </c>
      <c r="B73" s="36" t="n">
        <f aca="false">IF(OR(M73="FLETE",M73="FLETE ENVIO GARANTIA",M73="FLETE RECOLECCION GARANTIA",M73="COMPENSACION"),0,1)</f>
        <v>1</v>
      </c>
      <c r="D73" s="10" t="s">
        <v>244</v>
      </c>
      <c r="J73" s="0" t="s">
        <v>245</v>
      </c>
      <c r="K73" s="0" t="s">
        <v>345</v>
      </c>
      <c r="L73" s="0" t="s">
        <v>405</v>
      </c>
      <c r="M73" s="0" t="s">
        <v>406</v>
      </c>
      <c r="N73" s="0" t="n">
        <v>1</v>
      </c>
      <c r="P73" s="0" t="s">
        <v>249</v>
      </c>
      <c r="Q73" s="0" t="s">
        <v>348</v>
      </c>
      <c r="R73" s="0" t="s">
        <v>407</v>
      </c>
      <c r="V73" s="0" t="s">
        <v>245</v>
      </c>
      <c r="W73" s="12" t="n">
        <v>0</v>
      </c>
      <c r="Y73" s="12" t="s">
        <v>238</v>
      </c>
      <c r="AG73" s="0" t="s">
        <v>10</v>
      </c>
      <c r="AL73" s="13" t="n">
        <v>32900</v>
      </c>
      <c r="AM73" s="14" t="n">
        <v>0</v>
      </c>
      <c r="AN73" s="13" t="n">
        <v>39151</v>
      </c>
      <c r="AO73" s="13" t="n">
        <v>6251</v>
      </c>
      <c r="AR73" s="0" t="s">
        <v>256</v>
      </c>
      <c r="AZ73" s="0" t="s">
        <v>257</v>
      </c>
      <c r="BA73" s="0" t="s">
        <v>257</v>
      </c>
      <c r="BB73" s="0" t="s">
        <v>90</v>
      </c>
      <c r="BC73" s="0" t="s">
        <v>241</v>
      </c>
      <c r="BD73" s="15" t="s">
        <v>258</v>
      </c>
      <c r="BE73" s="37" t="s">
        <v>92</v>
      </c>
    </row>
    <row r="74" customFormat="false" ht="16.4" hidden="false" customHeight="false" outlineLevel="0" collapsed="false">
      <c r="A74" s="36" t="n">
        <f aca="false">IF(B74=0,"",MAX($A$3:A73)+1)</f>
        <v>61</v>
      </c>
      <c r="B74" s="36" t="n">
        <f aca="false">IF(OR(M74="FLETE",M74="FLETE ENVIO GARANTIA",M74="FLETE RECOLECCION GARANTIA",M74="COMPENSACION"),0,1)</f>
        <v>1</v>
      </c>
      <c r="D74" s="10" t="s">
        <v>244</v>
      </c>
      <c r="J74" s="0" t="s">
        <v>245</v>
      </c>
      <c r="K74" s="0" t="s">
        <v>345</v>
      </c>
      <c r="L74" s="0" t="s">
        <v>408</v>
      </c>
      <c r="M74" s="0" t="s">
        <v>409</v>
      </c>
      <c r="N74" s="0" t="n">
        <v>1</v>
      </c>
      <c r="P74" s="0" t="s">
        <v>249</v>
      </c>
      <c r="Q74" s="0" t="s">
        <v>348</v>
      </c>
      <c r="R74" s="0" t="s">
        <v>410</v>
      </c>
      <c r="V74" s="0" t="s">
        <v>245</v>
      </c>
      <c r="W74" s="0" t="n">
        <v>0</v>
      </c>
      <c r="Y74" s="0" t="s">
        <v>238</v>
      </c>
      <c r="AG74" s="0" t="s">
        <v>10</v>
      </c>
      <c r="AL74" s="13" t="n">
        <v>32900</v>
      </c>
      <c r="AM74" s="14" t="n">
        <v>0</v>
      </c>
      <c r="AN74" s="13" t="n">
        <v>39151</v>
      </c>
      <c r="AO74" s="13" t="n">
        <v>6251</v>
      </c>
      <c r="AR74" s="0" t="s">
        <v>256</v>
      </c>
      <c r="AZ74" s="0" t="s">
        <v>257</v>
      </c>
      <c r="BA74" s="0" t="s">
        <v>257</v>
      </c>
      <c r="BB74" s="0" t="s">
        <v>90</v>
      </c>
      <c r="BC74" s="0" t="s">
        <v>241</v>
      </c>
      <c r="BD74" s="15" t="s">
        <v>258</v>
      </c>
      <c r="BE74" s="37" t="s">
        <v>92</v>
      </c>
    </row>
    <row r="75" customFormat="false" ht="16.4" hidden="false" customHeight="false" outlineLevel="0" collapsed="false">
      <c r="A75" s="36" t="n">
        <f aca="false">IF(B75=0,"",MAX($A$3:A74)+1)</f>
        <v>62</v>
      </c>
      <c r="B75" s="36" t="n">
        <f aca="false">IF(OR(M75="FLETE",M75="FLETE ENVIO GARANTIA",M75="FLETE RECOLECCION GARANTIA",M75="COMPENSACION"),0,1)</f>
        <v>1</v>
      </c>
      <c r="D75" s="10" t="s">
        <v>244</v>
      </c>
      <c r="J75" s="0" t="s">
        <v>245</v>
      </c>
      <c r="K75" s="0" t="s">
        <v>345</v>
      </c>
      <c r="L75" s="0" t="s">
        <v>411</v>
      </c>
      <c r="M75" s="0" t="s">
        <v>412</v>
      </c>
      <c r="N75" s="0" t="n">
        <v>1</v>
      </c>
      <c r="P75" s="0" t="s">
        <v>249</v>
      </c>
      <c r="Q75" s="0" t="s">
        <v>348</v>
      </c>
      <c r="R75" s="0" t="s">
        <v>413</v>
      </c>
      <c r="V75" s="0" t="s">
        <v>245</v>
      </c>
      <c r="W75" s="12" t="n">
        <v>0</v>
      </c>
      <c r="Y75" s="12" t="s">
        <v>238</v>
      </c>
      <c r="AG75" s="0" t="s">
        <v>10</v>
      </c>
      <c r="AL75" s="13" t="n">
        <v>32900</v>
      </c>
      <c r="AM75" s="14" t="n">
        <v>0</v>
      </c>
      <c r="AN75" s="13" t="n">
        <v>39151</v>
      </c>
      <c r="AO75" s="13" t="n">
        <v>6251</v>
      </c>
      <c r="AR75" s="0" t="s">
        <v>256</v>
      </c>
      <c r="AZ75" s="0" t="s">
        <v>257</v>
      </c>
      <c r="BA75" s="0" t="s">
        <v>257</v>
      </c>
      <c r="BB75" s="0" t="s">
        <v>90</v>
      </c>
      <c r="BC75" s="0" t="s">
        <v>241</v>
      </c>
      <c r="BD75" s="15" t="s">
        <v>258</v>
      </c>
      <c r="BE75" s="37" t="s">
        <v>92</v>
      </c>
    </row>
    <row r="76" customFormat="false" ht="16.4" hidden="false" customHeight="false" outlineLevel="0" collapsed="false">
      <c r="A76" s="36" t="n">
        <f aca="false">IF(B76=0,"",MAX($A$3:A75)+1)</f>
        <v>63</v>
      </c>
      <c r="B76" s="36" t="n">
        <f aca="false">IF(OR(M76="FLETE",M76="FLETE ENVIO GARANTIA",M76="FLETE RECOLECCION GARANTIA",M76="COMPENSACION"),0,1)</f>
        <v>1</v>
      </c>
      <c r="D76" s="10" t="s">
        <v>244</v>
      </c>
      <c r="J76" s="0" t="s">
        <v>245</v>
      </c>
      <c r="K76" s="0" t="s">
        <v>345</v>
      </c>
      <c r="L76" s="0" t="s">
        <v>414</v>
      </c>
      <c r="M76" s="0" t="s">
        <v>415</v>
      </c>
      <c r="N76" s="0" t="n">
        <v>1</v>
      </c>
      <c r="P76" s="0" t="s">
        <v>249</v>
      </c>
      <c r="Q76" s="0" t="s">
        <v>348</v>
      </c>
      <c r="R76" s="0" t="s">
        <v>416</v>
      </c>
      <c r="V76" s="0" t="s">
        <v>245</v>
      </c>
      <c r="W76" s="12" t="n">
        <v>0</v>
      </c>
      <c r="Y76" s="12" t="s">
        <v>238</v>
      </c>
      <c r="AG76" s="0" t="s">
        <v>10</v>
      </c>
      <c r="AL76" s="13" t="n">
        <v>33900</v>
      </c>
      <c r="AM76" s="14" t="n">
        <v>0</v>
      </c>
      <c r="AN76" s="13" t="n">
        <v>40341</v>
      </c>
      <c r="AO76" s="13" t="n">
        <v>6441</v>
      </c>
      <c r="AR76" s="0" t="s">
        <v>256</v>
      </c>
      <c r="AZ76" s="0" t="s">
        <v>257</v>
      </c>
      <c r="BA76" s="0" t="s">
        <v>257</v>
      </c>
      <c r="BB76" s="0" t="s">
        <v>90</v>
      </c>
      <c r="BC76" s="0" t="s">
        <v>241</v>
      </c>
      <c r="BD76" s="15" t="s">
        <v>258</v>
      </c>
      <c r="BE76" s="37" t="s">
        <v>92</v>
      </c>
    </row>
    <row r="77" customFormat="false" ht="16.4" hidden="false" customHeight="false" outlineLevel="0" collapsed="false">
      <c r="A77" s="36" t="n">
        <f aca="false">IF(B77=0,"",MAX($A$3:A76)+1)</f>
        <v>64</v>
      </c>
      <c r="B77" s="36" t="n">
        <f aca="false">IF(OR(M77="FLETE",M77="FLETE ENVIO GARANTIA",M77="FLETE RECOLECCION GARANTIA",M77="COMPENSACION"),0,1)</f>
        <v>1</v>
      </c>
      <c r="D77" s="10" t="s">
        <v>244</v>
      </c>
      <c r="J77" s="0" t="s">
        <v>245</v>
      </c>
      <c r="K77" s="0" t="s">
        <v>345</v>
      </c>
      <c r="L77" s="0" t="s">
        <v>417</v>
      </c>
      <c r="M77" s="0" t="s">
        <v>418</v>
      </c>
      <c r="N77" s="0" t="n">
        <v>1</v>
      </c>
      <c r="P77" s="0" t="s">
        <v>249</v>
      </c>
      <c r="Q77" s="0" t="s">
        <v>348</v>
      </c>
      <c r="R77" s="0" t="s">
        <v>419</v>
      </c>
      <c r="V77" s="0" t="s">
        <v>245</v>
      </c>
      <c r="W77" s="12" t="n">
        <v>0</v>
      </c>
      <c r="Y77" s="12" t="s">
        <v>238</v>
      </c>
      <c r="AG77" s="0" t="s">
        <v>10</v>
      </c>
      <c r="AL77" s="13" t="n">
        <v>26900</v>
      </c>
      <c r="AM77" s="14" t="n">
        <v>0</v>
      </c>
      <c r="AN77" s="13" t="n">
        <v>32011</v>
      </c>
      <c r="AO77" s="13" t="n">
        <v>5111</v>
      </c>
      <c r="AR77" s="0" t="s">
        <v>256</v>
      </c>
      <c r="AZ77" s="0" t="s">
        <v>257</v>
      </c>
      <c r="BA77" s="0" t="s">
        <v>257</v>
      </c>
      <c r="BB77" s="0" t="s">
        <v>90</v>
      </c>
      <c r="BC77" s="0" t="s">
        <v>241</v>
      </c>
      <c r="BD77" s="15" t="s">
        <v>258</v>
      </c>
      <c r="BE77" s="37" t="s">
        <v>92</v>
      </c>
    </row>
    <row r="78" customFormat="false" ht="16.4" hidden="false" customHeight="false" outlineLevel="0" collapsed="false">
      <c r="A78" s="36" t="n">
        <f aca="false">IF(B78=0,"",MAX($A$3:A77)+1)</f>
        <v>65</v>
      </c>
      <c r="B78" s="36" t="n">
        <f aca="false">IF(OR(M78="FLETE",M78="FLETE ENVIO GARANTIA",M78="FLETE RECOLECCION GARANTIA",M78="COMPENSACION"),0,1)</f>
        <v>1</v>
      </c>
      <c r="D78" s="10" t="s">
        <v>244</v>
      </c>
      <c r="J78" s="0" t="s">
        <v>245</v>
      </c>
      <c r="K78" s="0" t="s">
        <v>345</v>
      </c>
      <c r="L78" s="0" t="s">
        <v>420</v>
      </c>
      <c r="M78" s="0" t="s">
        <v>421</v>
      </c>
      <c r="N78" s="0" t="n">
        <v>1</v>
      </c>
      <c r="P78" s="0" t="s">
        <v>249</v>
      </c>
      <c r="Q78" s="0" t="s">
        <v>348</v>
      </c>
      <c r="R78" s="0" t="s">
        <v>422</v>
      </c>
      <c r="V78" s="0" t="s">
        <v>245</v>
      </c>
      <c r="W78" s="12" t="n">
        <v>0</v>
      </c>
      <c r="Y78" s="12" t="s">
        <v>238</v>
      </c>
      <c r="AG78" s="0" t="s">
        <v>10</v>
      </c>
      <c r="AL78" s="13" t="n">
        <v>19900</v>
      </c>
      <c r="AM78" s="14" t="n">
        <v>0</v>
      </c>
      <c r="AN78" s="13" t="n">
        <v>23681</v>
      </c>
      <c r="AO78" s="13" t="n">
        <v>3781</v>
      </c>
      <c r="AR78" s="0" t="s">
        <v>256</v>
      </c>
      <c r="AZ78" s="0" t="s">
        <v>257</v>
      </c>
      <c r="BA78" s="0" t="s">
        <v>257</v>
      </c>
      <c r="BB78" s="0" t="s">
        <v>90</v>
      </c>
      <c r="BC78" s="0" t="s">
        <v>241</v>
      </c>
      <c r="BD78" s="15" t="s">
        <v>258</v>
      </c>
      <c r="BE78" s="37" t="s">
        <v>92</v>
      </c>
    </row>
    <row r="79" customFormat="false" ht="16.4" hidden="false" customHeight="false" outlineLevel="0" collapsed="false">
      <c r="A79" s="36" t="n">
        <f aca="false">IF(B79=0,"",MAX($A$3:A78)+1)</f>
        <v>66</v>
      </c>
      <c r="B79" s="36" t="n">
        <f aca="false">IF(OR(M79="FLETE",M79="FLETE ENVIO GARANTIA",M79="FLETE RECOLECCION GARANTIA",M79="COMPENSACION"),0,1)</f>
        <v>1</v>
      </c>
      <c r="D79" s="10" t="s">
        <v>244</v>
      </c>
      <c r="J79" s="0" t="s">
        <v>245</v>
      </c>
      <c r="K79" s="0" t="s">
        <v>345</v>
      </c>
      <c r="L79" s="0" t="s">
        <v>423</v>
      </c>
      <c r="M79" s="0" t="s">
        <v>424</v>
      </c>
      <c r="N79" s="0" t="n">
        <v>2</v>
      </c>
      <c r="P79" s="0" t="s">
        <v>249</v>
      </c>
      <c r="Q79" s="0" t="s">
        <v>348</v>
      </c>
      <c r="R79" s="0" t="s">
        <v>353</v>
      </c>
      <c r="T79" s="0" t="s">
        <v>388</v>
      </c>
      <c r="V79" s="0" t="s">
        <v>245</v>
      </c>
      <c r="W79" s="12" t="n">
        <v>0</v>
      </c>
      <c r="Y79" s="0" t="s">
        <v>238</v>
      </c>
      <c r="AG79" s="0" t="s">
        <v>10</v>
      </c>
      <c r="AL79" s="13" t="n">
        <v>39900</v>
      </c>
      <c r="AM79" s="14" t="n">
        <v>0</v>
      </c>
      <c r="AN79" s="13" t="n">
        <v>94962</v>
      </c>
      <c r="AO79" s="13" t="n">
        <v>15162</v>
      </c>
      <c r="AR79" s="0" t="s">
        <v>256</v>
      </c>
      <c r="AZ79" s="0" t="s">
        <v>257</v>
      </c>
      <c r="BA79" s="0" t="s">
        <v>257</v>
      </c>
      <c r="BB79" s="0" t="s">
        <v>90</v>
      </c>
      <c r="BC79" s="0" t="s">
        <v>241</v>
      </c>
      <c r="BD79" s="15" t="s">
        <v>258</v>
      </c>
      <c r="BE79" s="37" t="s">
        <v>92</v>
      </c>
    </row>
    <row r="80" customFormat="false" ht="16.4" hidden="false" customHeight="false" outlineLevel="0" collapsed="false">
      <c r="A80" s="36" t="n">
        <f aca="false">IF(B80=0,"",MAX($A$3:A79)+1)</f>
        <v>67</v>
      </c>
      <c r="B80" s="36" t="n">
        <f aca="false">IF(OR(M80="FLETE",M80="FLETE ENVIO GARANTIA",M80="FLETE RECOLECCION GARANTIA",M80="COMPENSACION"),0,1)</f>
        <v>1</v>
      </c>
      <c r="D80" s="10" t="s">
        <v>244</v>
      </c>
      <c r="J80" s="0" t="s">
        <v>245</v>
      </c>
      <c r="K80" s="0" t="s">
        <v>345</v>
      </c>
      <c r="L80" s="0" t="s">
        <v>425</v>
      </c>
      <c r="M80" s="0" t="s">
        <v>426</v>
      </c>
      <c r="N80" s="0" t="n">
        <v>1</v>
      </c>
      <c r="P80" s="0" t="s">
        <v>249</v>
      </c>
      <c r="Q80" s="0" t="s">
        <v>348</v>
      </c>
      <c r="R80" s="0" t="s">
        <v>356</v>
      </c>
      <c r="T80" s="0" t="s">
        <v>391</v>
      </c>
      <c r="V80" s="0" t="s">
        <v>245</v>
      </c>
      <c r="W80" s="12" t="n">
        <v>0</v>
      </c>
      <c r="Y80" s="12" t="s">
        <v>238</v>
      </c>
      <c r="AG80" s="0" t="s">
        <v>10</v>
      </c>
      <c r="AL80" s="13" t="n">
        <v>43900</v>
      </c>
      <c r="AM80" s="14" t="n">
        <v>0</v>
      </c>
      <c r="AN80" s="13" t="n">
        <v>52241</v>
      </c>
      <c r="AO80" s="13" t="n">
        <v>8341</v>
      </c>
      <c r="AR80" s="0" t="s">
        <v>256</v>
      </c>
      <c r="AZ80" s="0" t="s">
        <v>257</v>
      </c>
      <c r="BA80" s="0" t="s">
        <v>257</v>
      </c>
      <c r="BB80" s="0" t="s">
        <v>90</v>
      </c>
      <c r="BC80" s="0" t="s">
        <v>241</v>
      </c>
      <c r="BD80" s="15" t="s">
        <v>258</v>
      </c>
      <c r="BE80" s="37" t="s">
        <v>92</v>
      </c>
    </row>
    <row r="81" customFormat="false" ht="16.4" hidden="false" customHeight="false" outlineLevel="0" collapsed="false">
      <c r="A81" s="36" t="n">
        <f aca="false">IF(B81=0,"",MAX($A$3:A80)+1)</f>
        <v>68</v>
      </c>
      <c r="B81" s="36" t="n">
        <f aca="false">IF(OR(M81="FLETE",M81="FLETE ENVIO GARANTIA",M81="FLETE RECOLECCION GARANTIA",M81="COMPENSACION"),0,1)</f>
        <v>1</v>
      </c>
      <c r="D81" s="10" t="s">
        <v>244</v>
      </c>
      <c r="J81" s="0" t="s">
        <v>245</v>
      </c>
      <c r="K81" s="0" t="s">
        <v>345</v>
      </c>
      <c r="L81" s="0" t="s">
        <v>427</v>
      </c>
      <c r="M81" s="0" t="s">
        <v>428</v>
      </c>
      <c r="N81" s="0" t="n">
        <v>1</v>
      </c>
      <c r="P81" s="0" t="s">
        <v>249</v>
      </c>
      <c r="Q81" s="0" t="s">
        <v>348</v>
      </c>
      <c r="R81" s="0" t="s">
        <v>429</v>
      </c>
      <c r="V81" s="0" t="s">
        <v>245</v>
      </c>
      <c r="W81" s="12" t="n">
        <v>0</v>
      </c>
      <c r="Y81" s="12" t="s">
        <v>238</v>
      </c>
      <c r="AG81" s="0" t="s">
        <v>10</v>
      </c>
      <c r="AL81" s="13" t="n">
        <v>32900</v>
      </c>
      <c r="AM81" s="14" t="n">
        <v>0</v>
      </c>
      <c r="AN81" s="13" t="n">
        <v>39151</v>
      </c>
      <c r="AO81" s="13" t="n">
        <v>6251</v>
      </c>
      <c r="AR81" s="0" t="s">
        <v>256</v>
      </c>
      <c r="AZ81" s="0" t="s">
        <v>257</v>
      </c>
      <c r="BA81" s="0" t="s">
        <v>257</v>
      </c>
      <c r="BB81" s="0" t="s">
        <v>90</v>
      </c>
      <c r="BC81" s="0" t="s">
        <v>241</v>
      </c>
      <c r="BD81" s="15" t="s">
        <v>258</v>
      </c>
      <c r="BE81" s="37" t="s">
        <v>92</v>
      </c>
    </row>
    <row r="82" customFormat="false" ht="16.4" hidden="false" customHeight="false" outlineLevel="0" collapsed="false">
      <c r="A82" s="36" t="n">
        <f aca="false">IF(B82=0,"",MAX($A$3:A81)+1)</f>
        <v>69</v>
      </c>
      <c r="B82" s="36" t="n">
        <f aca="false">IF(OR(M82="FLETE",M82="FLETE ENVIO GARANTIA",M82="FLETE RECOLECCION GARANTIA",M82="COMPENSACION"),0,1)</f>
        <v>1</v>
      </c>
      <c r="C82" s="0" t="s">
        <v>430</v>
      </c>
      <c r="D82" s="10" t="n">
        <v>13938687</v>
      </c>
      <c r="E82" s="11" t="n">
        <v>45707</v>
      </c>
      <c r="F82" s="11" t="n">
        <v>45717</v>
      </c>
      <c r="G82" s="11" t="n">
        <v>45719</v>
      </c>
      <c r="I82" s="11" t="n">
        <v>45721</v>
      </c>
      <c r="J82" s="0" t="s">
        <v>431</v>
      </c>
      <c r="K82" s="0" t="s">
        <v>214</v>
      </c>
      <c r="L82" s="0" t="s">
        <v>432</v>
      </c>
      <c r="M82" s="0" t="s">
        <v>433</v>
      </c>
      <c r="N82" s="0" t="n">
        <v>8</v>
      </c>
      <c r="P82" s="0" t="s">
        <v>217</v>
      </c>
      <c r="Q82" s="0" t="s">
        <v>218</v>
      </c>
      <c r="R82" s="0" t="s">
        <v>434</v>
      </c>
      <c r="S82" s="0" t="s">
        <v>435</v>
      </c>
      <c r="T82" s="0" t="s">
        <v>436</v>
      </c>
      <c r="U82" s="0" t="s">
        <v>437</v>
      </c>
      <c r="V82" s="0" t="s">
        <v>438</v>
      </c>
      <c r="W82" s="12" t="n">
        <v>0</v>
      </c>
      <c r="Y82" s="12" t="s">
        <v>439</v>
      </c>
      <c r="Z82" s="0" t="s">
        <v>179</v>
      </c>
      <c r="AB82" s="0" t="s">
        <v>440</v>
      </c>
      <c r="AC82" s="0" t="s">
        <v>441</v>
      </c>
      <c r="AE82" s="0" t="n">
        <v>0</v>
      </c>
      <c r="AF82" s="0" t="s">
        <v>442</v>
      </c>
      <c r="AG82" s="0" t="s">
        <v>10</v>
      </c>
      <c r="AH82" s="0" t="n">
        <v>1</v>
      </c>
      <c r="AK82" s="0" t="s">
        <v>85</v>
      </c>
      <c r="AL82" s="13" t="n">
        <v>677600</v>
      </c>
      <c r="AM82" s="14" t="n">
        <v>0</v>
      </c>
      <c r="AN82" s="13" t="n">
        <v>6450752</v>
      </c>
      <c r="AO82" s="13" t="n">
        <v>1029952</v>
      </c>
      <c r="AP82" s="0" t="n">
        <v>0</v>
      </c>
      <c r="AR82" s="0" t="s">
        <v>443</v>
      </c>
      <c r="AS82" s="0" t="n">
        <v>9676128</v>
      </c>
      <c r="AT82" s="0" t="s">
        <v>441</v>
      </c>
      <c r="AU82" s="0" t="s">
        <v>444</v>
      </c>
      <c r="AV82" s="0" t="s">
        <v>445</v>
      </c>
      <c r="AX82" s="0" t="s">
        <v>438</v>
      </c>
      <c r="AY82" s="0" t="s">
        <v>440</v>
      </c>
      <c r="AZ82" s="0" t="s">
        <v>89</v>
      </c>
      <c r="BA82" s="0" t="s">
        <v>89</v>
      </c>
      <c r="BB82" s="0" t="s">
        <v>90</v>
      </c>
      <c r="BC82" s="0" t="n">
        <v>0</v>
      </c>
      <c r="BD82" s="15" t="s">
        <v>446</v>
      </c>
      <c r="BE82" s="37" t="s">
        <v>92</v>
      </c>
    </row>
    <row r="83" customFormat="false" ht="16.4" hidden="false" customHeight="false" outlineLevel="0" collapsed="false">
      <c r="A83" s="36" t="n">
        <f aca="false">IF(B83=0,"",MAX($A$3:A82)+1)</f>
        <v>70</v>
      </c>
      <c r="B83" s="36" t="n">
        <f aca="false">IF(OR(M83="FLETE",M83="FLETE ENVIO GARANTIA",M83="FLETE RECOLECCION GARANTIA",M83="COMPENSACION"),0,1)</f>
        <v>1</v>
      </c>
      <c r="D83" s="10" t="n">
        <v>13938687</v>
      </c>
      <c r="J83" s="0" t="s">
        <v>431</v>
      </c>
      <c r="K83" s="0" t="s">
        <v>214</v>
      </c>
      <c r="L83" s="0" t="s">
        <v>447</v>
      </c>
      <c r="M83" s="0" t="s">
        <v>448</v>
      </c>
      <c r="N83" s="0" t="n">
        <v>4</v>
      </c>
      <c r="P83" s="0" t="s">
        <v>217</v>
      </c>
      <c r="Q83" s="0" t="s">
        <v>218</v>
      </c>
      <c r="R83" s="0" t="s">
        <v>434</v>
      </c>
      <c r="S83" s="0" t="s">
        <v>435</v>
      </c>
      <c r="T83" s="0" t="s">
        <v>449</v>
      </c>
      <c r="U83" s="0" t="s">
        <v>437</v>
      </c>
      <c r="V83" s="0" t="s">
        <v>438</v>
      </c>
      <c r="W83" s="12" t="n">
        <v>0</v>
      </c>
      <c r="Y83" s="0" t="s">
        <v>439</v>
      </c>
      <c r="AG83" s="0" t="s">
        <v>10</v>
      </c>
      <c r="AL83" s="13" t="n">
        <v>677600</v>
      </c>
      <c r="AM83" s="14" t="n">
        <v>0</v>
      </c>
      <c r="AN83" s="13" t="n">
        <v>3225376</v>
      </c>
      <c r="AO83" s="13" t="n">
        <v>514976</v>
      </c>
      <c r="AR83" s="0" t="s">
        <v>443</v>
      </c>
      <c r="AZ83" s="0" t="s">
        <v>89</v>
      </c>
      <c r="BA83" s="0" t="s">
        <v>89</v>
      </c>
      <c r="BB83" s="0" t="s">
        <v>90</v>
      </c>
      <c r="BC83" s="0" t="n">
        <v>0</v>
      </c>
      <c r="BD83" s="15" t="s">
        <v>446</v>
      </c>
      <c r="BE83" s="37" t="s">
        <v>92</v>
      </c>
    </row>
    <row r="84" customFormat="false" ht="16.4" hidden="false" customHeight="false" outlineLevel="0" collapsed="false">
      <c r="A84" s="36" t="str">
        <f aca="false">IF(B84=0,"",MAX($A$3:A83)+1)</f>
        <v/>
      </c>
      <c r="B84" s="36" t="n">
        <f aca="false">IF(OR(M84="FLETE",M84="FLETE ENVIO GARANTIA",M84="FLETE RECOLECCION GARANTIA",M84="COMPENSACION"),0,1)</f>
        <v>0</v>
      </c>
      <c r="D84" s="10" t="n">
        <v>13938687</v>
      </c>
      <c r="J84" s="0" t="s">
        <v>431</v>
      </c>
      <c r="K84" s="0" t="s">
        <v>93</v>
      </c>
      <c r="L84" s="0" t="s">
        <v>210</v>
      </c>
      <c r="M84" s="0" t="s">
        <v>211</v>
      </c>
      <c r="N84" s="0" t="n">
        <v>1</v>
      </c>
      <c r="P84" s="0" t="s">
        <v>73</v>
      </c>
      <c r="R84" s="0" t="s">
        <v>211</v>
      </c>
      <c r="V84" s="0" t="s">
        <v>438</v>
      </c>
      <c r="W84" s="12" t="n">
        <v>0</v>
      </c>
      <c r="Y84" s="12" t="s">
        <v>439</v>
      </c>
      <c r="AG84" s="0" t="s">
        <v>10</v>
      </c>
      <c r="AL84" s="13" t="n">
        <v>0</v>
      </c>
      <c r="AM84" s="14" t="n">
        <v>0</v>
      </c>
      <c r="AO84" s="13" t="n">
        <v>0</v>
      </c>
      <c r="AR84" s="0" t="s">
        <v>443</v>
      </c>
      <c r="AZ84" s="0" t="s">
        <v>89</v>
      </c>
      <c r="BA84" s="0" t="s">
        <v>89</v>
      </c>
      <c r="BB84" s="0" t="s">
        <v>90</v>
      </c>
      <c r="BC84" s="0" t="n">
        <v>0</v>
      </c>
      <c r="BD84" s="15" t="s">
        <v>446</v>
      </c>
      <c r="BE84" s="37" t="s">
        <v>92</v>
      </c>
    </row>
    <row r="85" customFormat="false" ht="16.4" hidden="false" customHeight="false" outlineLevel="0" collapsed="false">
      <c r="A85" s="36" t="n">
        <f aca="false">IF(B85=0,"",MAX($A$3:A84)+1)</f>
        <v>71</v>
      </c>
      <c r="B85" s="36" t="n">
        <f aca="false">IF(OR(M85="FLETE",M85="FLETE ENVIO GARANTIA",M85="FLETE RECOLECCION GARANTIA",M85="COMPENSACION"),0,1)</f>
        <v>1</v>
      </c>
      <c r="C85" s="0" t="s">
        <v>450</v>
      </c>
      <c r="D85" s="10" t="n">
        <v>13937014</v>
      </c>
      <c r="E85" s="11" t="n">
        <v>45707</v>
      </c>
      <c r="F85" s="11" t="n">
        <v>45717</v>
      </c>
      <c r="G85" s="11" t="n">
        <v>45719</v>
      </c>
      <c r="I85" s="11" t="n">
        <v>45723</v>
      </c>
      <c r="J85" s="0" t="s">
        <v>282</v>
      </c>
      <c r="K85" s="0" t="s">
        <v>153</v>
      </c>
      <c r="L85" s="0" t="s">
        <v>451</v>
      </c>
      <c r="M85" s="0" t="s">
        <v>452</v>
      </c>
      <c r="N85" s="0" t="n">
        <v>3</v>
      </c>
      <c r="P85" s="0" t="s">
        <v>138</v>
      </c>
      <c r="Q85" s="0" t="s">
        <v>156</v>
      </c>
      <c r="R85" s="0" t="s">
        <v>453</v>
      </c>
      <c r="S85" s="0" t="s">
        <v>454</v>
      </c>
      <c r="T85" s="0" t="s">
        <v>455</v>
      </c>
      <c r="U85" s="0" t="s">
        <v>456</v>
      </c>
      <c r="V85" s="0" t="s">
        <v>457</v>
      </c>
      <c r="W85" s="12" t="n">
        <v>0</v>
      </c>
      <c r="Y85" s="0" t="s">
        <v>439</v>
      </c>
      <c r="Z85" s="0" t="s">
        <v>179</v>
      </c>
      <c r="AB85" s="0" t="n">
        <v>26617058</v>
      </c>
      <c r="AC85" s="0" t="s">
        <v>458</v>
      </c>
      <c r="AE85" s="0" t="n">
        <v>3106254853</v>
      </c>
      <c r="AF85" s="0" t="n">
        <v>553167</v>
      </c>
      <c r="AG85" s="0" t="s">
        <v>5</v>
      </c>
      <c r="AK85" s="0" t="s">
        <v>85</v>
      </c>
      <c r="AL85" s="13" t="n">
        <v>194900</v>
      </c>
      <c r="AM85" s="14" t="n">
        <v>-27.1934</v>
      </c>
      <c r="AN85" s="13" t="n">
        <v>885002.77</v>
      </c>
      <c r="AO85" s="13" t="n">
        <v>141302.96</v>
      </c>
      <c r="AP85" s="0" t="n">
        <v>0</v>
      </c>
      <c r="AR85" s="0" t="s">
        <v>459</v>
      </c>
      <c r="AS85" s="0" t="n">
        <v>885002.77</v>
      </c>
      <c r="AT85" s="0" t="s">
        <v>441</v>
      </c>
      <c r="AU85" s="0" t="s">
        <v>444</v>
      </c>
      <c r="AV85" s="0" t="s">
        <v>445</v>
      </c>
      <c r="AX85" s="0" t="s">
        <v>438</v>
      </c>
      <c r="AY85" s="0" t="s">
        <v>440</v>
      </c>
      <c r="AZ85" s="0" t="s">
        <v>89</v>
      </c>
      <c r="BA85" s="0" t="s">
        <v>89</v>
      </c>
      <c r="BB85" s="0" t="s">
        <v>90</v>
      </c>
      <c r="BC85" s="0" t="n">
        <v>0</v>
      </c>
      <c r="BD85" s="15" t="s">
        <v>460</v>
      </c>
      <c r="BE85" s="37" t="s">
        <v>461</v>
      </c>
    </row>
    <row r="86" customFormat="false" ht="16.4" hidden="false" customHeight="false" outlineLevel="0" collapsed="false">
      <c r="A86" s="36" t="str">
        <f aca="false">IF(B86=0,"",MAX($A$3:A85)+1)</f>
        <v/>
      </c>
      <c r="B86" s="36" t="n">
        <f aca="false">IF(OR(M86="FLETE",M86="FLETE ENVIO GARANTIA",M86="FLETE RECOLECCION GARANTIA",M86="COMPENSACION"),0,1)</f>
        <v>0</v>
      </c>
      <c r="D86" s="10" t="n">
        <v>13937014</v>
      </c>
      <c r="J86" s="0" t="s">
        <v>282</v>
      </c>
      <c r="K86" s="0" t="s">
        <v>93</v>
      </c>
      <c r="L86" s="0" t="s">
        <v>210</v>
      </c>
      <c r="M86" s="0" t="s">
        <v>211</v>
      </c>
      <c r="N86" s="0" t="n">
        <v>1</v>
      </c>
      <c r="P86" s="0" t="s">
        <v>73</v>
      </c>
      <c r="R86" s="0" t="s">
        <v>211</v>
      </c>
      <c r="V86" s="0" t="s">
        <v>457</v>
      </c>
      <c r="W86" s="12" t="n">
        <v>0</v>
      </c>
      <c r="Y86" s="12" t="s">
        <v>439</v>
      </c>
      <c r="AG86" s="0" t="s">
        <v>5</v>
      </c>
      <c r="AL86" s="13" t="n">
        <v>0</v>
      </c>
      <c r="AM86" s="14" t="n">
        <v>0</v>
      </c>
      <c r="AO86" s="13" t="n">
        <v>0</v>
      </c>
      <c r="AR86" s="0" t="s">
        <v>459</v>
      </c>
      <c r="AZ86" s="0" t="s">
        <v>89</v>
      </c>
      <c r="BA86" s="0" t="s">
        <v>89</v>
      </c>
      <c r="BB86" s="0" t="s">
        <v>90</v>
      </c>
      <c r="BC86" s="0" t="n">
        <v>0</v>
      </c>
      <c r="BD86" s="15" t="s">
        <v>460</v>
      </c>
      <c r="BE86" s="37" t="s">
        <v>461</v>
      </c>
    </row>
    <row r="87" customFormat="false" ht="16.4" hidden="false" customHeight="false" outlineLevel="0" collapsed="false">
      <c r="A87" s="36" t="n">
        <f aca="false">IF(B87=0,"",MAX($A$3:A86)+1)</f>
        <v>72</v>
      </c>
      <c r="B87" s="36" t="n">
        <f aca="false">IF(OR(M87="FLETE",M87="FLETE ENVIO GARANTIA",M87="FLETE RECOLECCION GARANTIA",M87="COMPENSACION"),0,1)</f>
        <v>1</v>
      </c>
      <c r="C87" s="0" t="s">
        <v>462</v>
      </c>
      <c r="D87" s="10" t="s">
        <v>463</v>
      </c>
      <c r="E87" s="11" t="n">
        <v>45701</v>
      </c>
      <c r="F87" s="11" t="n">
        <v>45717</v>
      </c>
      <c r="G87" s="11" t="n">
        <v>45719</v>
      </c>
      <c r="H87" s="11" t="n">
        <v>45716</v>
      </c>
      <c r="I87" s="11" t="n">
        <v>45717</v>
      </c>
      <c r="J87" s="0" t="s">
        <v>464</v>
      </c>
      <c r="K87" s="0" t="s">
        <v>214</v>
      </c>
      <c r="L87" s="0" t="s">
        <v>465</v>
      </c>
      <c r="M87" s="0" t="s">
        <v>466</v>
      </c>
      <c r="N87" s="0" t="n">
        <v>1</v>
      </c>
      <c r="P87" s="0" t="s">
        <v>217</v>
      </c>
      <c r="Q87" s="0" t="s">
        <v>218</v>
      </c>
      <c r="R87" s="0" t="s">
        <v>467</v>
      </c>
      <c r="S87" s="0" t="s">
        <v>158</v>
      </c>
      <c r="T87" s="0" t="s">
        <v>449</v>
      </c>
      <c r="U87" s="0" t="s">
        <v>160</v>
      </c>
      <c r="V87" s="0" t="s">
        <v>464</v>
      </c>
      <c r="W87" s="12" t="n">
        <v>0</v>
      </c>
      <c r="Y87" s="0" t="s">
        <v>468</v>
      </c>
      <c r="Z87" s="0" t="s">
        <v>144</v>
      </c>
      <c r="AB87" s="0" t="s">
        <v>469</v>
      </c>
      <c r="AC87" s="0" t="s">
        <v>470</v>
      </c>
      <c r="AE87" s="0" t="s">
        <v>471</v>
      </c>
      <c r="AG87" s="0" t="s">
        <v>7</v>
      </c>
      <c r="AH87" s="0" t="n">
        <v>20</v>
      </c>
      <c r="AI87" s="0" t="s">
        <v>472</v>
      </c>
      <c r="AJ87" s="0" t="n">
        <v>22378700</v>
      </c>
      <c r="AK87" s="0" t="s">
        <v>85</v>
      </c>
      <c r="AL87" s="13" t="n">
        <v>1424285.7143</v>
      </c>
      <c r="AM87" s="14" t="n">
        <v>33</v>
      </c>
      <c r="AN87" s="13" t="n">
        <v>1135583</v>
      </c>
      <c r="AO87" s="13" t="n">
        <v>181311.57</v>
      </c>
      <c r="AP87" s="0" t="s">
        <v>473</v>
      </c>
      <c r="AR87" s="0" t="s">
        <v>474</v>
      </c>
      <c r="AS87" s="0" t="n">
        <v>24603594.97</v>
      </c>
      <c r="AT87" s="0" t="s">
        <v>470</v>
      </c>
      <c r="AU87" s="0" t="s">
        <v>468</v>
      </c>
      <c r="AV87" s="0" t="s">
        <v>471</v>
      </c>
      <c r="AX87" s="0" t="s">
        <v>464</v>
      </c>
      <c r="AY87" s="0" t="s">
        <v>469</v>
      </c>
      <c r="AZ87" s="0" t="s">
        <v>89</v>
      </c>
      <c r="BA87" s="0" t="s">
        <v>89</v>
      </c>
      <c r="BB87" s="0" t="s">
        <v>90</v>
      </c>
      <c r="BC87" s="0" t="s">
        <v>241</v>
      </c>
      <c r="BD87" s="15" t="s">
        <v>475</v>
      </c>
      <c r="BE87" s="37" t="s">
        <v>152</v>
      </c>
    </row>
    <row r="88" customFormat="false" ht="16.4" hidden="false" customHeight="false" outlineLevel="0" collapsed="false">
      <c r="A88" s="36" t="n">
        <f aca="false">IF(B88=0,"",MAX($A$3:A87)+1)</f>
        <v>73</v>
      </c>
      <c r="B88" s="36" t="n">
        <f aca="false">IF(OR(M88="FLETE",M88="FLETE ENVIO GARANTIA",M88="FLETE RECOLECCION GARANTIA",M88="COMPENSACION"),0,1)</f>
        <v>1</v>
      </c>
      <c r="D88" s="10" t="s">
        <v>463</v>
      </c>
      <c r="J88" s="0" t="s">
        <v>464</v>
      </c>
      <c r="K88" s="0" t="s">
        <v>214</v>
      </c>
      <c r="L88" s="0" t="s">
        <v>476</v>
      </c>
      <c r="M88" s="0" t="s">
        <v>477</v>
      </c>
      <c r="N88" s="0" t="n">
        <v>1</v>
      </c>
      <c r="P88" s="0" t="s">
        <v>217</v>
      </c>
      <c r="Q88" s="0" t="s">
        <v>218</v>
      </c>
      <c r="R88" s="0" t="s">
        <v>219</v>
      </c>
      <c r="S88" s="0" t="s">
        <v>220</v>
      </c>
      <c r="T88" s="0" t="s">
        <v>449</v>
      </c>
      <c r="U88" s="0" t="s">
        <v>160</v>
      </c>
      <c r="V88" s="0" t="s">
        <v>464</v>
      </c>
      <c r="W88" s="12" t="n">
        <v>0</v>
      </c>
      <c r="Y88" s="12" t="s">
        <v>468</v>
      </c>
      <c r="AG88" s="0" t="s">
        <v>7</v>
      </c>
      <c r="AL88" s="13" t="n">
        <v>1248655.4622</v>
      </c>
      <c r="AM88" s="14" t="n">
        <v>25</v>
      </c>
      <c r="AN88" s="13" t="n">
        <v>1114425</v>
      </c>
      <c r="AO88" s="13" t="n">
        <v>177933.4</v>
      </c>
      <c r="AR88" s="0" t="s">
        <v>478</v>
      </c>
      <c r="AZ88" s="0" t="s">
        <v>89</v>
      </c>
      <c r="BA88" s="0" t="s">
        <v>89</v>
      </c>
      <c r="BB88" s="0" t="s">
        <v>90</v>
      </c>
      <c r="BC88" s="0" t="s">
        <v>241</v>
      </c>
      <c r="BD88" s="15" t="s">
        <v>475</v>
      </c>
      <c r="BE88" s="37" t="s">
        <v>152</v>
      </c>
    </row>
    <row r="89" customFormat="false" ht="16.4" hidden="false" customHeight="false" outlineLevel="0" collapsed="false">
      <c r="A89" s="36" t="n">
        <f aca="false">IF(B89=0,"",MAX($A$3:A88)+1)</f>
        <v>74</v>
      </c>
      <c r="B89" s="36" t="n">
        <f aca="false">IF(OR(M89="FLETE",M89="FLETE ENVIO GARANTIA",M89="FLETE RECOLECCION GARANTIA",M89="COMPENSACION"),0,1)</f>
        <v>1</v>
      </c>
      <c r="D89" s="10" t="s">
        <v>463</v>
      </c>
      <c r="J89" s="0" t="s">
        <v>464</v>
      </c>
      <c r="K89" s="0" t="s">
        <v>479</v>
      </c>
      <c r="L89" s="0" t="s">
        <v>480</v>
      </c>
      <c r="M89" s="0" t="s">
        <v>481</v>
      </c>
      <c r="N89" s="0" t="n">
        <v>1</v>
      </c>
      <c r="P89" s="0" t="s">
        <v>217</v>
      </c>
      <c r="Q89" s="0" t="s">
        <v>482</v>
      </c>
      <c r="R89" s="0" t="s">
        <v>483</v>
      </c>
      <c r="S89" s="0" t="s">
        <v>158</v>
      </c>
      <c r="T89" s="0" t="s">
        <v>159</v>
      </c>
      <c r="U89" s="0" t="s">
        <v>160</v>
      </c>
      <c r="V89" s="0" t="s">
        <v>464</v>
      </c>
      <c r="W89" s="12" t="n">
        <v>0</v>
      </c>
      <c r="Y89" s="0" t="s">
        <v>468</v>
      </c>
      <c r="AG89" s="0" t="s">
        <v>7</v>
      </c>
      <c r="AL89" s="13" t="n">
        <v>959579.8319</v>
      </c>
      <c r="AM89" s="14" t="n">
        <v>25</v>
      </c>
      <c r="AN89" s="13" t="n">
        <v>856425</v>
      </c>
      <c r="AO89" s="13" t="n">
        <v>136740.13</v>
      </c>
      <c r="AR89" s="0" t="s">
        <v>484</v>
      </c>
      <c r="AZ89" s="0" t="s">
        <v>89</v>
      </c>
      <c r="BA89" s="0" t="s">
        <v>89</v>
      </c>
      <c r="BB89" s="0" t="s">
        <v>90</v>
      </c>
      <c r="BC89" s="0" t="s">
        <v>241</v>
      </c>
      <c r="BD89" s="15" t="s">
        <v>475</v>
      </c>
      <c r="BE89" s="37" t="s">
        <v>152</v>
      </c>
    </row>
    <row r="90" customFormat="false" ht="16.4" hidden="false" customHeight="false" outlineLevel="0" collapsed="false">
      <c r="A90" s="36" t="n">
        <f aca="false">IF(B90=0,"",MAX($A$3:A89)+1)</f>
        <v>75</v>
      </c>
      <c r="B90" s="36" t="n">
        <f aca="false">IF(OR(M90="FLETE",M90="FLETE ENVIO GARANTIA",M90="FLETE RECOLECCION GARANTIA",M90="COMPENSACION"),0,1)</f>
        <v>1</v>
      </c>
      <c r="D90" s="10" t="s">
        <v>463</v>
      </c>
      <c r="J90" s="0" t="s">
        <v>464</v>
      </c>
      <c r="K90" s="0" t="s">
        <v>214</v>
      </c>
      <c r="L90" s="0" t="s">
        <v>485</v>
      </c>
      <c r="M90" s="0" t="s">
        <v>486</v>
      </c>
      <c r="N90" s="0" t="n">
        <v>1</v>
      </c>
      <c r="P90" s="0" t="s">
        <v>217</v>
      </c>
      <c r="Q90" s="0" t="s">
        <v>218</v>
      </c>
      <c r="R90" s="0" t="s">
        <v>487</v>
      </c>
      <c r="S90" s="0" t="s">
        <v>220</v>
      </c>
      <c r="T90" s="0" t="s">
        <v>436</v>
      </c>
      <c r="U90" s="0" t="s">
        <v>199</v>
      </c>
      <c r="V90" s="0" t="s">
        <v>464</v>
      </c>
      <c r="W90" s="12" t="n">
        <v>0</v>
      </c>
      <c r="Y90" s="12" t="s">
        <v>468</v>
      </c>
      <c r="AG90" s="0" t="s">
        <v>7</v>
      </c>
      <c r="AL90" s="13" t="n">
        <v>1530168.0672</v>
      </c>
      <c r="AM90" s="14" t="n">
        <v>25</v>
      </c>
      <c r="AN90" s="13" t="n">
        <v>1365675</v>
      </c>
      <c r="AO90" s="13" t="n">
        <v>218048.95</v>
      </c>
      <c r="AR90" s="0" t="s">
        <v>488</v>
      </c>
      <c r="AZ90" s="0" t="s">
        <v>89</v>
      </c>
      <c r="BA90" s="0" t="s">
        <v>89</v>
      </c>
      <c r="BB90" s="0" t="s">
        <v>90</v>
      </c>
      <c r="BC90" s="0" t="s">
        <v>241</v>
      </c>
      <c r="BD90" s="15" t="s">
        <v>475</v>
      </c>
      <c r="BE90" s="37" t="s">
        <v>152</v>
      </c>
    </row>
    <row r="91" customFormat="false" ht="16.4" hidden="false" customHeight="false" outlineLevel="0" collapsed="false">
      <c r="A91" s="36" t="n">
        <f aca="false">IF(B91=0,"",MAX($A$3:A90)+1)</f>
        <v>76</v>
      </c>
      <c r="B91" s="36" t="n">
        <f aca="false">IF(OR(M91="FLETE",M91="FLETE ENVIO GARANTIA",M91="FLETE RECOLECCION GARANTIA",M91="COMPENSACION"),0,1)</f>
        <v>1</v>
      </c>
      <c r="D91" s="10" t="s">
        <v>463</v>
      </c>
      <c r="J91" s="0" t="s">
        <v>464</v>
      </c>
      <c r="K91" s="0" t="s">
        <v>135</v>
      </c>
      <c r="L91" s="0" t="s">
        <v>489</v>
      </c>
      <c r="M91" s="0" t="s">
        <v>490</v>
      </c>
      <c r="N91" s="0" t="n">
        <v>1</v>
      </c>
      <c r="P91" s="0" t="s">
        <v>138</v>
      </c>
      <c r="Q91" s="0" t="s">
        <v>139</v>
      </c>
      <c r="R91" s="0" t="s">
        <v>491</v>
      </c>
      <c r="T91" s="0" t="s">
        <v>198</v>
      </c>
      <c r="U91" s="0" t="s">
        <v>199</v>
      </c>
      <c r="V91" s="0" t="s">
        <v>464</v>
      </c>
      <c r="W91" s="12" t="n">
        <v>0</v>
      </c>
      <c r="Y91" s="0" t="s">
        <v>468</v>
      </c>
      <c r="AG91" s="0" t="s">
        <v>7</v>
      </c>
      <c r="AL91" s="13" t="n">
        <v>546974.7899</v>
      </c>
      <c r="AM91" s="14" t="n">
        <v>25</v>
      </c>
      <c r="AN91" s="13" t="n">
        <v>488175</v>
      </c>
      <c r="AO91" s="13" t="n">
        <v>77943.91</v>
      </c>
      <c r="AR91" s="0" t="s">
        <v>492</v>
      </c>
      <c r="AZ91" s="0" t="s">
        <v>89</v>
      </c>
      <c r="BA91" s="0" t="s">
        <v>89</v>
      </c>
      <c r="BB91" s="0" t="s">
        <v>90</v>
      </c>
      <c r="BC91" s="0" t="s">
        <v>241</v>
      </c>
      <c r="BD91" s="15" t="s">
        <v>475</v>
      </c>
      <c r="BE91" s="37" t="s">
        <v>152</v>
      </c>
    </row>
    <row r="92" customFormat="false" ht="16.4" hidden="false" customHeight="false" outlineLevel="0" collapsed="false">
      <c r="A92" s="36" t="n">
        <f aca="false">IF(B92=0,"",MAX($A$3:A91)+1)</f>
        <v>77</v>
      </c>
      <c r="B92" s="36" t="n">
        <f aca="false">IF(OR(M92="FLETE",M92="FLETE ENVIO GARANTIA",M92="FLETE RECOLECCION GARANTIA",M92="COMPENSACION"),0,1)</f>
        <v>1</v>
      </c>
      <c r="D92" s="10" t="s">
        <v>463</v>
      </c>
      <c r="J92" s="0" t="s">
        <v>464</v>
      </c>
      <c r="K92" s="0" t="s">
        <v>493</v>
      </c>
      <c r="L92" s="0" t="s">
        <v>494</v>
      </c>
      <c r="M92" s="0" t="s">
        <v>495</v>
      </c>
      <c r="N92" s="0" t="n">
        <v>2</v>
      </c>
      <c r="P92" s="0" t="s">
        <v>138</v>
      </c>
      <c r="Q92" s="0" t="s">
        <v>496</v>
      </c>
      <c r="R92" s="0" t="s">
        <v>497</v>
      </c>
      <c r="S92" s="0" t="s">
        <v>158</v>
      </c>
      <c r="T92" s="0" t="s">
        <v>159</v>
      </c>
      <c r="U92" s="0" t="s">
        <v>160</v>
      </c>
      <c r="V92" s="0" t="s">
        <v>464</v>
      </c>
      <c r="W92" s="12" t="n">
        <v>0</v>
      </c>
      <c r="Y92" s="12" t="s">
        <v>468</v>
      </c>
      <c r="AG92" s="0" t="s">
        <v>7</v>
      </c>
      <c r="AL92" s="13" t="n">
        <v>523445.3782</v>
      </c>
      <c r="AM92" s="14" t="n">
        <v>33</v>
      </c>
      <c r="AN92" s="13" t="n">
        <v>834686</v>
      </c>
      <c r="AO92" s="13" t="n">
        <v>133269.19</v>
      </c>
      <c r="AR92" s="0" t="s">
        <v>498</v>
      </c>
      <c r="AZ92" s="0" t="s">
        <v>89</v>
      </c>
      <c r="BA92" s="0" t="s">
        <v>89</v>
      </c>
      <c r="BB92" s="0" t="s">
        <v>90</v>
      </c>
      <c r="BC92" s="0" t="s">
        <v>241</v>
      </c>
      <c r="BD92" s="15" t="s">
        <v>475</v>
      </c>
      <c r="BE92" s="37" t="s">
        <v>152</v>
      </c>
    </row>
    <row r="93" customFormat="false" ht="16.4" hidden="false" customHeight="false" outlineLevel="0" collapsed="false">
      <c r="A93" s="36" t="n">
        <f aca="false">IF(B93=0,"",MAX($A$3:A92)+1)</f>
        <v>78</v>
      </c>
      <c r="B93" s="36" t="n">
        <f aca="false">IF(OR(M93="FLETE",M93="FLETE ENVIO GARANTIA",M93="FLETE RECOLECCION GARANTIA",M93="COMPENSACION"),0,1)</f>
        <v>1</v>
      </c>
      <c r="D93" s="10" t="s">
        <v>463</v>
      </c>
      <c r="J93" s="0" t="s">
        <v>464</v>
      </c>
      <c r="K93" s="0" t="s">
        <v>153</v>
      </c>
      <c r="L93" s="0" t="s">
        <v>499</v>
      </c>
      <c r="M93" s="0" t="s">
        <v>500</v>
      </c>
      <c r="N93" s="0" t="n">
        <v>1</v>
      </c>
      <c r="P93" s="0" t="s">
        <v>138</v>
      </c>
      <c r="Q93" s="0" t="s">
        <v>156</v>
      </c>
      <c r="R93" s="0" t="s">
        <v>501</v>
      </c>
      <c r="S93" s="0" t="s">
        <v>502</v>
      </c>
      <c r="T93" s="0" t="s">
        <v>449</v>
      </c>
      <c r="U93" s="0" t="s">
        <v>199</v>
      </c>
      <c r="V93" s="0" t="s">
        <v>464</v>
      </c>
      <c r="W93" s="12" t="n">
        <v>0</v>
      </c>
      <c r="Y93" s="0" t="s">
        <v>468</v>
      </c>
      <c r="AG93" s="0" t="s">
        <v>7</v>
      </c>
      <c r="AL93" s="13" t="n">
        <v>320924.3697</v>
      </c>
      <c r="AM93" s="14" t="n">
        <v>25</v>
      </c>
      <c r="AN93" s="13" t="n">
        <v>286425</v>
      </c>
      <c r="AO93" s="13" t="n">
        <v>45731.72</v>
      </c>
      <c r="AR93" s="0" t="s">
        <v>503</v>
      </c>
      <c r="AZ93" s="0" t="s">
        <v>89</v>
      </c>
      <c r="BA93" s="0" t="s">
        <v>89</v>
      </c>
      <c r="BB93" s="0" t="s">
        <v>90</v>
      </c>
      <c r="BC93" s="0" t="s">
        <v>241</v>
      </c>
      <c r="BD93" s="15" t="s">
        <v>475</v>
      </c>
      <c r="BE93" s="37" t="s">
        <v>152</v>
      </c>
    </row>
    <row r="94" customFormat="false" ht="16.4" hidden="false" customHeight="false" outlineLevel="0" collapsed="false">
      <c r="A94" s="36" t="n">
        <f aca="false">IF(B94=0,"",MAX($A$3:A93)+1)</f>
        <v>79</v>
      </c>
      <c r="B94" s="36" t="n">
        <f aca="false">IF(OR(M94="FLETE",M94="FLETE ENVIO GARANTIA",M94="FLETE RECOLECCION GARANTIA",M94="COMPENSACION"),0,1)</f>
        <v>1</v>
      </c>
      <c r="D94" s="10" t="s">
        <v>463</v>
      </c>
      <c r="J94" s="0" t="s">
        <v>464</v>
      </c>
      <c r="K94" s="0" t="s">
        <v>135</v>
      </c>
      <c r="L94" s="0" t="s">
        <v>504</v>
      </c>
      <c r="M94" s="0" t="s">
        <v>505</v>
      </c>
      <c r="N94" s="0" t="n">
        <v>1</v>
      </c>
      <c r="P94" s="0" t="s">
        <v>138</v>
      </c>
      <c r="Q94" s="0" t="s">
        <v>139</v>
      </c>
      <c r="R94" s="0" t="s">
        <v>506</v>
      </c>
      <c r="T94" s="0" t="s">
        <v>507</v>
      </c>
      <c r="U94" s="0" t="s">
        <v>508</v>
      </c>
      <c r="V94" s="0" t="s">
        <v>464</v>
      </c>
      <c r="W94" s="12" t="n">
        <v>0</v>
      </c>
      <c r="Y94" s="12" t="s">
        <v>468</v>
      </c>
      <c r="AG94" s="0" t="s">
        <v>7</v>
      </c>
      <c r="AL94" s="13" t="n">
        <v>896554.6218</v>
      </c>
      <c r="AM94" s="14" t="n">
        <v>25</v>
      </c>
      <c r="AN94" s="13" t="n">
        <v>800175</v>
      </c>
      <c r="AO94" s="13" t="n">
        <v>127759.03</v>
      </c>
      <c r="AR94" s="0" t="s">
        <v>509</v>
      </c>
      <c r="AZ94" s="0" t="s">
        <v>89</v>
      </c>
      <c r="BA94" s="0" t="s">
        <v>89</v>
      </c>
      <c r="BB94" s="0" t="s">
        <v>90</v>
      </c>
      <c r="BC94" s="0" t="s">
        <v>241</v>
      </c>
      <c r="BD94" s="15" t="s">
        <v>475</v>
      </c>
      <c r="BE94" s="37" t="s">
        <v>152</v>
      </c>
    </row>
    <row r="95" customFormat="false" ht="16.4" hidden="false" customHeight="false" outlineLevel="0" collapsed="false">
      <c r="A95" s="36" t="n">
        <f aca="false">IF(B95=0,"",MAX($A$3:A94)+1)</f>
        <v>80</v>
      </c>
      <c r="B95" s="36" t="n">
        <f aca="false">IF(OR(M95="FLETE",M95="FLETE ENVIO GARANTIA",M95="FLETE RECOLECCION GARANTIA",M95="COMPENSACION"),0,1)</f>
        <v>1</v>
      </c>
      <c r="D95" s="10" t="s">
        <v>463</v>
      </c>
      <c r="J95" s="0" t="s">
        <v>464</v>
      </c>
      <c r="K95" s="0" t="s">
        <v>214</v>
      </c>
      <c r="L95" s="0" t="s">
        <v>510</v>
      </c>
      <c r="M95" s="0" t="s">
        <v>511</v>
      </c>
      <c r="N95" s="0" t="n">
        <v>1</v>
      </c>
      <c r="P95" s="0" t="s">
        <v>217</v>
      </c>
      <c r="Q95" s="0" t="s">
        <v>218</v>
      </c>
      <c r="R95" s="0" t="s">
        <v>512</v>
      </c>
      <c r="S95" s="0" t="s">
        <v>435</v>
      </c>
      <c r="T95" s="0" t="s">
        <v>513</v>
      </c>
      <c r="U95" s="0" t="s">
        <v>199</v>
      </c>
      <c r="V95" s="0" t="s">
        <v>464</v>
      </c>
      <c r="W95" s="12" t="n">
        <v>0</v>
      </c>
      <c r="Y95" s="0" t="s">
        <v>468</v>
      </c>
      <c r="AG95" s="0" t="s">
        <v>7</v>
      </c>
      <c r="AL95" s="13" t="n">
        <v>1267983.1933</v>
      </c>
      <c r="AM95" s="14" t="n">
        <v>48</v>
      </c>
      <c r="AN95" s="13" t="n">
        <v>784628</v>
      </c>
      <c r="AO95" s="13" t="n">
        <v>125276.74</v>
      </c>
      <c r="AR95" s="0" t="s">
        <v>514</v>
      </c>
      <c r="AZ95" s="0" t="s">
        <v>89</v>
      </c>
      <c r="BA95" s="0" t="s">
        <v>89</v>
      </c>
      <c r="BB95" s="0" t="s">
        <v>90</v>
      </c>
      <c r="BC95" s="0" t="s">
        <v>241</v>
      </c>
      <c r="BD95" s="15" t="s">
        <v>475</v>
      </c>
      <c r="BE95" s="37" t="s">
        <v>152</v>
      </c>
    </row>
    <row r="96" customFormat="false" ht="16.4" hidden="false" customHeight="false" outlineLevel="0" collapsed="false">
      <c r="A96" s="36" t="n">
        <f aca="false">IF(B96=0,"",MAX($A$3:A95)+1)</f>
        <v>81</v>
      </c>
      <c r="B96" s="36" t="n">
        <f aca="false">IF(OR(M96="FLETE",M96="FLETE ENVIO GARANTIA",M96="FLETE RECOLECCION GARANTIA",M96="COMPENSACION"),0,1)</f>
        <v>1</v>
      </c>
      <c r="D96" s="10" t="s">
        <v>463</v>
      </c>
      <c r="J96" s="0" t="s">
        <v>464</v>
      </c>
      <c r="K96" s="0" t="s">
        <v>214</v>
      </c>
      <c r="L96" s="0" t="s">
        <v>515</v>
      </c>
      <c r="M96" s="0" t="s">
        <v>516</v>
      </c>
      <c r="N96" s="0" t="n">
        <v>1</v>
      </c>
      <c r="P96" s="0" t="s">
        <v>217</v>
      </c>
      <c r="Q96" s="0" t="s">
        <v>218</v>
      </c>
      <c r="R96" s="0" t="s">
        <v>517</v>
      </c>
      <c r="S96" s="0" t="s">
        <v>158</v>
      </c>
      <c r="T96" s="0" t="s">
        <v>518</v>
      </c>
      <c r="U96" s="0" t="s">
        <v>160</v>
      </c>
      <c r="V96" s="0" t="s">
        <v>464</v>
      </c>
      <c r="W96" s="12" t="n">
        <v>0</v>
      </c>
      <c r="Y96" s="12" t="s">
        <v>468</v>
      </c>
      <c r="AG96" s="0" t="s">
        <v>7</v>
      </c>
      <c r="AL96" s="13" t="n">
        <v>1233529.4118</v>
      </c>
      <c r="AM96" s="14" t="n">
        <v>33</v>
      </c>
      <c r="AN96" s="13" t="n">
        <v>983493</v>
      </c>
      <c r="AO96" s="13" t="n">
        <v>157028.29</v>
      </c>
      <c r="AR96" s="0" t="s">
        <v>519</v>
      </c>
      <c r="AZ96" s="0" t="s">
        <v>89</v>
      </c>
      <c r="BA96" s="0" t="s">
        <v>89</v>
      </c>
      <c r="BB96" s="0" t="s">
        <v>90</v>
      </c>
      <c r="BC96" s="0" t="s">
        <v>241</v>
      </c>
      <c r="BD96" s="15" t="s">
        <v>475</v>
      </c>
      <c r="BE96" s="37" t="s">
        <v>152</v>
      </c>
    </row>
    <row r="97" customFormat="false" ht="16.4" hidden="false" customHeight="false" outlineLevel="0" collapsed="false">
      <c r="A97" s="36" t="n">
        <f aca="false">IF(B97=0,"",MAX($A$3:A96)+1)</f>
        <v>82</v>
      </c>
      <c r="B97" s="36" t="n">
        <f aca="false">IF(OR(M97="FLETE",M97="FLETE ENVIO GARANTIA",M97="FLETE RECOLECCION GARANTIA",M97="COMPENSACION"),0,1)</f>
        <v>1</v>
      </c>
      <c r="D97" s="10" t="s">
        <v>463</v>
      </c>
      <c r="J97" s="0" t="s">
        <v>464</v>
      </c>
      <c r="K97" s="0" t="s">
        <v>493</v>
      </c>
      <c r="L97" s="0" t="s">
        <v>520</v>
      </c>
      <c r="M97" s="0" t="s">
        <v>521</v>
      </c>
      <c r="N97" s="0" t="n">
        <v>4</v>
      </c>
      <c r="P97" s="0" t="s">
        <v>138</v>
      </c>
      <c r="Q97" s="0" t="s">
        <v>522</v>
      </c>
      <c r="R97" s="0" t="s">
        <v>523</v>
      </c>
      <c r="S97" s="0" t="s">
        <v>435</v>
      </c>
      <c r="T97" s="0" t="s">
        <v>449</v>
      </c>
      <c r="U97" s="0" t="s">
        <v>199</v>
      </c>
      <c r="V97" s="0" t="s">
        <v>464</v>
      </c>
      <c r="W97" s="12" t="n">
        <v>0</v>
      </c>
      <c r="Y97" s="0" t="s">
        <v>468</v>
      </c>
      <c r="AG97" s="0" t="s">
        <v>7</v>
      </c>
      <c r="AL97" s="13" t="n">
        <v>299915.9664</v>
      </c>
      <c r="AM97" s="14" t="n">
        <v>25</v>
      </c>
      <c r="AN97" s="13" t="n">
        <v>1070700</v>
      </c>
      <c r="AO97" s="13" t="n">
        <v>170952.1</v>
      </c>
      <c r="AR97" s="0" t="s">
        <v>524</v>
      </c>
      <c r="AZ97" s="0" t="s">
        <v>525</v>
      </c>
      <c r="BA97" s="0" t="s">
        <v>525</v>
      </c>
      <c r="BB97" s="0" t="s">
        <v>90</v>
      </c>
      <c r="BC97" s="0" t="s">
        <v>241</v>
      </c>
      <c r="BD97" s="15" t="s">
        <v>475</v>
      </c>
      <c r="BE97" s="37" t="s">
        <v>152</v>
      </c>
    </row>
    <row r="98" customFormat="false" ht="16.4" hidden="false" customHeight="false" outlineLevel="0" collapsed="false">
      <c r="A98" s="36" t="n">
        <f aca="false">IF(B98=0,"",MAX($A$3:A97)+1)</f>
        <v>83</v>
      </c>
      <c r="B98" s="36" t="n">
        <f aca="false">IF(OR(M98="FLETE",M98="FLETE ENVIO GARANTIA",M98="FLETE RECOLECCION GARANTIA",M98="COMPENSACION"),0,1)</f>
        <v>1</v>
      </c>
      <c r="D98" s="10" t="s">
        <v>463</v>
      </c>
      <c r="J98" s="0" t="s">
        <v>464</v>
      </c>
      <c r="K98" s="0" t="s">
        <v>153</v>
      </c>
      <c r="L98" s="0" t="s">
        <v>526</v>
      </c>
      <c r="M98" s="0" t="s">
        <v>527</v>
      </c>
      <c r="N98" s="0" t="n">
        <v>1</v>
      </c>
      <c r="P98" s="0" t="s">
        <v>138</v>
      </c>
      <c r="Q98" s="0" t="s">
        <v>156</v>
      </c>
      <c r="R98" s="0" t="s">
        <v>523</v>
      </c>
      <c r="S98" s="0" t="s">
        <v>435</v>
      </c>
      <c r="T98" s="0" t="s">
        <v>449</v>
      </c>
      <c r="U98" s="0" t="s">
        <v>199</v>
      </c>
      <c r="V98" s="0" t="s">
        <v>464</v>
      </c>
      <c r="W98" s="12" t="n">
        <v>0</v>
      </c>
      <c r="Y98" s="12" t="s">
        <v>468</v>
      </c>
      <c r="AG98" s="0" t="s">
        <v>7</v>
      </c>
      <c r="AL98" s="13" t="n">
        <v>285630.2521</v>
      </c>
      <c r="AM98" s="14" t="n">
        <v>25</v>
      </c>
      <c r="AN98" s="13" t="n">
        <v>254925</v>
      </c>
      <c r="AO98" s="13" t="n">
        <v>40702.31</v>
      </c>
      <c r="AR98" s="0" t="s">
        <v>528</v>
      </c>
      <c r="AZ98" s="0" t="s">
        <v>525</v>
      </c>
      <c r="BA98" s="0" t="s">
        <v>525</v>
      </c>
      <c r="BB98" s="0" t="s">
        <v>90</v>
      </c>
      <c r="BC98" s="0" t="s">
        <v>241</v>
      </c>
      <c r="BD98" s="15" t="s">
        <v>475</v>
      </c>
      <c r="BE98" s="37" t="s">
        <v>152</v>
      </c>
    </row>
    <row r="99" customFormat="false" ht="16.4" hidden="false" customHeight="false" outlineLevel="0" collapsed="false">
      <c r="A99" s="36" t="n">
        <f aca="false">IF(B99=0,"",MAX($A$3:A98)+1)</f>
        <v>84</v>
      </c>
      <c r="B99" s="36" t="n">
        <f aca="false">IF(OR(M99="FLETE",M99="FLETE ENVIO GARANTIA",M99="FLETE RECOLECCION GARANTIA",M99="COMPENSACION"),0,1)</f>
        <v>1</v>
      </c>
      <c r="D99" s="10" t="s">
        <v>463</v>
      </c>
      <c r="J99" s="0" t="s">
        <v>464</v>
      </c>
      <c r="K99" s="0" t="s">
        <v>529</v>
      </c>
      <c r="L99" s="0" t="s">
        <v>530</v>
      </c>
      <c r="M99" s="0" t="s">
        <v>531</v>
      </c>
      <c r="N99" s="0" t="n">
        <v>1</v>
      </c>
      <c r="P99" s="0" t="s">
        <v>217</v>
      </c>
      <c r="Q99" s="0" t="s">
        <v>532</v>
      </c>
      <c r="R99" s="0" t="s">
        <v>533</v>
      </c>
      <c r="T99" s="0" t="s">
        <v>198</v>
      </c>
      <c r="U99" s="0" t="s">
        <v>199</v>
      </c>
      <c r="V99" s="0" t="s">
        <v>464</v>
      </c>
      <c r="W99" s="12" t="n">
        <v>0</v>
      </c>
      <c r="Y99" s="12" t="s">
        <v>468</v>
      </c>
      <c r="AG99" s="0" t="s">
        <v>7</v>
      </c>
      <c r="AL99" s="13" t="n">
        <v>197394.958</v>
      </c>
      <c r="AM99" s="14" t="n">
        <v>25</v>
      </c>
      <c r="AN99" s="13" t="n">
        <v>176175</v>
      </c>
      <c r="AO99" s="13" t="n">
        <v>28128.78</v>
      </c>
      <c r="AR99" s="0" t="s">
        <v>534</v>
      </c>
      <c r="AZ99" s="0" t="s">
        <v>89</v>
      </c>
      <c r="BA99" s="0" t="s">
        <v>89</v>
      </c>
      <c r="BB99" s="0" t="s">
        <v>90</v>
      </c>
      <c r="BC99" s="0" t="s">
        <v>241</v>
      </c>
      <c r="BD99" s="15" t="s">
        <v>475</v>
      </c>
      <c r="BE99" s="37" t="s">
        <v>152</v>
      </c>
    </row>
    <row r="100" customFormat="false" ht="16.4" hidden="false" customHeight="false" outlineLevel="0" collapsed="false">
      <c r="A100" s="36" t="n">
        <f aca="false">IF(B100=0,"",MAX($A$3:A99)+1)</f>
        <v>85</v>
      </c>
      <c r="B100" s="36" t="n">
        <f aca="false">IF(OR(M100="FLETE",M100="FLETE ENVIO GARANTIA",M100="FLETE RECOLECCION GARANTIA",M100="COMPENSACION"),0,1)</f>
        <v>1</v>
      </c>
      <c r="D100" s="10" t="s">
        <v>463</v>
      </c>
      <c r="J100" s="0" t="s">
        <v>464</v>
      </c>
      <c r="K100" s="0" t="s">
        <v>529</v>
      </c>
      <c r="L100" s="0" t="s">
        <v>535</v>
      </c>
      <c r="M100" s="0" t="s">
        <v>536</v>
      </c>
      <c r="N100" s="0" t="n">
        <v>1</v>
      </c>
      <c r="P100" s="0" t="s">
        <v>217</v>
      </c>
      <c r="Q100" s="0" t="s">
        <v>532</v>
      </c>
      <c r="R100" s="0" t="s">
        <v>537</v>
      </c>
      <c r="T100" s="0" t="s">
        <v>198</v>
      </c>
      <c r="U100" s="0" t="s">
        <v>199</v>
      </c>
      <c r="V100" s="0" t="s">
        <v>464</v>
      </c>
      <c r="W100" s="12" t="n">
        <v>0</v>
      </c>
      <c r="Y100" s="12" t="s">
        <v>468</v>
      </c>
      <c r="AG100" s="0" t="s">
        <v>7</v>
      </c>
      <c r="AL100" s="13" t="n">
        <v>146134.4538</v>
      </c>
      <c r="AM100" s="14" t="n">
        <v>25</v>
      </c>
      <c r="AN100" s="13" t="n">
        <v>130425</v>
      </c>
      <c r="AO100" s="13" t="n">
        <v>20824.16</v>
      </c>
      <c r="AR100" s="0" t="s">
        <v>538</v>
      </c>
      <c r="AZ100" s="0" t="s">
        <v>89</v>
      </c>
      <c r="BA100" s="0" t="s">
        <v>89</v>
      </c>
      <c r="BB100" s="0" t="s">
        <v>90</v>
      </c>
      <c r="BC100" s="0" t="s">
        <v>241</v>
      </c>
      <c r="BD100" s="15" t="s">
        <v>475</v>
      </c>
      <c r="BE100" s="37" t="s">
        <v>152</v>
      </c>
    </row>
    <row r="101" customFormat="false" ht="16.4" hidden="false" customHeight="false" outlineLevel="0" collapsed="false">
      <c r="A101" s="36" t="n">
        <f aca="false">IF(B101=0,"",MAX($A$3:A100)+1)</f>
        <v>86</v>
      </c>
      <c r="B101" s="36" t="n">
        <f aca="false">IF(OR(M101="FLETE",M101="FLETE ENVIO GARANTIA",M101="FLETE RECOLECCION GARANTIA",M101="COMPENSACION"),0,1)</f>
        <v>1</v>
      </c>
      <c r="D101" s="10" t="s">
        <v>463</v>
      </c>
      <c r="J101" s="0" t="s">
        <v>464</v>
      </c>
      <c r="K101" s="0" t="s">
        <v>529</v>
      </c>
      <c r="L101" s="0" t="s">
        <v>539</v>
      </c>
      <c r="M101" s="0" t="s">
        <v>540</v>
      </c>
      <c r="N101" s="0" t="n">
        <v>1</v>
      </c>
      <c r="P101" s="0" t="s">
        <v>217</v>
      </c>
      <c r="Q101" s="0" t="s">
        <v>541</v>
      </c>
      <c r="R101" s="0" t="s">
        <v>542</v>
      </c>
      <c r="T101" s="0" t="s">
        <v>198</v>
      </c>
      <c r="U101" s="0" t="s">
        <v>199</v>
      </c>
      <c r="V101" s="0" t="s">
        <v>464</v>
      </c>
      <c r="W101" s="12" t="n">
        <v>0</v>
      </c>
      <c r="Y101" s="12" t="s">
        <v>468</v>
      </c>
      <c r="AG101" s="0" t="s">
        <v>7</v>
      </c>
      <c r="AL101" s="13" t="n">
        <v>303277.3109</v>
      </c>
      <c r="AM101" s="14" t="n">
        <v>25</v>
      </c>
      <c r="AN101" s="13" t="n">
        <v>270675</v>
      </c>
      <c r="AO101" s="13" t="n">
        <v>43217.02</v>
      </c>
      <c r="AR101" s="0" t="s">
        <v>543</v>
      </c>
      <c r="AZ101" s="0" t="s">
        <v>89</v>
      </c>
      <c r="BA101" s="0" t="s">
        <v>89</v>
      </c>
      <c r="BB101" s="0" t="s">
        <v>90</v>
      </c>
      <c r="BC101" s="0" t="s">
        <v>241</v>
      </c>
      <c r="BD101" s="15" t="s">
        <v>475</v>
      </c>
      <c r="BE101" s="37" t="s">
        <v>152</v>
      </c>
    </row>
    <row r="102" customFormat="false" ht="16.4" hidden="false" customHeight="false" outlineLevel="0" collapsed="false">
      <c r="A102" s="36" t="n">
        <f aca="false">IF(B102=0,"",MAX($A$3:A101)+1)</f>
        <v>87</v>
      </c>
      <c r="B102" s="36" t="n">
        <f aca="false">IF(OR(M102="FLETE",M102="FLETE ENVIO GARANTIA",M102="FLETE RECOLECCION GARANTIA",M102="COMPENSACION"),0,1)</f>
        <v>1</v>
      </c>
      <c r="D102" s="10" t="s">
        <v>463</v>
      </c>
      <c r="J102" s="0" t="s">
        <v>464</v>
      </c>
      <c r="K102" s="0" t="s">
        <v>529</v>
      </c>
      <c r="L102" s="0" t="s">
        <v>544</v>
      </c>
      <c r="M102" s="0" t="s">
        <v>545</v>
      </c>
      <c r="N102" s="0" t="n">
        <v>1</v>
      </c>
      <c r="P102" s="0" t="s">
        <v>217</v>
      </c>
      <c r="Q102" s="0" t="s">
        <v>541</v>
      </c>
      <c r="R102" s="0" t="s">
        <v>546</v>
      </c>
      <c r="T102" s="0" t="s">
        <v>198</v>
      </c>
      <c r="U102" s="0" t="s">
        <v>199</v>
      </c>
      <c r="V102" s="0" t="s">
        <v>464</v>
      </c>
      <c r="W102" s="12" t="n">
        <v>0</v>
      </c>
      <c r="Y102" s="12" t="s">
        <v>468</v>
      </c>
      <c r="AG102" s="0" t="s">
        <v>7</v>
      </c>
      <c r="AL102" s="13" t="n">
        <v>199915.9664</v>
      </c>
      <c r="AM102" s="14" t="n">
        <v>25</v>
      </c>
      <c r="AN102" s="13" t="n">
        <v>178424.99</v>
      </c>
      <c r="AO102" s="13" t="n">
        <v>28488.02</v>
      </c>
      <c r="AR102" s="0" t="s">
        <v>547</v>
      </c>
      <c r="AZ102" s="0" t="s">
        <v>89</v>
      </c>
      <c r="BA102" s="0" t="s">
        <v>89</v>
      </c>
      <c r="BB102" s="0" t="s">
        <v>90</v>
      </c>
      <c r="BC102" s="0" t="s">
        <v>241</v>
      </c>
      <c r="BD102" s="15" t="s">
        <v>475</v>
      </c>
      <c r="BE102" s="37" t="s">
        <v>152</v>
      </c>
    </row>
    <row r="103" customFormat="false" ht="16.4" hidden="false" customHeight="false" outlineLevel="0" collapsed="false">
      <c r="A103" s="36" t="n">
        <f aca="false">IF(B103=0,"",MAX($A$3:A102)+1)</f>
        <v>88</v>
      </c>
      <c r="B103" s="36" t="n">
        <f aca="false">IF(OR(M103="FLETE",M103="FLETE ENVIO GARANTIA",M103="FLETE RECOLECCION GARANTIA",M103="COMPENSACION"),0,1)</f>
        <v>1</v>
      </c>
      <c r="D103" s="10" t="s">
        <v>463</v>
      </c>
      <c r="J103" s="0" t="s">
        <v>464</v>
      </c>
      <c r="K103" s="0" t="s">
        <v>529</v>
      </c>
      <c r="L103" s="0" t="s">
        <v>548</v>
      </c>
      <c r="M103" s="0" t="s">
        <v>549</v>
      </c>
      <c r="N103" s="0" t="n">
        <v>1</v>
      </c>
      <c r="P103" s="0" t="s">
        <v>217</v>
      </c>
      <c r="Q103" s="0" t="s">
        <v>541</v>
      </c>
      <c r="R103" s="0" t="s">
        <v>550</v>
      </c>
      <c r="T103" s="0" t="s">
        <v>198</v>
      </c>
      <c r="U103" s="0" t="s">
        <v>199</v>
      </c>
      <c r="V103" s="0" t="s">
        <v>464</v>
      </c>
      <c r="W103" s="12" t="n">
        <v>0</v>
      </c>
      <c r="Y103" s="12" t="s">
        <v>468</v>
      </c>
      <c r="AG103" s="0" t="s">
        <v>7</v>
      </c>
      <c r="AL103" s="13" t="n">
        <v>159579.8319</v>
      </c>
      <c r="AM103" s="14" t="n">
        <v>25</v>
      </c>
      <c r="AN103" s="13" t="n">
        <v>142425</v>
      </c>
      <c r="AO103" s="13" t="n">
        <v>22740.13</v>
      </c>
      <c r="AR103" s="0" t="s">
        <v>551</v>
      </c>
      <c r="AZ103" s="0" t="s">
        <v>89</v>
      </c>
      <c r="BA103" s="0" t="s">
        <v>89</v>
      </c>
      <c r="BB103" s="0" t="s">
        <v>90</v>
      </c>
      <c r="BC103" s="0" t="s">
        <v>241</v>
      </c>
      <c r="BD103" s="15" t="s">
        <v>475</v>
      </c>
      <c r="BE103" s="37" t="s">
        <v>152</v>
      </c>
    </row>
    <row r="104" customFormat="false" ht="16.4" hidden="false" customHeight="false" outlineLevel="0" collapsed="false">
      <c r="A104" s="36" t="n">
        <f aca="false">IF(B104=0,"",MAX($A$3:A103)+1)</f>
        <v>89</v>
      </c>
      <c r="B104" s="36" t="n">
        <f aca="false">IF(OR(M104="FLETE",M104="FLETE ENVIO GARANTIA",M104="FLETE RECOLECCION GARANTIA",M104="COMPENSACION"),0,1)</f>
        <v>1</v>
      </c>
      <c r="D104" s="10" t="s">
        <v>463</v>
      </c>
      <c r="J104" s="0" t="s">
        <v>464</v>
      </c>
      <c r="K104" s="0" t="s">
        <v>493</v>
      </c>
      <c r="L104" s="0" t="s">
        <v>552</v>
      </c>
      <c r="M104" s="0" t="s">
        <v>553</v>
      </c>
      <c r="N104" s="0" t="n">
        <v>2</v>
      </c>
      <c r="P104" s="0" t="s">
        <v>138</v>
      </c>
      <c r="Q104" s="0" t="s">
        <v>496</v>
      </c>
      <c r="R104" s="0" t="s">
        <v>554</v>
      </c>
      <c r="S104" s="0" t="s">
        <v>158</v>
      </c>
      <c r="T104" s="0" t="s">
        <v>449</v>
      </c>
      <c r="U104" s="0" t="s">
        <v>456</v>
      </c>
      <c r="V104" s="0" t="s">
        <v>464</v>
      </c>
      <c r="W104" s="12" t="n">
        <v>0</v>
      </c>
      <c r="Y104" s="0" t="s">
        <v>468</v>
      </c>
      <c r="AG104" s="0" t="s">
        <v>7</v>
      </c>
      <c r="AL104" s="13" t="n">
        <v>397394.958</v>
      </c>
      <c r="AM104" s="14" t="n">
        <v>25</v>
      </c>
      <c r="AN104" s="13" t="n">
        <v>709350</v>
      </c>
      <c r="AO104" s="13" t="n">
        <v>113257.56</v>
      </c>
      <c r="AR104" s="0" t="s">
        <v>555</v>
      </c>
      <c r="AZ104" s="0" t="s">
        <v>89</v>
      </c>
      <c r="BA104" s="0" t="s">
        <v>89</v>
      </c>
      <c r="BB104" s="0" t="s">
        <v>90</v>
      </c>
      <c r="BC104" s="0" t="s">
        <v>241</v>
      </c>
      <c r="BD104" s="15" t="s">
        <v>475</v>
      </c>
      <c r="BE104" s="37" t="s">
        <v>152</v>
      </c>
    </row>
    <row r="105" customFormat="false" ht="16.4" hidden="false" customHeight="false" outlineLevel="0" collapsed="false">
      <c r="A105" s="36" t="n">
        <f aca="false">IF(B105=0,"",MAX($A$3:A104)+1)</f>
        <v>90</v>
      </c>
      <c r="B105" s="36" t="n">
        <f aca="false">IF(OR(M105="FLETE",M105="FLETE ENVIO GARANTIA",M105="FLETE RECOLECCION GARANTIA",M105="COMPENSACION"),0,1)</f>
        <v>1</v>
      </c>
      <c r="D105" s="10" t="s">
        <v>463</v>
      </c>
      <c r="J105" s="0" t="s">
        <v>464</v>
      </c>
      <c r="K105" s="0" t="s">
        <v>529</v>
      </c>
      <c r="L105" s="0" t="s">
        <v>556</v>
      </c>
      <c r="M105" s="0" t="s">
        <v>557</v>
      </c>
      <c r="N105" s="0" t="n">
        <v>1</v>
      </c>
      <c r="P105" s="0" t="s">
        <v>217</v>
      </c>
      <c r="Q105" s="0" t="s">
        <v>541</v>
      </c>
      <c r="R105" s="0" t="s">
        <v>558</v>
      </c>
      <c r="T105" s="0" t="s">
        <v>507</v>
      </c>
      <c r="U105" s="0" t="s">
        <v>456</v>
      </c>
      <c r="V105" s="0" t="s">
        <v>464</v>
      </c>
      <c r="W105" s="12" t="n">
        <v>0</v>
      </c>
      <c r="Y105" s="12" t="s">
        <v>468</v>
      </c>
      <c r="AG105" s="0" t="s">
        <v>7</v>
      </c>
      <c r="AL105" s="13" t="n">
        <v>257899.1597</v>
      </c>
      <c r="AM105" s="14" t="n">
        <v>25</v>
      </c>
      <c r="AN105" s="13" t="n">
        <v>230175</v>
      </c>
      <c r="AO105" s="13" t="n">
        <v>36750.63</v>
      </c>
      <c r="AR105" s="0" t="s">
        <v>559</v>
      </c>
      <c r="AZ105" s="0" t="s">
        <v>89</v>
      </c>
      <c r="BA105" s="0" t="s">
        <v>89</v>
      </c>
      <c r="BB105" s="0" t="s">
        <v>90</v>
      </c>
      <c r="BC105" s="0" t="s">
        <v>241</v>
      </c>
      <c r="BD105" s="15" t="s">
        <v>475</v>
      </c>
      <c r="BE105" s="37" t="s">
        <v>152</v>
      </c>
    </row>
    <row r="106" customFormat="false" ht="16.4" hidden="false" customHeight="false" outlineLevel="0" collapsed="false">
      <c r="A106" s="36" t="n">
        <f aca="false">IF(B106=0,"",MAX($A$3:A105)+1)</f>
        <v>91</v>
      </c>
      <c r="B106" s="36" t="n">
        <f aca="false">IF(OR(M106="FLETE",M106="FLETE ENVIO GARANTIA",M106="FLETE RECOLECCION GARANTIA",M106="COMPENSACION"),0,1)</f>
        <v>1</v>
      </c>
      <c r="D106" s="10" t="s">
        <v>463</v>
      </c>
      <c r="J106" s="0" t="s">
        <v>464</v>
      </c>
      <c r="K106" s="0" t="s">
        <v>529</v>
      </c>
      <c r="L106" s="0" t="s">
        <v>560</v>
      </c>
      <c r="M106" s="0" t="s">
        <v>561</v>
      </c>
      <c r="N106" s="0" t="n">
        <v>1</v>
      </c>
      <c r="P106" s="0" t="s">
        <v>217</v>
      </c>
      <c r="Q106" s="0" t="s">
        <v>541</v>
      </c>
      <c r="R106" s="0" t="s">
        <v>562</v>
      </c>
      <c r="T106" s="0" t="s">
        <v>563</v>
      </c>
      <c r="V106" s="0" t="s">
        <v>464</v>
      </c>
      <c r="W106" s="12" t="n">
        <v>0</v>
      </c>
      <c r="Y106" s="12" t="s">
        <v>468</v>
      </c>
      <c r="AG106" s="0" t="s">
        <v>7</v>
      </c>
      <c r="AL106" s="13" t="n">
        <v>347815.1261</v>
      </c>
      <c r="AM106" s="14" t="n">
        <v>25</v>
      </c>
      <c r="AN106" s="13" t="n">
        <v>310424.99</v>
      </c>
      <c r="AO106" s="13" t="n">
        <v>49563.65</v>
      </c>
      <c r="AR106" s="0" t="s">
        <v>564</v>
      </c>
      <c r="AZ106" s="0" t="s">
        <v>89</v>
      </c>
      <c r="BA106" s="0" t="s">
        <v>89</v>
      </c>
      <c r="BB106" s="0" t="s">
        <v>90</v>
      </c>
      <c r="BC106" s="0" t="s">
        <v>241</v>
      </c>
      <c r="BD106" s="15" t="s">
        <v>475</v>
      </c>
      <c r="BE106" s="37" t="s">
        <v>152</v>
      </c>
    </row>
    <row r="107" customFormat="false" ht="16.4" hidden="false" customHeight="false" outlineLevel="0" collapsed="false">
      <c r="A107" s="36" t="n">
        <f aca="false">IF(B107=0,"",MAX($A$3:A106)+1)</f>
        <v>92</v>
      </c>
      <c r="B107" s="36" t="n">
        <f aca="false">IF(OR(M107="FLETE",M107="FLETE ENVIO GARANTIA",M107="FLETE RECOLECCION GARANTIA",M107="COMPENSACION"),0,1)</f>
        <v>1</v>
      </c>
      <c r="D107" s="10" t="s">
        <v>463</v>
      </c>
      <c r="J107" s="0" t="s">
        <v>464</v>
      </c>
      <c r="K107" s="0" t="s">
        <v>529</v>
      </c>
      <c r="L107" s="0" t="s">
        <v>565</v>
      </c>
      <c r="M107" s="0" t="s">
        <v>566</v>
      </c>
      <c r="N107" s="0" t="n">
        <v>1</v>
      </c>
      <c r="P107" s="0" t="s">
        <v>217</v>
      </c>
      <c r="Q107" s="0" t="s">
        <v>541</v>
      </c>
      <c r="R107" s="0" t="s">
        <v>567</v>
      </c>
      <c r="T107" s="0" t="s">
        <v>198</v>
      </c>
      <c r="V107" s="0" t="s">
        <v>464</v>
      </c>
      <c r="W107" s="12" t="n">
        <v>0</v>
      </c>
      <c r="Y107" s="0" t="s">
        <v>468</v>
      </c>
      <c r="AG107" s="0" t="s">
        <v>7</v>
      </c>
      <c r="AL107" s="13" t="n">
        <v>299915.9664</v>
      </c>
      <c r="AM107" s="14" t="n">
        <v>25</v>
      </c>
      <c r="AN107" s="13" t="n">
        <v>267674.99</v>
      </c>
      <c r="AO107" s="13" t="n">
        <v>42738.02</v>
      </c>
      <c r="AR107" s="0" t="s">
        <v>568</v>
      </c>
      <c r="AZ107" s="0" t="s">
        <v>89</v>
      </c>
      <c r="BA107" s="0" t="s">
        <v>89</v>
      </c>
      <c r="BB107" s="0" t="s">
        <v>90</v>
      </c>
      <c r="BC107" s="0" t="s">
        <v>241</v>
      </c>
      <c r="BD107" s="15" t="s">
        <v>475</v>
      </c>
      <c r="BE107" s="37" t="s">
        <v>152</v>
      </c>
    </row>
    <row r="108" customFormat="false" ht="16.4" hidden="false" customHeight="false" outlineLevel="0" collapsed="false">
      <c r="A108" s="36" t="n">
        <f aca="false">IF(B108=0,"",MAX($A$3:A107)+1)</f>
        <v>93</v>
      </c>
      <c r="B108" s="36" t="n">
        <f aca="false">IF(OR(M108="FLETE",M108="FLETE ENVIO GARANTIA",M108="FLETE RECOLECCION GARANTIA",M108="COMPENSACION"),0,1)</f>
        <v>1</v>
      </c>
      <c r="D108" s="10" t="s">
        <v>463</v>
      </c>
      <c r="J108" s="0" t="s">
        <v>464</v>
      </c>
      <c r="K108" s="0" t="s">
        <v>529</v>
      </c>
      <c r="L108" s="0" t="s">
        <v>569</v>
      </c>
      <c r="M108" s="0" t="s">
        <v>570</v>
      </c>
      <c r="N108" s="0" t="n">
        <v>1</v>
      </c>
      <c r="P108" s="0" t="s">
        <v>217</v>
      </c>
      <c r="Q108" s="0" t="s">
        <v>541</v>
      </c>
      <c r="R108" s="0" t="s">
        <v>571</v>
      </c>
      <c r="T108" s="0" t="s">
        <v>507</v>
      </c>
      <c r="V108" s="0" t="s">
        <v>464</v>
      </c>
      <c r="W108" s="12" t="n">
        <v>0</v>
      </c>
      <c r="Y108" s="12" t="s">
        <v>468</v>
      </c>
      <c r="AG108" s="0" t="s">
        <v>7</v>
      </c>
      <c r="AL108" s="13" t="n">
        <v>180588.2353</v>
      </c>
      <c r="AM108" s="14" t="n">
        <v>25</v>
      </c>
      <c r="AN108" s="13" t="n">
        <v>161175</v>
      </c>
      <c r="AO108" s="13" t="n">
        <v>25733.82</v>
      </c>
      <c r="AR108" s="0" t="s">
        <v>572</v>
      </c>
      <c r="AZ108" s="0" t="s">
        <v>89</v>
      </c>
      <c r="BA108" s="0" t="s">
        <v>89</v>
      </c>
      <c r="BB108" s="0" t="s">
        <v>90</v>
      </c>
      <c r="BC108" s="0" t="s">
        <v>241</v>
      </c>
      <c r="BD108" s="15" t="s">
        <v>475</v>
      </c>
      <c r="BE108" s="37" t="s">
        <v>152</v>
      </c>
    </row>
    <row r="109" customFormat="false" ht="16.4" hidden="false" customHeight="false" outlineLevel="0" collapsed="false">
      <c r="A109" s="36" t="n">
        <f aca="false">IF(B109=0,"",MAX($A$3:A108)+1)</f>
        <v>94</v>
      </c>
      <c r="B109" s="36" t="n">
        <f aca="false">IF(OR(M109="FLETE",M109="FLETE ENVIO GARANTIA",M109="FLETE RECOLECCION GARANTIA",M109="COMPENSACION"),0,1)</f>
        <v>1</v>
      </c>
      <c r="D109" s="10" t="s">
        <v>463</v>
      </c>
      <c r="J109" s="0" t="s">
        <v>464</v>
      </c>
      <c r="K109" s="0" t="s">
        <v>135</v>
      </c>
      <c r="L109" s="0" t="s">
        <v>573</v>
      </c>
      <c r="M109" s="0" t="s">
        <v>574</v>
      </c>
      <c r="N109" s="0" t="n">
        <v>1</v>
      </c>
      <c r="P109" s="0" t="s">
        <v>138</v>
      </c>
      <c r="Q109" s="0" t="s">
        <v>139</v>
      </c>
      <c r="R109" s="0" t="s">
        <v>575</v>
      </c>
      <c r="T109" s="0" t="s">
        <v>141</v>
      </c>
      <c r="U109" s="0" t="s">
        <v>160</v>
      </c>
      <c r="V109" s="0" t="s">
        <v>464</v>
      </c>
      <c r="W109" s="12" t="n">
        <v>0</v>
      </c>
      <c r="Y109" s="0" t="s">
        <v>468</v>
      </c>
      <c r="AG109" s="0" t="s">
        <v>7</v>
      </c>
      <c r="AL109" s="13" t="n">
        <v>736890.7563</v>
      </c>
      <c r="AM109" s="14" t="n">
        <v>25</v>
      </c>
      <c r="AN109" s="13" t="n">
        <v>657675</v>
      </c>
      <c r="AO109" s="13" t="n">
        <v>105006.93</v>
      </c>
      <c r="AR109" s="0" t="s">
        <v>576</v>
      </c>
      <c r="AZ109" s="0" t="s">
        <v>89</v>
      </c>
      <c r="BA109" s="0" t="s">
        <v>89</v>
      </c>
      <c r="BB109" s="0" t="s">
        <v>90</v>
      </c>
      <c r="BC109" s="0" t="s">
        <v>241</v>
      </c>
      <c r="BD109" s="15" t="s">
        <v>475</v>
      </c>
      <c r="BE109" s="37" t="s">
        <v>152</v>
      </c>
    </row>
    <row r="110" customFormat="false" ht="16.4" hidden="false" customHeight="false" outlineLevel="0" collapsed="false">
      <c r="A110" s="36" t="n">
        <f aca="false">IF(B110=0,"",MAX($A$3:A109)+1)</f>
        <v>95</v>
      </c>
      <c r="B110" s="36" t="n">
        <f aca="false">IF(OR(M110="FLETE",M110="FLETE ENVIO GARANTIA",M110="FLETE RECOLECCION GARANTIA",M110="COMPENSACION"),0,1)</f>
        <v>1</v>
      </c>
      <c r="D110" s="10" t="s">
        <v>463</v>
      </c>
      <c r="J110" s="0" t="s">
        <v>464</v>
      </c>
      <c r="K110" s="0" t="s">
        <v>493</v>
      </c>
      <c r="L110" s="0" t="s">
        <v>577</v>
      </c>
      <c r="M110" s="0" t="s">
        <v>578</v>
      </c>
      <c r="N110" s="0" t="n">
        <v>2</v>
      </c>
      <c r="P110" s="0" t="s">
        <v>138</v>
      </c>
      <c r="Q110" s="0" t="s">
        <v>496</v>
      </c>
      <c r="R110" s="0" t="s">
        <v>579</v>
      </c>
      <c r="S110" s="0" t="s">
        <v>435</v>
      </c>
      <c r="T110" s="0" t="s">
        <v>513</v>
      </c>
      <c r="U110" s="0" t="s">
        <v>160</v>
      </c>
      <c r="V110" s="0" t="s">
        <v>464</v>
      </c>
      <c r="W110" s="12" t="n">
        <v>0</v>
      </c>
      <c r="Y110" s="12" t="s">
        <v>468</v>
      </c>
      <c r="AG110" s="0" t="s">
        <v>7</v>
      </c>
      <c r="AL110" s="13" t="n">
        <v>478319.3277</v>
      </c>
      <c r="AM110" s="14" t="n">
        <v>25</v>
      </c>
      <c r="AN110" s="13" t="n">
        <v>853800</v>
      </c>
      <c r="AO110" s="13" t="n">
        <v>136321.01</v>
      </c>
      <c r="AR110" s="0" t="s">
        <v>580</v>
      </c>
      <c r="AZ110" s="0" t="s">
        <v>89</v>
      </c>
      <c r="BA110" s="0" t="s">
        <v>89</v>
      </c>
      <c r="BB110" s="0" t="s">
        <v>90</v>
      </c>
      <c r="BC110" s="0" t="s">
        <v>241</v>
      </c>
      <c r="BD110" s="15" t="s">
        <v>475</v>
      </c>
      <c r="BE110" s="37" t="s">
        <v>152</v>
      </c>
    </row>
    <row r="111" customFormat="false" ht="16.4" hidden="false" customHeight="false" outlineLevel="0" collapsed="false">
      <c r="A111" s="36" t="n">
        <f aca="false">IF(B111=0,"",MAX($A$3:A110)+1)</f>
        <v>96</v>
      </c>
      <c r="B111" s="36" t="n">
        <f aca="false">IF(OR(M111="FLETE",M111="FLETE ENVIO GARANTIA",M111="FLETE RECOLECCION GARANTIA",M111="COMPENSACION"),0,1)</f>
        <v>1</v>
      </c>
      <c r="D111" s="10" t="s">
        <v>463</v>
      </c>
      <c r="J111" s="0" t="s">
        <v>464</v>
      </c>
      <c r="K111" s="0" t="s">
        <v>153</v>
      </c>
      <c r="L111" s="0" t="s">
        <v>581</v>
      </c>
      <c r="M111" s="0" t="s">
        <v>582</v>
      </c>
      <c r="N111" s="0" t="n">
        <v>1</v>
      </c>
      <c r="P111" s="0" t="s">
        <v>138</v>
      </c>
      <c r="Q111" s="0" t="s">
        <v>156</v>
      </c>
      <c r="R111" s="0" t="s">
        <v>523</v>
      </c>
      <c r="S111" s="0" t="s">
        <v>435</v>
      </c>
      <c r="T111" s="0" t="s">
        <v>159</v>
      </c>
      <c r="U111" s="0" t="s">
        <v>160</v>
      </c>
      <c r="V111" s="0" t="s">
        <v>464</v>
      </c>
      <c r="W111" s="12" t="n">
        <v>0</v>
      </c>
      <c r="Y111" s="12" t="s">
        <v>468</v>
      </c>
      <c r="AG111" s="0" t="s">
        <v>7</v>
      </c>
      <c r="AL111" s="13" t="n">
        <v>285630.2521</v>
      </c>
      <c r="AM111" s="14" t="n">
        <v>25</v>
      </c>
      <c r="AN111" s="13" t="n">
        <v>254925</v>
      </c>
      <c r="AO111" s="13" t="n">
        <v>40702.31</v>
      </c>
      <c r="AR111" s="0" t="s">
        <v>583</v>
      </c>
      <c r="AZ111" s="0" t="s">
        <v>89</v>
      </c>
      <c r="BA111" s="0" t="s">
        <v>89</v>
      </c>
      <c r="BB111" s="0" t="s">
        <v>90</v>
      </c>
      <c r="BC111" s="0" t="s">
        <v>241</v>
      </c>
      <c r="BD111" s="15" t="s">
        <v>475</v>
      </c>
      <c r="BE111" s="37" t="s">
        <v>152</v>
      </c>
    </row>
    <row r="112" customFormat="false" ht="16.4" hidden="false" customHeight="false" outlineLevel="0" collapsed="false">
      <c r="A112" s="36" t="n">
        <f aca="false">IF(B112=0,"",MAX($A$3:A111)+1)</f>
        <v>97</v>
      </c>
      <c r="B112" s="36" t="n">
        <f aca="false">IF(OR(M112="FLETE",M112="FLETE ENVIO GARANTIA",M112="FLETE RECOLECCION GARANTIA",M112="COMPENSACION"),0,1)</f>
        <v>1</v>
      </c>
      <c r="D112" s="10" t="s">
        <v>463</v>
      </c>
      <c r="J112" s="0" t="s">
        <v>464</v>
      </c>
      <c r="K112" s="0" t="s">
        <v>493</v>
      </c>
      <c r="L112" s="0" t="s">
        <v>584</v>
      </c>
      <c r="M112" s="0" t="s">
        <v>585</v>
      </c>
      <c r="N112" s="0" t="n">
        <v>1</v>
      </c>
      <c r="P112" s="0" t="s">
        <v>138</v>
      </c>
      <c r="Q112" s="0" t="s">
        <v>522</v>
      </c>
      <c r="R112" s="0" t="s">
        <v>586</v>
      </c>
      <c r="T112" s="0" t="s">
        <v>198</v>
      </c>
      <c r="U112" s="0" t="s">
        <v>199</v>
      </c>
      <c r="V112" s="0" t="s">
        <v>464</v>
      </c>
      <c r="W112" s="12" t="n">
        <v>0</v>
      </c>
      <c r="Y112" s="12" t="s">
        <v>468</v>
      </c>
      <c r="AG112" s="0" t="s">
        <v>7</v>
      </c>
      <c r="AL112" s="13" t="n">
        <v>379747.8992</v>
      </c>
      <c r="AM112" s="14" t="n">
        <v>25</v>
      </c>
      <c r="AN112" s="13" t="n">
        <v>338924.99</v>
      </c>
      <c r="AO112" s="13" t="n">
        <v>54114.07</v>
      </c>
      <c r="AR112" s="0" t="s">
        <v>587</v>
      </c>
      <c r="AZ112" s="0" t="s">
        <v>89</v>
      </c>
      <c r="BA112" s="0" t="s">
        <v>89</v>
      </c>
      <c r="BB112" s="0" t="s">
        <v>90</v>
      </c>
      <c r="BC112" s="0" t="s">
        <v>241</v>
      </c>
      <c r="BD112" s="15" t="s">
        <v>475</v>
      </c>
      <c r="BE112" s="37" t="s">
        <v>152</v>
      </c>
    </row>
    <row r="113" customFormat="false" ht="16.4" hidden="false" customHeight="false" outlineLevel="0" collapsed="false">
      <c r="A113" s="36" t="n">
        <f aca="false">IF(B113=0,"",MAX($A$3:A112)+1)</f>
        <v>98</v>
      </c>
      <c r="B113" s="36" t="n">
        <f aca="false">IF(OR(M113="FLETE",M113="FLETE ENVIO GARANTIA",M113="FLETE RECOLECCION GARANTIA",M113="COMPENSACION"),0,1)</f>
        <v>1</v>
      </c>
      <c r="D113" s="10" t="s">
        <v>463</v>
      </c>
      <c r="J113" s="0" t="s">
        <v>464</v>
      </c>
      <c r="K113" s="0" t="s">
        <v>479</v>
      </c>
      <c r="L113" s="0" t="s">
        <v>588</v>
      </c>
      <c r="M113" s="0" t="s">
        <v>589</v>
      </c>
      <c r="N113" s="0" t="n">
        <v>1</v>
      </c>
      <c r="P113" s="0" t="s">
        <v>217</v>
      </c>
      <c r="Q113" s="0" t="s">
        <v>482</v>
      </c>
      <c r="R113" s="0" t="s">
        <v>590</v>
      </c>
      <c r="S113" s="0" t="s">
        <v>591</v>
      </c>
      <c r="T113" s="0" t="s">
        <v>592</v>
      </c>
      <c r="U113" s="0" t="s">
        <v>199</v>
      </c>
      <c r="V113" s="0" t="s">
        <v>464</v>
      </c>
      <c r="W113" s="12" t="n">
        <v>0</v>
      </c>
      <c r="Y113" s="0" t="s">
        <v>468</v>
      </c>
      <c r="AG113" s="0" t="s">
        <v>7</v>
      </c>
      <c r="AL113" s="13" t="n">
        <v>1132689.0756</v>
      </c>
      <c r="AM113" s="14" t="n">
        <v>25</v>
      </c>
      <c r="AN113" s="13" t="n">
        <v>1010925</v>
      </c>
      <c r="AO113" s="13" t="n">
        <v>161408.19</v>
      </c>
      <c r="AR113" s="0" t="s">
        <v>593</v>
      </c>
      <c r="AZ113" s="0" t="s">
        <v>89</v>
      </c>
      <c r="BA113" s="0" t="s">
        <v>89</v>
      </c>
      <c r="BB113" s="0" t="s">
        <v>90</v>
      </c>
      <c r="BC113" s="0" t="s">
        <v>241</v>
      </c>
      <c r="BD113" s="15" t="s">
        <v>475</v>
      </c>
      <c r="BE113" s="37" t="s">
        <v>152</v>
      </c>
    </row>
    <row r="114" customFormat="false" ht="16.4" hidden="false" customHeight="false" outlineLevel="0" collapsed="false">
      <c r="A114" s="36" t="n">
        <f aca="false">IF(B114=0,"",MAX($A$3:A113)+1)</f>
        <v>99</v>
      </c>
      <c r="B114" s="36" t="n">
        <f aca="false">IF(OR(M114="FLETE",M114="FLETE ENVIO GARANTIA",M114="FLETE RECOLECCION GARANTIA",M114="COMPENSACION"),0,1)</f>
        <v>1</v>
      </c>
      <c r="D114" s="10" t="s">
        <v>463</v>
      </c>
      <c r="J114" s="0" t="s">
        <v>464</v>
      </c>
      <c r="K114" s="0" t="s">
        <v>214</v>
      </c>
      <c r="L114" s="0" t="s">
        <v>594</v>
      </c>
      <c r="M114" s="0" t="s">
        <v>595</v>
      </c>
      <c r="N114" s="0" t="n">
        <v>1</v>
      </c>
      <c r="P114" s="0" t="s">
        <v>217</v>
      </c>
      <c r="Q114" s="0" t="s">
        <v>218</v>
      </c>
      <c r="R114" s="0" t="s">
        <v>596</v>
      </c>
      <c r="S114" s="0" t="s">
        <v>158</v>
      </c>
      <c r="T114" s="0" t="s">
        <v>513</v>
      </c>
      <c r="U114" s="0" t="s">
        <v>160</v>
      </c>
      <c r="V114" s="0" t="s">
        <v>464</v>
      </c>
      <c r="W114" s="12" t="n">
        <v>0</v>
      </c>
      <c r="Y114" s="12" t="s">
        <v>468</v>
      </c>
      <c r="AG114" s="0" t="s">
        <v>7</v>
      </c>
      <c r="AL114" s="13" t="n">
        <v>1957058.8235</v>
      </c>
      <c r="AM114" s="14" t="n">
        <v>40</v>
      </c>
      <c r="AN114" s="13" t="n">
        <v>1397340</v>
      </c>
      <c r="AO114" s="13" t="n">
        <v>223104.71</v>
      </c>
      <c r="AR114" s="0" t="s">
        <v>597</v>
      </c>
      <c r="AZ114" s="0" t="s">
        <v>89</v>
      </c>
      <c r="BA114" s="0" t="s">
        <v>89</v>
      </c>
      <c r="BB114" s="0" t="s">
        <v>90</v>
      </c>
      <c r="BC114" s="0" t="s">
        <v>241</v>
      </c>
      <c r="BD114" s="15" t="s">
        <v>475</v>
      </c>
      <c r="BE114" s="37" t="s">
        <v>152</v>
      </c>
    </row>
    <row r="115" customFormat="false" ht="16.4" hidden="false" customHeight="false" outlineLevel="0" collapsed="false">
      <c r="A115" s="36" t="n">
        <f aca="false">IF(B115=0,"",MAX($A$3:A114)+1)</f>
        <v>100</v>
      </c>
      <c r="B115" s="36" t="n">
        <f aca="false">IF(OR(M115="FLETE",M115="FLETE ENVIO GARANTIA",M115="FLETE RECOLECCION GARANTIA",M115="COMPENSACION"),0,1)</f>
        <v>1</v>
      </c>
      <c r="D115" s="10" t="s">
        <v>463</v>
      </c>
      <c r="J115" s="0" t="s">
        <v>464</v>
      </c>
      <c r="K115" s="0" t="s">
        <v>479</v>
      </c>
      <c r="L115" s="0" t="s">
        <v>598</v>
      </c>
      <c r="M115" s="0" t="s">
        <v>599</v>
      </c>
      <c r="N115" s="0" t="n">
        <v>1</v>
      </c>
      <c r="P115" s="0" t="s">
        <v>217</v>
      </c>
      <c r="Q115" s="0" t="s">
        <v>482</v>
      </c>
      <c r="R115" s="0" t="s">
        <v>600</v>
      </c>
      <c r="S115" s="0" t="s">
        <v>158</v>
      </c>
      <c r="T115" s="0" t="s">
        <v>513</v>
      </c>
      <c r="U115" s="0" t="s">
        <v>160</v>
      </c>
      <c r="V115" s="0" t="s">
        <v>464</v>
      </c>
      <c r="W115" s="12" t="n">
        <v>0</v>
      </c>
      <c r="Y115" s="0" t="s">
        <v>468</v>
      </c>
      <c r="AG115" s="0" t="s">
        <v>7</v>
      </c>
      <c r="AL115" s="13" t="n">
        <v>1188991.5966</v>
      </c>
      <c r="AM115" s="14" t="n">
        <v>40</v>
      </c>
      <c r="AN115" s="13" t="n">
        <v>848940</v>
      </c>
      <c r="AO115" s="13" t="n">
        <v>135545.04</v>
      </c>
      <c r="AR115" s="0" t="s">
        <v>601</v>
      </c>
      <c r="AZ115" s="0" t="s">
        <v>89</v>
      </c>
      <c r="BA115" s="0" t="s">
        <v>89</v>
      </c>
      <c r="BB115" s="0" t="s">
        <v>90</v>
      </c>
      <c r="BC115" s="0" t="s">
        <v>241</v>
      </c>
      <c r="BD115" s="15" t="s">
        <v>475</v>
      </c>
      <c r="BE115" s="37" t="s">
        <v>152</v>
      </c>
    </row>
    <row r="116" customFormat="false" ht="16.4" hidden="false" customHeight="false" outlineLevel="0" collapsed="false">
      <c r="A116" s="36" t="n">
        <f aca="false">IF(B116=0,"",MAX($A$3:A115)+1)</f>
        <v>101</v>
      </c>
      <c r="B116" s="36" t="n">
        <f aca="false">IF(OR(M116="FLETE",M116="FLETE ENVIO GARANTIA",M116="FLETE RECOLECCION GARANTIA",M116="COMPENSACION"),0,1)</f>
        <v>1</v>
      </c>
      <c r="D116" s="10" t="s">
        <v>463</v>
      </c>
      <c r="J116" s="0" t="s">
        <v>464</v>
      </c>
      <c r="K116" s="0" t="s">
        <v>214</v>
      </c>
      <c r="L116" s="0" t="s">
        <v>602</v>
      </c>
      <c r="M116" s="0" t="s">
        <v>603</v>
      </c>
      <c r="N116" s="0" t="n">
        <v>1</v>
      </c>
      <c r="P116" s="0" t="s">
        <v>217</v>
      </c>
      <c r="Q116" s="0" t="s">
        <v>218</v>
      </c>
      <c r="R116" s="0" t="s">
        <v>604</v>
      </c>
      <c r="S116" s="0" t="s">
        <v>220</v>
      </c>
      <c r="T116" s="0" t="s">
        <v>513</v>
      </c>
      <c r="U116" s="0" t="s">
        <v>199</v>
      </c>
      <c r="V116" s="0" t="s">
        <v>464</v>
      </c>
      <c r="W116" s="12" t="n">
        <v>0</v>
      </c>
      <c r="Y116" s="12" t="s">
        <v>468</v>
      </c>
      <c r="AG116" s="0" t="s">
        <v>7</v>
      </c>
      <c r="AL116" s="13" t="n">
        <v>811680.6723</v>
      </c>
      <c r="AM116" s="14" t="n">
        <v>25</v>
      </c>
      <c r="AN116" s="13" t="n">
        <v>724425</v>
      </c>
      <c r="AO116" s="13" t="n">
        <v>115664.5</v>
      </c>
      <c r="AR116" s="0" t="s">
        <v>605</v>
      </c>
      <c r="AZ116" s="0" t="s">
        <v>89</v>
      </c>
      <c r="BA116" s="0" t="s">
        <v>89</v>
      </c>
      <c r="BB116" s="0" t="s">
        <v>90</v>
      </c>
      <c r="BC116" s="0" t="s">
        <v>241</v>
      </c>
      <c r="BD116" s="15" t="s">
        <v>475</v>
      </c>
      <c r="BE116" s="37" t="s">
        <v>152</v>
      </c>
    </row>
    <row r="117" customFormat="false" ht="16.4" hidden="false" customHeight="false" outlineLevel="0" collapsed="false">
      <c r="A117" s="36" t="n">
        <f aca="false">IF(B117=0,"",MAX($A$3:A116)+1)</f>
        <v>102</v>
      </c>
      <c r="B117" s="36" t="n">
        <f aca="false">IF(OR(M117="FLETE",M117="FLETE ENVIO GARANTIA",M117="FLETE RECOLECCION GARANTIA",M117="COMPENSACION"),0,1)</f>
        <v>1</v>
      </c>
      <c r="D117" s="10" t="s">
        <v>463</v>
      </c>
      <c r="J117" s="0" t="s">
        <v>464</v>
      </c>
      <c r="K117" s="0" t="s">
        <v>135</v>
      </c>
      <c r="L117" s="0" t="s">
        <v>606</v>
      </c>
      <c r="M117" s="0" t="s">
        <v>607</v>
      </c>
      <c r="N117" s="0" t="n">
        <v>1</v>
      </c>
      <c r="P117" s="0" t="s">
        <v>138</v>
      </c>
      <c r="Q117" s="0" t="s">
        <v>139</v>
      </c>
      <c r="R117" s="0" t="s">
        <v>608</v>
      </c>
      <c r="T117" s="0" t="s">
        <v>609</v>
      </c>
      <c r="U117" s="0" t="s">
        <v>610</v>
      </c>
      <c r="V117" s="0" t="s">
        <v>464</v>
      </c>
      <c r="W117" s="12" t="n">
        <v>0</v>
      </c>
      <c r="Y117" s="0" t="s">
        <v>468</v>
      </c>
      <c r="AG117" s="0" t="s">
        <v>7</v>
      </c>
      <c r="AL117" s="13" t="n">
        <v>811680.6723</v>
      </c>
      <c r="AM117" s="14" t="n">
        <v>25</v>
      </c>
      <c r="AN117" s="13" t="n">
        <v>724425</v>
      </c>
      <c r="AO117" s="13" t="n">
        <v>115664.5</v>
      </c>
      <c r="AR117" s="0" t="s">
        <v>611</v>
      </c>
      <c r="AZ117" s="0" t="s">
        <v>89</v>
      </c>
      <c r="BA117" s="0" t="s">
        <v>89</v>
      </c>
      <c r="BB117" s="0" t="s">
        <v>90</v>
      </c>
      <c r="BC117" s="0" t="s">
        <v>241</v>
      </c>
      <c r="BD117" s="15" t="s">
        <v>475</v>
      </c>
      <c r="BE117" s="37" t="s">
        <v>152</v>
      </c>
    </row>
    <row r="118" customFormat="false" ht="16.4" hidden="false" customHeight="false" outlineLevel="0" collapsed="false">
      <c r="A118" s="36" t="n">
        <f aca="false">IF(B118=0,"",MAX($A$3:A117)+1)</f>
        <v>103</v>
      </c>
      <c r="B118" s="36" t="n">
        <f aca="false">IF(OR(M118="FLETE",M118="FLETE ENVIO GARANTIA",M118="FLETE RECOLECCION GARANTIA",M118="COMPENSACION"),0,1)</f>
        <v>1</v>
      </c>
      <c r="D118" s="10" t="s">
        <v>463</v>
      </c>
      <c r="J118" s="0" t="s">
        <v>464</v>
      </c>
      <c r="K118" s="0" t="s">
        <v>479</v>
      </c>
      <c r="L118" s="0" t="s">
        <v>612</v>
      </c>
      <c r="M118" s="0" t="s">
        <v>613</v>
      </c>
      <c r="N118" s="0" t="n">
        <v>1</v>
      </c>
      <c r="P118" s="0" t="s">
        <v>217</v>
      </c>
      <c r="Q118" s="0" t="s">
        <v>482</v>
      </c>
      <c r="R118" s="0" t="s">
        <v>614</v>
      </c>
      <c r="S118" s="0" t="s">
        <v>220</v>
      </c>
      <c r="T118" s="0" t="s">
        <v>615</v>
      </c>
      <c r="U118" s="0" t="s">
        <v>199</v>
      </c>
      <c r="V118" s="0" t="s">
        <v>464</v>
      </c>
      <c r="W118" s="12" t="n">
        <v>0</v>
      </c>
      <c r="Y118" s="12" t="s">
        <v>468</v>
      </c>
      <c r="AG118" s="0" t="s">
        <v>7</v>
      </c>
      <c r="AL118" s="13" t="n">
        <v>811680.6723</v>
      </c>
      <c r="AM118" s="14" t="n">
        <v>25</v>
      </c>
      <c r="AN118" s="13" t="n">
        <v>724425</v>
      </c>
      <c r="AO118" s="13" t="n">
        <v>115664.5</v>
      </c>
      <c r="AR118" s="0" t="s">
        <v>616</v>
      </c>
      <c r="AZ118" s="0" t="s">
        <v>89</v>
      </c>
      <c r="BA118" s="0" t="s">
        <v>89</v>
      </c>
      <c r="BB118" s="0" t="s">
        <v>90</v>
      </c>
      <c r="BC118" s="0" t="s">
        <v>241</v>
      </c>
      <c r="BD118" s="15" t="s">
        <v>475</v>
      </c>
      <c r="BE118" s="37" t="s">
        <v>152</v>
      </c>
    </row>
    <row r="119" customFormat="false" ht="16.4" hidden="false" customHeight="false" outlineLevel="0" collapsed="false">
      <c r="A119" s="36" t="n">
        <f aca="false">IF(B119=0,"",MAX($A$3:A118)+1)</f>
        <v>104</v>
      </c>
      <c r="B119" s="36" t="n">
        <f aca="false">IF(OR(M119="FLETE",M119="FLETE ENVIO GARANTIA",M119="FLETE RECOLECCION GARANTIA",M119="COMPENSACION"),0,1)</f>
        <v>1</v>
      </c>
      <c r="D119" s="10" t="s">
        <v>463</v>
      </c>
      <c r="J119" s="0" t="s">
        <v>464</v>
      </c>
      <c r="K119" s="0" t="s">
        <v>493</v>
      </c>
      <c r="L119" s="0" t="s">
        <v>617</v>
      </c>
      <c r="M119" s="0" t="s">
        <v>618</v>
      </c>
      <c r="N119" s="0" t="n">
        <v>2</v>
      </c>
      <c r="P119" s="0" t="s">
        <v>138</v>
      </c>
      <c r="Q119" s="0" t="s">
        <v>496</v>
      </c>
      <c r="R119" s="0" t="s">
        <v>619</v>
      </c>
      <c r="S119" s="0" t="s">
        <v>158</v>
      </c>
      <c r="T119" s="0" t="s">
        <v>620</v>
      </c>
      <c r="U119" s="0" t="s">
        <v>508</v>
      </c>
      <c r="V119" s="0" t="s">
        <v>464</v>
      </c>
      <c r="W119" s="12" t="n">
        <v>0</v>
      </c>
      <c r="Y119" s="0" t="s">
        <v>468</v>
      </c>
      <c r="AG119" s="0" t="s">
        <v>7</v>
      </c>
      <c r="AL119" s="13" t="n">
        <v>811680.6723</v>
      </c>
      <c r="AM119" s="14" t="n">
        <v>25</v>
      </c>
      <c r="AN119" s="13" t="n">
        <v>1448850</v>
      </c>
      <c r="AO119" s="13" t="n">
        <v>231328.99</v>
      </c>
      <c r="AR119" s="0" t="s">
        <v>621</v>
      </c>
      <c r="AZ119" s="0" t="s">
        <v>89</v>
      </c>
      <c r="BA119" s="0" t="s">
        <v>89</v>
      </c>
      <c r="BB119" s="0" t="s">
        <v>90</v>
      </c>
      <c r="BC119" s="0" t="s">
        <v>241</v>
      </c>
      <c r="BD119" s="15" t="s">
        <v>475</v>
      </c>
      <c r="BE119" s="37" t="s">
        <v>152</v>
      </c>
    </row>
    <row r="120" customFormat="false" ht="16.4" hidden="false" customHeight="false" outlineLevel="0" collapsed="false">
      <c r="A120" s="36" t="n">
        <f aca="false">IF(B120=0,"",MAX($A$3:A119)+1)</f>
        <v>105</v>
      </c>
      <c r="B120" s="36" t="n">
        <f aca="false">IF(OR(M120="FLETE",M120="FLETE ENVIO GARANTIA",M120="FLETE RECOLECCION GARANTIA",M120="COMPENSACION"),0,1)</f>
        <v>1</v>
      </c>
      <c r="D120" s="10" t="s">
        <v>463</v>
      </c>
      <c r="J120" s="0" t="s">
        <v>464</v>
      </c>
      <c r="K120" s="0" t="s">
        <v>493</v>
      </c>
      <c r="L120" s="0" t="s">
        <v>622</v>
      </c>
      <c r="M120" s="0" t="s">
        <v>623</v>
      </c>
      <c r="N120" s="0" t="n">
        <v>2</v>
      </c>
      <c r="P120" s="0" t="s">
        <v>138</v>
      </c>
      <c r="Q120" s="0" t="s">
        <v>496</v>
      </c>
      <c r="R120" s="0" t="s">
        <v>624</v>
      </c>
      <c r="S120" s="0" t="s">
        <v>435</v>
      </c>
      <c r="T120" s="0" t="s">
        <v>236</v>
      </c>
      <c r="U120" s="0" t="s">
        <v>456</v>
      </c>
      <c r="V120" s="0" t="s">
        <v>464</v>
      </c>
      <c r="W120" s="12" t="n">
        <v>0</v>
      </c>
      <c r="Y120" s="12" t="s">
        <v>468</v>
      </c>
      <c r="AG120" s="0" t="s">
        <v>7</v>
      </c>
      <c r="AL120" s="13" t="n">
        <v>353697.479</v>
      </c>
      <c r="AM120" s="14" t="n">
        <v>0</v>
      </c>
      <c r="AN120" s="13" t="n">
        <v>841800</v>
      </c>
      <c r="AO120" s="13" t="n">
        <v>134405.04</v>
      </c>
      <c r="AR120" s="0" t="s">
        <v>625</v>
      </c>
      <c r="AZ120" s="0" t="s">
        <v>89</v>
      </c>
      <c r="BA120" s="0" t="s">
        <v>89</v>
      </c>
      <c r="BB120" s="0" t="s">
        <v>90</v>
      </c>
      <c r="BC120" s="0" t="s">
        <v>241</v>
      </c>
      <c r="BD120" s="15" t="s">
        <v>475</v>
      </c>
      <c r="BE120" s="37" t="s">
        <v>152</v>
      </c>
    </row>
    <row r="121" customFormat="false" ht="16.4" hidden="false" customHeight="false" outlineLevel="0" collapsed="false">
      <c r="A121" s="36" t="n">
        <f aca="false">IF(B121=0,"",MAX($A$3:A120)+1)</f>
        <v>106</v>
      </c>
      <c r="B121" s="36" t="n">
        <f aca="false">IF(OR(M121="FLETE",M121="FLETE ENVIO GARANTIA",M121="FLETE RECOLECCION GARANTIA",M121="COMPENSACION"),0,1)</f>
        <v>1</v>
      </c>
      <c r="D121" s="10" t="s">
        <v>463</v>
      </c>
      <c r="J121" s="0" t="s">
        <v>464</v>
      </c>
      <c r="K121" s="0" t="s">
        <v>214</v>
      </c>
      <c r="L121" s="0" t="s">
        <v>626</v>
      </c>
      <c r="M121" s="0" t="s">
        <v>627</v>
      </c>
      <c r="N121" s="0" t="n">
        <v>1</v>
      </c>
      <c r="P121" s="0" t="s">
        <v>217</v>
      </c>
      <c r="Q121" s="0" t="s">
        <v>218</v>
      </c>
      <c r="R121" s="0" t="s">
        <v>628</v>
      </c>
      <c r="S121" s="0" t="s">
        <v>435</v>
      </c>
      <c r="T121" s="0" t="s">
        <v>513</v>
      </c>
      <c r="U121" s="0" t="s">
        <v>437</v>
      </c>
      <c r="V121" s="0" t="s">
        <v>464</v>
      </c>
      <c r="W121" s="12" t="n">
        <v>0</v>
      </c>
      <c r="Y121" s="0" t="s">
        <v>468</v>
      </c>
      <c r="AG121" s="0" t="s">
        <v>7</v>
      </c>
      <c r="AL121" s="13" t="n">
        <v>1869663.8655</v>
      </c>
      <c r="AM121" s="14" t="n">
        <v>0</v>
      </c>
      <c r="AN121" s="13" t="n">
        <v>2224900.01</v>
      </c>
      <c r="AO121" s="13" t="n">
        <v>355236.14</v>
      </c>
      <c r="AR121" s="0" t="s">
        <v>629</v>
      </c>
      <c r="AZ121" s="0" t="s">
        <v>89</v>
      </c>
      <c r="BA121" s="0" t="s">
        <v>89</v>
      </c>
      <c r="BB121" s="0" t="s">
        <v>90</v>
      </c>
      <c r="BC121" s="0" t="s">
        <v>241</v>
      </c>
      <c r="BD121" s="15" t="s">
        <v>475</v>
      </c>
      <c r="BE121" s="37" t="s">
        <v>152</v>
      </c>
    </row>
    <row r="122" customFormat="false" ht="16.4" hidden="false" customHeight="false" outlineLevel="0" collapsed="false">
      <c r="A122" s="36" t="n">
        <f aca="false">IF(B122=0,"",MAX($A$3:A121)+1)</f>
        <v>107</v>
      </c>
      <c r="B122" s="36" t="n">
        <f aca="false">IF(OR(M122="FLETE",M122="FLETE ENVIO GARANTIA",M122="FLETE RECOLECCION GARANTIA",M122="COMPENSACION"),0,1)</f>
        <v>1</v>
      </c>
      <c r="C122" s="0" t="s">
        <v>630</v>
      </c>
      <c r="D122" s="10" t="n">
        <v>13935211</v>
      </c>
      <c r="E122" s="11" t="n">
        <v>45706</v>
      </c>
      <c r="F122" s="11" t="n">
        <v>45717</v>
      </c>
      <c r="G122" s="11" t="n">
        <v>45719</v>
      </c>
      <c r="I122" s="11" t="n">
        <v>45720</v>
      </c>
      <c r="J122" s="0" t="s">
        <v>282</v>
      </c>
      <c r="K122" s="0" t="s">
        <v>135</v>
      </c>
      <c r="L122" s="0" t="s">
        <v>631</v>
      </c>
      <c r="M122" s="0" t="s">
        <v>632</v>
      </c>
      <c r="N122" s="0" t="n">
        <v>1</v>
      </c>
      <c r="P122" s="0" t="s">
        <v>138</v>
      </c>
      <c r="Q122" s="0" t="s">
        <v>139</v>
      </c>
      <c r="R122" s="0" t="s">
        <v>633</v>
      </c>
      <c r="T122" s="0" t="s">
        <v>198</v>
      </c>
      <c r="U122" s="0" t="s">
        <v>199</v>
      </c>
      <c r="V122" s="0" t="s">
        <v>634</v>
      </c>
      <c r="W122" s="12" t="n">
        <v>0</v>
      </c>
      <c r="Y122" s="12" t="s">
        <v>439</v>
      </c>
      <c r="Z122" s="0" t="s">
        <v>179</v>
      </c>
      <c r="AB122" s="0" t="n">
        <v>1110551440</v>
      </c>
      <c r="AC122" s="0" t="s">
        <v>458</v>
      </c>
      <c r="AE122" s="0" t="n">
        <v>3178603193</v>
      </c>
      <c r="AF122" s="0" t="n">
        <v>533753</v>
      </c>
      <c r="AG122" s="0" t="s">
        <v>5</v>
      </c>
      <c r="AK122" s="0" t="s">
        <v>85</v>
      </c>
      <c r="AL122" s="13" t="n">
        <v>425900</v>
      </c>
      <c r="AM122" s="14" t="n">
        <v>-9.3919</v>
      </c>
      <c r="AN122" s="13" t="n">
        <v>554421.12</v>
      </c>
      <c r="AO122" s="13" t="n">
        <v>88521.02</v>
      </c>
      <c r="AP122" s="0" t="n">
        <v>0</v>
      </c>
      <c r="AR122" s="0" t="s">
        <v>635</v>
      </c>
      <c r="AS122" s="0" t="n">
        <v>554421.12</v>
      </c>
      <c r="AT122" s="0" t="s">
        <v>441</v>
      </c>
      <c r="AU122" s="0" t="s">
        <v>444</v>
      </c>
      <c r="AV122" s="0" t="s">
        <v>445</v>
      </c>
      <c r="AX122" s="0" t="s">
        <v>438</v>
      </c>
      <c r="AY122" s="0" t="s">
        <v>440</v>
      </c>
      <c r="AZ122" s="0" t="s">
        <v>89</v>
      </c>
      <c r="BA122" s="0" t="s">
        <v>89</v>
      </c>
      <c r="BB122" s="0" t="s">
        <v>90</v>
      </c>
      <c r="BC122" s="0" t="n">
        <v>0</v>
      </c>
      <c r="BD122" s="15" t="s">
        <v>636</v>
      </c>
      <c r="BE122" s="37" t="s">
        <v>461</v>
      </c>
    </row>
    <row r="123" customFormat="false" ht="16.4" hidden="false" customHeight="false" outlineLevel="0" collapsed="false">
      <c r="A123" s="36" t="str">
        <f aca="false">IF(B123=0,"",MAX($A$3:A122)+1)</f>
        <v/>
      </c>
      <c r="B123" s="36" t="n">
        <f aca="false">IF(OR(M123="FLETE",M123="FLETE ENVIO GARANTIA",M123="FLETE RECOLECCION GARANTIA",M123="COMPENSACION"),0,1)</f>
        <v>0</v>
      </c>
      <c r="D123" s="10" t="n">
        <v>13935211</v>
      </c>
      <c r="J123" s="0" t="s">
        <v>282</v>
      </c>
      <c r="K123" s="0" t="s">
        <v>93</v>
      </c>
      <c r="L123" s="0" t="s">
        <v>210</v>
      </c>
      <c r="M123" s="0" t="s">
        <v>211</v>
      </c>
      <c r="N123" s="0" t="n">
        <v>1</v>
      </c>
      <c r="P123" s="0" t="s">
        <v>73</v>
      </c>
      <c r="R123" s="0" t="s">
        <v>211</v>
      </c>
      <c r="V123" s="0" t="s">
        <v>634</v>
      </c>
      <c r="W123" s="12" t="n">
        <v>0</v>
      </c>
      <c r="Y123" s="0" t="s">
        <v>439</v>
      </c>
      <c r="AG123" s="0" t="s">
        <v>5</v>
      </c>
      <c r="AL123" s="13" t="n">
        <v>0</v>
      </c>
      <c r="AM123" s="14" t="n">
        <v>0</v>
      </c>
      <c r="AO123" s="13" t="n">
        <v>0</v>
      </c>
      <c r="AR123" s="0" t="s">
        <v>635</v>
      </c>
      <c r="AZ123" s="0" t="s">
        <v>89</v>
      </c>
      <c r="BA123" s="0" t="s">
        <v>89</v>
      </c>
      <c r="BB123" s="0" t="s">
        <v>90</v>
      </c>
      <c r="BC123" s="0" t="n">
        <v>0</v>
      </c>
      <c r="BD123" s="15" t="s">
        <v>636</v>
      </c>
      <c r="BE123" s="37" t="s">
        <v>461</v>
      </c>
    </row>
    <row r="124" customFormat="false" ht="16.4" hidden="false" customHeight="false" outlineLevel="0" collapsed="false">
      <c r="A124" s="36" t="n">
        <f aca="false">IF(B124=0,"",MAX($A$3:A123)+1)</f>
        <v>108</v>
      </c>
      <c r="B124" s="36" t="n">
        <f aca="false">IF(OR(M124="FLETE",M124="FLETE ENVIO GARANTIA",M124="FLETE RECOLECCION GARANTIA",M124="COMPENSACION"),0,1)</f>
        <v>1</v>
      </c>
      <c r="C124" s="0" t="s">
        <v>637</v>
      </c>
      <c r="D124" s="10" t="n">
        <v>13935155</v>
      </c>
      <c r="E124" s="11" t="n">
        <v>45706</v>
      </c>
      <c r="F124" s="11" t="n">
        <v>45717</v>
      </c>
      <c r="G124" s="11" t="n">
        <v>45719</v>
      </c>
      <c r="I124" s="11" t="n">
        <v>45720</v>
      </c>
      <c r="J124" s="0" t="s">
        <v>282</v>
      </c>
      <c r="K124" s="0" t="s">
        <v>214</v>
      </c>
      <c r="L124" s="0" t="s">
        <v>638</v>
      </c>
      <c r="M124" s="0" t="s">
        <v>639</v>
      </c>
      <c r="N124" s="0" t="n">
        <v>1</v>
      </c>
      <c r="P124" s="0" t="s">
        <v>217</v>
      </c>
      <c r="Q124" s="0" t="s">
        <v>640</v>
      </c>
      <c r="R124" s="0" t="s">
        <v>641</v>
      </c>
      <c r="S124" s="0" t="s">
        <v>158</v>
      </c>
      <c r="T124" s="0" t="s">
        <v>513</v>
      </c>
      <c r="V124" s="0" t="s">
        <v>642</v>
      </c>
      <c r="W124" s="12" t="n">
        <v>0</v>
      </c>
      <c r="Y124" s="12" t="s">
        <v>439</v>
      </c>
      <c r="Z124" s="0" t="s">
        <v>179</v>
      </c>
      <c r="AB124" s="0" t="n">
        <v>71641622</v>
      </c>
      <c r="AC124" s="0" t="s">
        <v>458</v>
      </c>
      <c r="AE124" s="0" t="n">
        <v>3104671357</v>
      </c>
      <c r="AF124" s="0" t="n">
        <v>758868</v>
      </c>
      <c r="AG124" s="0" t="s">
        <v>5</v>
      </c>
      <c r="AK124" s="0" t="s">
        <v>85</v>
      </c>
      <c r="AL124" s="13" t="n">
        <v>188900</v>
      </c>
      <c r="AM124" s="14" t="n">
        <v>-19.5871</v>
      </c>
      <c r="AN124" s="13" t="n">
        <v>268821.04</v>
      </c>
      <c r="AO124" s="13" t="n">
        <v>42921.01</v>
      </c>
      <c r="AP124" s="0" t="s">
        <v>643</v>
      </c>
      <c r="AR124" s="0" t="s">
        <v>644</v>
      </c>
      <c r="AS124" s="0" t="n">
        <v>268821.04</v>
      </c>
      <c r="AT124" s="0" t="s">
        <v>441</v>
      </c>
      <c r="AU124" s="0" t="s">
        <v>444</v>
      </c>
      <c r="AV124" s="0" t="s">
        <v>445</v>
      </c>
      <c r="AX124" s="0" t="s">
        <v>438</v>
      </c>
      <c r="AY124" s="0" t="s">
        <v>440</v>
      </c>
      <c r="AZ124" s="0" t="s">
        <v>89</v>
      </c>
      <c r="BA124" s="0" t="s">
        <v>89</v>
      </c>
      <c r="BB124" s="0" t="s">
        <v>90</v>
      </c>
      <c r="BC124" s="0" t="n">
        <v>0</v>
      </c>
      <c r="BD124" s="15" t="s">
        <v>645</v>
      </c>
      <c r="BE124" s="37" t="s">
        <v>461</v>
      </c>
    </row>
    <row r="125" customFormat="false" ht="16.4" hidden="false" customHeight="false" outlineLevel="0" collapsed="false">
      <c r="A125" s="36" t="str">
        <f aca="false">IF(B125=0,"",MAX($A$3:A124)+1)</f>
        <v/>
      </c>
      <c r="B125" s="36" t="n">
        <f aca="false">IF(OR(M125="FLETE",M125="FLETE ENVIO GARANTIA",M125="FLETE RECOLECCION GARANTIA",M125="COMPENSACION"),0,1)</f>
        <v>0</v>
      </c>
      <c r="D125" s="10" t="n">
        <v>13935155</v>
      </c>
      <c r="J125" s="0" t="s">
        <v>282</v>
      </c>
      <c r="K125" s="0" t="s">
        <v>93</v>
      </c>
      <c r="L125" s="0" t="s">
        <v>210</v>
      </c>
      <c r="M125" s="0" t="s">
        <v>211</v>
      </c>
      <c r="N125" s="0" t="n">
        <v>1</v>
      </c>
      <c r="P125" s="0" t="s">
        <v>73</v>
      </c>
      <c r="R125" s="0" t="s">
        <v>211</v>
      </c>
      <c r="V125" s="0" t="s">
        <v>642</v>
      </c>
      <c r="W125" s="12" t="n">
        <v>0</v>
      </c>
      <c r="Y125" s="0" t="s">
        <v>439</v>
      </c>
      <c r="AG125" s="0" t="s">
        <v>5</v>
      </c>
      <c r="AL125" s="13" t="n">
        <v>0</v>
      </c>
      <c r="AM125" s="14" t="n">
        <v>0</v>
      </c>
      <c r="AO125" s="13" t="n">
        <v>0</v>
      </c>
      <c r="AR125" s="0" t="s">
        <v>644</v>
      </c>
      <c r="AZ125" s="0" t="s">
        <v>89</v>
      </c>
      <c r="BA125" s="0" t="s">
        <v>89</v>
      </c>
      <c r="BB125" s="0" t="s">
        <v>90</v>
      </c>
      <c r="BC125" s="0" t="n">
        <v>0</v>
      </c>
      <c r="BD125" s="15" t="s">
        <v>645</v>
      </c>
      <c r="BE125" s="37" t="s">
        <v>461</v>
      </c>
    </row>
    <row r="126" customFormat="false" ht="16.4" hidden="false" customHeight="false" outlineLevel="0" collapsed="false">
      <c r="A126" s="36" t="n">
        <f aca="false">IF(B126=0,"",MAX($A$3:A125)+1)</f>
        <v>109</v>
      </c>
      <c r="B126" s="36" t="n">
        <f aca="false">IF(OR(M126="FLETE",M126="FLETE ENVIO GARANTIA",M126="FLETE RECOLECCION GARANTIA",M126="COMPENSACION"),0,1)</f>
        <v>1</v>
      </c>
      <c r="C126" s="0" t="s">
        <v>646</v>
      </c>
      <c r="D126" s="10" t="n">
        <v>13935108</v>
      </c>
      <c r="E126" s="11" t="n">
        <v>45706</v>
      </c>
      <c r="F126" s="11" t="n">
        <v>45717</v>
      </c>
      <c r="G126" s="11" t="n">
        <v>45719</v>
      </c>
      <c r="I126" s="11" t="n">
        <v>45720</v>
      </c>
      <c r="J126" s="0" t="s">
        <v>282</v>
      </c>
      <c r="K126" s="0" t="s">
        <v>135</v>
      </c>
      <c r="L126" s="0" t="s">
        <v>631</v>
      </c>
      <c r="M126" s="0" t="s">
        <v>632</v>
      </c>
      <c r="N126" s="0" t="n">
        <v>1</v>
      </c>
      <c r="P126" s="0" t="s">
        <v>138</v>
      </c>
      <c r="Q126" s="0" t="s">
        <v>139</v>
      </c>
      <c r="R126" s="0" t="s">
        <v>633</v>
      </c>
      <c r="T126" s="0" t="s">
        <v>198</v>
      </c>
      <c r="U126" s="0" t="s">
        <v>199</v>
      </c>
      <c r="V126" s="0" t="s">
        <v>647</v>
      </c>
      <c r="W126" s="12" t="n">
        <v>0</v>
      </c>
      <c r="Y126" s="0" t="s">
        <v>439</v>
      </c>
      <c r="Z126" s="0" t="s">
        <v>179</v>
      </c>
      <c r="AB126" s="0" t="n">
        <v>1070925971</v>
      </c>
      <c r="AC126" s="0" t="s">
        <v>458</v>
      </c>
      <c r="AE126" s="0" t="n">
        <v>3006133481</v>
      </c>
      <c r="AF126" s="0" t="n">
        <v>533746</v>
      </c>
      <c r="AG126" s="0" t="s">
        <v>5</v>
      </c>
      <c r="AK126" s="0" t="s">
        <v>85</v>
      </c>
      <c r="AL126" s="13" t="n">
        <v>425900</v>
      </c>
      <c r="AM126" s="14" t="n">
        <v>-2.41</v>
      </c>
      <c r="AN126" s="13" t="n">
        <v>519035.39</v>
      </c>
      <c r="AO126" s="13" t="n">
        <v>82871.2</v>
      </c>
      <c r="AP126" s="0" t="s">
        <v>648</v>
      </c>
      <c r="AR126" s="0" t="s">
        <v>649</v>
      </c>
      <c r="AS126" s="0" t="n">
        <v>3120061.97</v>
      </c>
      <c r="AT126" s="0" t="s">
        <v>441</v>
      </c>
      <c r="AU126" s="0" t="s">
        <v>444</v>
      </c>
      <c r="AV126" s="0" t="s">
        <v>445</v>
      </c>
      <c r="AX126" s="0" t="s">
        <v>438</v>
      </c>
      <c r="AY126" s="0" t="s">
        <v>440</v>
      </c>
      <c r="AZ126" s="0" t="s">
        <v>89</v>
      </c>
      <c r="BA126" s="0" t="s">
        <v>89</v>
      </c>
      <c r="BB126" s="0" t="s">
        <v>90</v>
      </c>
      <c r="BC126" s="0" t="n">
        <v>0</v>
      </c>
      <c r="BD126" s="15" t="s">
        <v>650</v>
      </c>
      <c r="BE126" s="37" t="s">
        <v>461</v>
      </c>
    </row>
    <row r="127" customFormat="false" ht="16.4" hidden="false" customHeight="false" outlineLevel="0" collapsed="false">
      <c r="A127" s="36" t="n">
        <f aca="false">IF(B127=0,"",MAX($A$3:A126)+1)</f>
        <v>110</v>
      </c>
      <c r="B127" s="36" t="n">
        <f aca="false">IF(OR(M127="FLETE",M127="FLETE ENVIO GARANTIA",M127="FLETE RECOLECCION GARANTIA",M127="COMPENSACION"),0,1)</f>
        <v>1</v>
      </c>
      <c r="D127" s="10" t="n">
        <v>13935108</v>
      </c>
      <c r="J127" s="0" t="s">
        <v>282</v>
      </c>
      <c r="K127" s="0" t="s">
        <v>493</v>
      </c>
      <c r="L127" s="0" t="s">
        <v>651</v>
      </c>
      <c r="M127" s="0" t="s">
        <v>652</v>
      </c>
      <c r="N127" s="0" t="n">
        <v>4</v>
      </c>
      <c r="P127" s="0" t="s">
        <v>138</v>
      </c>
      <c r="Q127" s="0" t="s">
        <v>496</v>
      </c>
      <c r="R127" s="0" t="s">
        <v>653</v>
      </c>
      <c r="S127" s="0" t="s">
        <v>454</v>
      </c>
      <c r="T127" s="0" t="s">
        <v>236</v>
      </c>
      <c r="U127" s="0" t="s">
        <v>176</v>
      </c>
      <c r="V127" s="0" t="s">
        <v>647</v>
      </c>
      <c r="W127" s="12" t="n">
        <v>0</v>
      </c>
      <c r="Y127" s="0" t="s">
        <v>439</v>
      </c>
      <c r="AG127" s="0" t="s">
        <v>5</v>
      </c>
      <c r="AL127" s="13" t="n">
        <v>230900</v>
      </c>
      <c r="AM127" s="14" t="n">
        <v>-2.41</v>
      </c>
      <c r="AN127" s="13" t="n">
        <v>1125571.92</v>
      </c>
      <c r="AO127" s="13" t="n">
        <v>179713.16</v>
      </c>
      <c r="AR127" s="0" t="s">
        <v>649</v>
      </c>
      <c r="AZ127" s="0" t="s">
        <v>89</v>
      </c>
      <c r="BA127" s="0" t="s">
        <v>89</v>
      </c>
      <c r="BB127" s="0" t="s">
        <v>90</v>
      </c>
      <c r="BC127" s="0" t="n">
        <v>0</v>
      </c>
      <c r="BD127" s="15" t="s">
        <v>650</v>
      </c>
      <c r="BE127" s="37" t="s">
        <v>461</v>
      </c>
    </row>
    <row r="128" customFormat="false" ht="16.4" hidden="false" customHeight="false" outlineLevel="0" collapsed="false">
      <c r="A128" s="36" t="n">
        <f aca="false">IF(B128=0,"",MAX($A$3:A127)+1)</f>
        <v>111</v>
      </c>
      <c r="B128" s="36" t="n">
        <f aca="false">IF(OR(M128="FLETE",M128="FLETE ENVIO GARANTIA",M128="FLETE RECOLECCION GARANTIA",M128="COMPENSACION"),0,1)</f>
        <v>1</v>
      </c>
      <c r="D128" s="10" t="n">
        <v>13935108</v>
      </c>
      <c r="J128" s="0" t="s">
        <v>282</v>
      </c>
      <c r="K128" s="0" t="s">
        <v>214</v>
      </c>
      <c r="L128" s="0" t="s">
        <v>654</v>
      </c>
      <c r="M128" s="0" t="s">
        <v>655</v>
      </c>
      <c r="N128" s="0" t="n">
        <v>1</v>
      </c>
      <c r="P128" s="0" t="s">
        <v>217</v>
      </c>
      <c r="Q128" s="0" t="s">
        <v>218</v>
      </c>
      <c r="R128" s="0" t="s">
        <v>656</v>
      </c>
      <c r="S128" s="0" t="s">
        <v>454</v>
      </c>
      <c r="T128" s="0" t="s">
        <v>236</v>
      </c>
      <c r="U128" s="0" t="s">
        <v>199</v>
      </c>
      <c r="V128" s="0" t="s">
        <v>647</v>
      </c>
      <c r="W128" s="12" t="n">
        <v>0</v>
      </c>
      <c r="Y128" s="12" t="s">
        <v>439</v>
      </c>
      <c r="AG128" s="0" t="s">
        <v>5</v>
      </c>
      <c r="AL128" s="13" t="n">
        <v>721900</v>
      </c>
      <c r="AM128" s="14" t="n">
        <v>-2.41</v>
      </c>
      <c r="AN128" s="13" t="n">
        <v>879764.37</v>
      </c>
      <c r="AO128" s="13" t="n">
        <v>140466.58</v>
      </c>
      <c r="AR128" s="0" t="s">
        <v>649</v>
      </c>
      <c r="AZ128" s="0" t="s">
        <v>89</v>
      </c>
      <c r="BA128" s="0" t="s">
        <v>89</v>
      </c>
      <c r="BB128" s="0" t="s">
        <v>90</v>
      </c>
      <c r="BC128" s="0" t="n">
        <v>0</v>
      </c>
      <c r="BD128" s="15" t="s">
        <v>650</v>
      </c>
      <c r="BE128" s="37" t="s">
        <v>461</v>
      </c>
    </row>
    <row r="129" customFormat="false" ht="16.4" hidden="false" customHeight="false" outlineLevel="0" collapsed="false">
      <c r="A129" s="36" t="n">
        <f aca="false">IF(B129=0,"",MAX($A$3:A128)+1)</f>
        <v>112</v>
      </c>
      <c r="B129" s="36" t="n">
        <f aca="false">IF(OR(M129="FLETE",M129="FLETE ENVIO GARANTIA",M129="FLETE RECOLECCION GARANTIA",M129="COMPENSACION"),0,1)</f>
        <v>1</v>
      </c>
      <c r="D129" s="10" t="n">
        <v>13935108</v>
      </c>
      <c r="J129" s="0" t="s">
        <v>282</v>
      </c>
      <c r="K129" s="0" t="s">
        <v>479</v>
      </c>
      <c r="L129" s="0" t="s">
        <v>657</v>
      </c>
      <c r="M129" s="0" t="s">
        <v>658</v>
      </c>
      <c r="N129" s="0" t="n">
        <v>1</v>
      </c>
      <c r="P129" s="0" t="s">
        <v>217</v>
      </c>
      <c r="Q129" s="0" t="s">
        <v>482</v>
      </c>
      <c r="R129" s="0" t="s">
        <v>656</v>
      </c>
      <c r="S129" s="0" t="s">
        <v>454</v>
      </c>
      <c r="T129" s="0" t="s">
        <v>236</v>
      </c>
      <c r="U129" s="0" t="s">
        <v>199</v>
      </c>
      <c r="V129" s="0" t="s">
        <v>647</v>
      </c>
      <c r="W129" s="12" t="n">
        <v>0</v>
      </c>
      <c r="Y129" s="0" t="s">
        <v>439</v>
      </c>
      <c r="AG129" s="0" t="s">
        <v>5</v>
      </c>
      <c r="AL129" s="13" t="n">
        <v>400900</v>
      </c>
      <c r="AM129" s="14" t="n">
        <v>-2.41</v>
      </c>
      <c r="AN129" s="13" t="n">
        <v>488568.41</v>
      </c>
      <c r="AO129" s="13" t="n">
        <v>78006.72</v>
      </c>
      <c r="AR129" s="0" t="s">
        <v>649</v>
      </c>
      <c r="AZ129" s="0" t="s">
        <v>89</v>
      </c>
      <c r="BA129" s="0" t="s">
        <v>89</v>
      </c>
      <c r="BB129" s="0" t="s">
        <v>90</v>
      </c>
      <c r="BC129" s="0" t="n">
        <v>0</v>
      </c>
      <c r="BD129" s="15" t="s">
        <v>650</v>
      </c>
      <c r="BE129" s="37" t="s">
        <v>461</v>
      </c>
    </row>
    <row r="130" customFormat="false" ht="16.4" hidden="false" customHeight="false" outlineLevel="0" collapsed="false">
      <c r="A130" s="36" t="n">
        <f aca="false">IF(B130=0,"",MAX($A$3:A129)+1)</f>
        <v>113</v>
      </c>
      <c r="B130" s="36" t="n">
        <f aca="false">IF(OR(M130="FLETE",M130="FLETE ENVIO GARANTIA",M130="FLETE RECOLECCION GARANTIA",M130="COMPENSACION"),0,1)</f>
        <v>1</v>
      </c>
      <c r="D130" s="10" t="n">
        <v>13935108</v>
      </c>
      <c r="J130" s="0" t="s">
        <v>282</v>
      </c>
      <c r="K130" s="0" t="s">
        <v>529</v>
      </c>
      <c r="L130" s="0" t="s">
        <v>659</v>
      </c>
      <c r="M130" s="0" t="s">
        <v>660</v>
      </c>
      <c r="N130" s="0" t="n">
        <v>1</v>
      </c>
      <c r="P130" s="0" t="s">
        <v>217</v>
      </c>
      <c r="Q130" s="0" t="s">
        <v>541</v>
      </c>
      <c r="R130" s="0" t="s">
        <v>661</v>
      </c>
      <c r="T130" s="0" t="s">
        <v>198</v>
      </c>
      <c r="U130" s="0" t="s">
        <v>199</v>
      </c>
      <c r="V130" s="0" t="s">
        <v>647</v>
      </c>
      <c r="W130" s="12" t="n">
        <v>0</v>
      </c>
      <c r="Y130" s="12" t="s">
        <v>439</v>
      </c>
      <c r="AG130" s="0" t="s">
        <v>5</v>
      </c>
      <c r="AL130" s="13" t="n">
        <v>87900</v>
      </c>
      <c r="AM130" s="14" t="n">
        <v>-2.41</v>
      </c>
      <c r="AN130" s="13" t="n">
        <v>107121.88</v>
      </c>
      <c r="AO130" s="13" t="n">
        <v>17103.49</v>
      </c>
      <c r="AR130" s="0" t="s">
        <v>649</v>
      </c>
      <c r="AZ130" s="0" t="s">
        <v>89</v>
      </c>
      <c r="BA130" s="0" t="s">
        <v>89</v>
      </c>
      <c r="BB130" s="0" t="s">
        <v>90</v>
      </c>
      <c r="BC130" s="0" t="n">
        <v>0</v>
      </c>
      <c r="BD130" s="15" t="s">
        <v>650</v>
      </c>
      <c r="BE130" s="37" t="s">
        <v>461</v>
      </c>
    </row>
    <row r="131" customFormat="false" ht="16.4" hidden="false" customHeight="false" outlineLevel="0" collapsed="false">
      <c r="A131" s="36" t="str">
        <f aca="false">IF(B131=0,"",MAX($A$3:A130)+1)</f>
        <v/>
      </c>
      <c r="B131" s="36" t="n">
        <f aca="false">IF(OR(M131="FLETE",M131="FLETE ENVIO GARANTIA",M131="FLETE RECOLECCION GARANTIA",M131="COMPENSACION"),0,1)</f>
        <v>0</v>
      </c>
      <c r="D131" s="10" t="n">
        <v>13935108</v>
      </c>
      <c r="J131" s="0" t="s">
        <v>282</v>
      </c>
      <c r="K131" s="0" t="s">
        <v>93</v>
      </c>
      <c r="L131" s="0" t="s">
        <v>210</v>
      </c>
      <c r="M131" s="0" t="s">
        <v>211</v>
      </c>
      <c r="N131" s="0" t="n">
        <v>1</v>
      </c>
      <c r="P131" s="0" t="s">
        <v>73</v>
      </c>
      <c r="R131" s="0" t="s">
        <v>211</v>
      </c>
      <c r="V131" s="0" t="s">
        <v>647</v>
      </c>
      <c r="W131" s="12" t="n">
        <v>0</v>
      </c>
      <c r="Y131" s="0" t="s">
        <v>439</v>
      </c>
      <c r="AG131" s="0" t="s">
        <v>5</v>
      </c>
      <c r="AL131" s="13" t="n">
        <v>0</v>
      </c>
      <c r="AM131" s="14" t="n">
        <v>0</v>
      </c>
      <c r="AO131" s="13" t="n">
        <v>0</v>
      </c>
      <c r="AR131" s="0" t="s">
        <v>649</v>
      </c>
      <c r="AZ131" s="0" t="s">
        <v>89</v>
      </c>
      <c r="BA131" s="0" t="s">
        <v>89</v>
      </c>
      <c r="BB131" s="0" t="s">
        <v>90</v>
      </c>
      <c r="BC131" s="0" t="n">
        <v>0</v>
      </c>
      <c r="BD131" s="15" t="s">
        <v>650</v>
      </c>
      <c r="BE131" s="37" t="s">
        <v>461</v>
      </c>
    </row>
    <row r="132" customFormat="false" ht="16.4" hidden="false" customHeight="false" outlineLevel="0" collapsed="false">
      <c r="A132" s="36" t="n">
        <f aca="false">IF(B132=0,"",MAX($A$3:A131)+1)</f>
        <v>114</v>
      </c>
      <c r="B132" s="36" t="n">
        <f aca="false">IF(OR(M132="FLETE",M132="FLETE ENVIO GARANTIA",M132="FLETE RECOLECCION GARANTIA",M132="COMPENSACION"),0,1)</f>
        <v>1</v>
      </c>
      <c r="C132" s="0" t="s">
        <v>662</v>
      </c>
      <c r="D132" s="10" t="n">
        <v>13934453</v>
      </c>
      <c r="E132" s="11" t="n">
        <v>45706</v>
      </c>
      <c r="F132" s="11" t="n">
        <v>45717</v>
      </c>
      <c r="G132" s="11" t="n">
        <v>45719</v>
      </c>
      <c r="I132" s="11" t="n">
        <v>45720</v>
      </c>
      <c r="J132" s="0" t="s">
        <v>282</v>
      </c>
      <c r="K132" s="0" t="s">
        <v>663</v>
      </c>
      <c r="L132" s="0" t="s">
        <v>664</v>
      </c>
      <c r="M132" s="0" t="s">
        <v>665</v>
      </c>
      <c r="N132" s="0" t="n">
        <v>1</v>
      </c>
      <c r="P132" s="0" t="s">
        <v>217</v>
      </c>
      <c r="Q132" s="0" t="s">
        <v>640</v>
      </c>
      <c r="R132" s="0" t="s">
        <v>666</v>
      </c>
      <c r="S132" s="0" t="s">
        <v>591</v>
      </c>
      <c r="T132" s="0" t="s">
        <v>667</v>
      </c>
      <c r="U132" s="0" t="s">
        <v>199</v>
      </c>
      <c r="V132" s="0" t="s">
        <v>668</v>
      </c>
      <c r="W132" s="12" t="n">
        <v>0</v>
      </c>
      <c r="Y132" s="12" t="s">
        <v>669</v>
      </c>
      <c r="Z132" s="0" t="s">
        <v>670</v>
      </c>
      <c r="AB132" s="0" t="n">
        <v>1085281457</v>
      </c>
      <c r="AC132" s="0" t="s">
        <v>671</v>
      </c>
      <c r="AE132" s="0" t="n">
        <v>3007504618</v>
      </c>
      <c r="AF132" s="0" t="n">
        <v>403505</v>
      </c>
      <c r="AG132" s="0" t="s">
        <v>6</v>
      </c>
      <c r="AK132" s="0" t="s">
        <v>85</v>
      </c>
      <c r="AL132" s="13" t="n">
        <v>452900</v>
      </c>
      <c r="AM132" s="14" t="n">
        <v>8.6112</v>
      </c>
      <c r="AN132" s="13" t="n">
        <v>492540.86</v>
      </c>
      <c r="AO132" s="13" t="n">
        <v>78640.98</v>
      </c>
      <c r="AP132" s="0" t="n">
        <v>0</v>
      </c>
      <c r="AR132" s="0" t="s">
        <v>672</v>
      </c>
      <c r="AS132" s="0" t="n">
        <v>492540.86</v>
      </c>
      <c r="AT132" s="0" t="s">
        <v>441</v>
      </c>
      <c r="AU132" s="0" t="s">
        <v>444</v>
      </c>
      <c r="AV132" s="0" t="s">
        <v>445</v>
      </c>
      <c r="AX132" s="0" t="s">
        <v>438</v>
      </c>
      <c r="AY132" s="0" t="s">
        <v>440</v>
      </c>
      <c r="AZ132" s="0" t="s">
        <v>89</v>
      </c>
      <c r="BA132" s="0" t="s">
        <v>89</v>
      </c>
      <c r="BB132" s="0" t="s">
        <v>90</v>
      </c>
      <c r="BC132" s="0" t="n">
        <v>0</v>
      </c>
      <c r="BD132" s="15" t="s">
        <v>673</v>
      </c>
      <c r="BE132" s="37" t="s">
        <v>461</v>
      </c>
    </row>
    <row r="133" customFormat="false" ht="16.4" hidden="false" customHeight="false" outlineLevel="0" collapsed="false">
      <c r="A133" s="36" t="str">
        <f aca="false">IF(B133=0,"",MAX($A$3:A132)+1)</f>
        <v/>
      </c>
      <c r="B133" s="36" t="n">
        <f aca="false">IF(OR(M133="FLETE",M133="FLETE ENVIO GARANTIA",M133="FLETE RECOLECCION GARANTIA",M133="COMPENSACION"),0,1)</f>
        <v>0</v>
      </c>
      <c r="D133" s="10" t="n">
        <v>13934453</v>
      </c>
      <c r="J133" s="0" t="s">
        <v>282</v>
      </c>
      <c r="K133" s="0" t="s">
        <v>93</v>
      </c>
      <c r="L133" s="0" t="s">
        <v>210</v>
      </c>
      <c r="M133" s="0" t="s">
        <v>211</v>
      </c>
      <c r="N133" s="0" t="n">
        <v>1</v>
      </c>
      <c r="P133" s="0" t="s">
        <v>73</v>
      </c>
      <c r="R133" s="0" t="s">
        <v>211</v>
      </c>
      <c r="V133" s="0" t="s">
        <v>668</v>
      </c>
      <c r="W133" s="12" t="n">
        <v>0</v>
      </c>
      <c r="Y133" s="12" t="s">
        <v>669</v>
      </c>
      <c r="AG133" s="0" t="s">
        <v>6</v>
      </c>
      <c r="AL133" s="13" t="n">
        <v>0</v>
      </c>
      <c r="AM133" s="14" t="n">
        <v>0</v>
      </c>
      <c r="AO133" s="13" t="n">
        <v>0</v>
      </c>
      <c r="AR133" s="0" t="s">
        <v>672</v>
      </c>
      <c r="AZ133" s="0" t="s">
        <v>89</v>
      </c>
      <c r="BA133" s="0" t="s">
        <v>89</v>
      </c>
      <c r="BB133" s="0" t="s">
        <v>90</v>
      </c>
      <c r="BC133" s="0" t="n">
        <v>0</v>
      </c>
      <c r="BD133" s="15" t="s">
        <v>673</v>
      </c>
      <c r="BE133" s="37" t="s">
        <v>461</v>
      </c>
    </row>
    <row r="134" customFormat="false" ht="16.4" hidden="false" customHeight="false" outlineLevel="0" collapsed="false">
      <c r="A134" s="36" t="n">
        <f aca="false">IF(B134=0,"",MAX($A$3:A133)+1)</f>
        <v>115</v>
      </c>
      <c r="B134" s="36" t="n">
        <f aca="false">IF(OR(M134="FLETE",M134="FLETE ENVIO GARANTIA",M134="FLETE RECOLECCION GARANTIA",M134="COMPENSACION"),0,1)</f>
        <v>1</v>
      </c>
      <c r="C134" s="0" t="s">
        <v>674</v>
      </c>
      <c r="D134" s="10" t="n">
        <v>13934382</v>
      </c>
      <c r="E134" s="11" t="n">
        <v>45706</v>
      </c>
      <c r="F134" s="11" t="n">
        <v>45717</v>
      </c>
      <c r="G134" s="11" t="n">
        <v>45719</v>
      </c>
      <c r="I134" s="11" t="n">
        <v>45720</v>
      </c>
      <c r="J134" s="0" t="s">
        <v>282</v>
      </c>
      <c r="K134" s="0" t="s">
        <v>214</v>
      </c>
      <c r="L134" s="0" t="s">
        <v>675</v>
      </c>
      <c r="M134" s="0" t="s">
        <v>676</v>
      </c>
      <c r="N134" s="0" t="n">
        <v>1</v>
      </c>
      <c r="P134" s="0" t="s">
        <v>217</v>
      </c>
      <c r="Q134" s="0" t="s">
        <v>218</v>
      </c>
      <c r="R134" s="0" t="s">
        <v>677</v>
      </c>
      <c r="S134" s="0" t="s">
        <v>591</v>
      </c>
      <c r="T134" s="0" t="s">
        <v>513</v>
      </c>
      <c r="U134" s="0" t="s">
        <v>199</v>
      </c>
      <c r="V134" s="0" t="s">
        <v>678</v>
      </c>
      <c r="W134" s="12" t="n">
        <v>0</v>
      </c>
      <c r="Y134" s="12" t="s">
        <v>439</v>
      </c>
      <c r="Z134" s="0" t="s">
        <v>179</v>
      </c>
      <c r="AB134" s="0" t="n">
        <v>1090525431</v>
      </c>
      <c r="AC134" s="0" t="s">
        <v>458</v>
      </c>
      <c r="AE134" s="0" t="n">
        <v>3123776942</v>
      </c>
      <c r="AF134" s="0" t="n">
        <v>566427</v>
      </c>
      <c r="AG134" s="0" t="s">
        <v>5</v>
      </c>
      <c r="AK134" s="0" t="s">
        <v>85</v>
      </c>
      <c r="AL134" s="13" t="n">
        <v>1705900</v>
      </c>
      <c r="AM134" s="14" t="n">
        <v>9.8482</v>
      </c>
      <c r="AN134" s="13" t="n">
        <v>1830100.48</v>
      </c>
      <c r="AO134" s="13" t="n">
        <v>292200.92</v>
      </c>
      <c r="AP134" s="0" t="n">
        <v>0</v>
      </c>
      <c r="AR134" s="0" t="s">
        <v>679</v>
      </c>
      <c r="AS134" s="0" t="n">
        <v>1830100.48</v>
      </c>
      <c r="AT134" s="0" t="s">
        <v>441</v>
      </c>
      <c r="AU134" s="0" t="s">
        <v>444</v>
      </c>
      <c r="AV134" s="0" t="s">
        <v>445</v>
      </c>
      <c r="AX134" s="0" t="s">
        <v>438</v>
      </c>
      <c r="AY134" s="0" t="s">
        <v>440</v>
      </c>
      <c r="AZ134" s="0" t="s">
        <v>89</v>
      </c>
      <c r="BA134" s="0" t="s">
        <v>89</v>
      </c>
      <c r="BB134" s="0" t="s">
        <v>90</v>
      </c>
      <c r="BC134" s="0" t="n">
        <v>0</v>
      </c>
      <c r="BD134" s="15" t="s">
        <v>680</v>
      </c>
      <c r="BE134" s="37" t="s">
        <v>461</v>
      </c>
    </row>
    <row r="135" customFormat="false" ht="16.4" hidden="false" customHeight="false" outlineLevel="0" collapsed="false">
      <c r="A135" s="36" t="str">
        <f aca="false">IF(B135=0,"",MAX($A$3:A134)+1)</f>
        <v/>
      </c>
      <c r="B135" s="36" t="n">
        <f aca="false">IF(OR(M135="FLETE",M135="FLETE ENVIO GARANTIA",M135="FLETE RECOLECCION GARANTIA",M135="COMPENSACION"),0,1)</f>
        <v>0</v>
      </c>
      <c r="D135" s="10" t="n">
        <v>13934382</v>
      </c>
      <c r="J135" s="0" t="s">
        <v>282</v>
      </c>
      <c r="K135" s="0" t="s">
        <v>93</v>
      </c>
      <c r="L135" s="0" t="s">
        <v>210</v>
      </c>
      <c r="M135" s="0" t="s">
        <v>211</v>
      </c>
      <c r="N135" s="0" t="n">
        <v>1</v>
      </c>
      <c r="P135" s="0" t="s">
        <v>73</v>
      </c>
      <c r="R135" s="0" t="s">
        <v>211</v>
      </c>
      <c r="V135" s="0" t="s">
        <v>678</v>
      </c>
      <c r="W135" s="0" t="n">
        <v>0</v>
      </c>
      <c r="Y135" s="0" t="s">
        <v>439</v>
      </c>
      <c r="AG135" s="0" t="s">
        <v>5</v>
      </c>
      <c r="AL135" s="13" t="n">
        <v>0</v>
      </c>
      <c r="AM135" s="14" t="n">
        <v>0</v>
      </c>
      <c r="AO135" s="13" t="n">
        <v>0</v>
      </c>
      <c r="AR135" s="0" t="s">
        <v>679</v>
      </c>
      <c r="AZ135" s="0" t="s">
        <v>89</v>
      </c>
      <c r="BA135" s="0" t="s">
        <v>89</v>
      </c>
      <c r="BB135" s="0" t="s">
        <v>90</v>
      </c>
      <c r="BC135" s="0" t="n">
        <v>0</v>
      </c>
      <c r="BD135" s="15" t="s">
        <v>680</v>
      </c>
      <c r="BE135" s="37" t="s">
        <v>461</v>
      </c>
    </row>
    <row r="136" customFormat="false" ht="16.4" hidden="false" customHeight="false" outlineLevel="0" collapsed="false">
      <c r="A136" s="36" t="n">
        <f aca="false">IF(B136=0,"",MAX($A$3:A135)+1)</f>
        <v>116</v>
      </c>
      <c r="B136" s="36" t="n">
        <f aca="false">IF(OR(M136="FLETE",M136="FLETE ENVIO GARANTIA",M136="FLETE RECOLECCION GARANTIA",M136="COMPENSACION"),0,1)</f>
        <v>1</v>
      </c>
      <c r="C136" s="0" t="s">
        <v>681</v>
      </c>
      <c r="D136" s="10" t="n">
        <v>13934213</v>
      </c>
      <c r="E136" s="11" t="n">
        <v>45706</v>
      </c>
      <c r="F136" s="11" t="n">
        <v>45717</v>
      </c>
      <c r="G136" s="11" t="n">
        <v>45719</v>
      </c>
      <c r="I136" s="11" t="n">
        <v>45720</v>
      </c>
      <c r="J136" s="0" t="s">
        <v>282</v>
      </c>
      <c r="K136" s="0" t="s">
        <v>135</v>
      </c>
      <c r="L136" s="0" t="s">
        <v>682</v>
      </c>
      <c r="M136" s="0" t="s">
        <v>683</v>
      </c>
      <c r="N136" s="0" t="n">
        <v>1</v>
      </c>
      <c r="P136" s="0" t="s">
        <v>138</v>
      </c>
      <c r="Q136" s="0" t="s">
        <v>139</v>
      </c>
      <c r="R136" s="0" t="s">
        <v>684</v>
      </c>
      <c r="T136" s="0" t="s">
        <v>198</v>
      </c>
      <c r="U136" s="0" t="s">
        <v>199</v>
      </c>
      <c r="V136" s="0" t="s">
        <v>685</v>
      </c>
      <c r="W136" s="12" t="n">
        <v>0</v>
      </c>
      <c r="Y136" s="12" t="s">
        <v>439</v>
      </c>
      <c r="Z136" s="0" t="s">
        <v>179</v>
      </c>
      <c r="AB136" s="0" t="n">
        <v>1022360677</v>
      </c>
      <c r="AC136" s="0" t="s">
        <v>458</v>
      </c>
      <c r="AE136" s="0" t="n">
        <v>3006103594</v>
      </c>
      <c r="AF136" s="0" t="n">
        <v>435544</v>
      </c>
      <c r="AG136" s="0" t="s">
        <v>5</v>
      </c>
      <c r="AK136" s="0" t="s">
        <v>85</v>
      </c>
      <c r="AL136" s="13" t="n">
        <v>277900</v>
      </c>
      <c r="AM136" s="14" t="n">
        <v>-14.0338</v>
      </c>
      <c r="AN136" s="13" t="n">
        <v>377110.92</v>
      </c>
      <c r="AO136" s="13" t="n">
        <v>60210.99</v>
      </c>
      <c r="AP136" s="0" t="s">
        <v>686</v>
      </c>
      <c r="AR136" s="0" t="s">
        <v>687</v>
      </c>
      <c r="AS136" s="0" t="n">
        <v>377110.92</v>
      </c>
      <c r="AT136" s="0" t="s">
        <v>441</v>
      </c>
      <c r="AU136" s="0" t="s">
        <v>444</v>
      </c>
      <c r="AV136" s="0" t="s">
        <v>445</v>
      </c>
      <c r="AX136" s="0" t="s">
        <v>438</v>
      </c>
      <c r="AY136" s="0" t="s">
        <v>440</v>
      </c>
      <c r="AZ136" s="0" t="s">
        <v>89</v>
      </c>
      <c r="BA136" s="0" t="s">
        <v>89</v>
      </c>
      <c r="BB136" s="0" t="s">
        <v>90</v>
      </c>
      <c r="BC136" s="0" t="n">
        <v>0</v>
      </c>
      <c r="BD136" s="15" t="s">
        <v>688</v>
      </c>
      <c r="BE136" s="37" t="s">
        <v>461</v>
      </c>
    </row>
    <row r="137" customFormat="false" ht="16.4" hidden="false" customHeight="false" outlineLevel="0" collapsed="false">
      <c r="A137" s="36" t="str">
        <f aca="false">IF(B137=0,"",MAX($A$3:A136)+1)</f>
        <v/>
      </c>
      <c r="B137" s="36" t="n">
        <f aca="false">IF(OR(M137="FLETE",M137="FLETE ENVIO GARANTIA",M137="FLETE RECOLECCION GARANTIA",M137="COMPENSACION"),0,1)</f>
        <v>0</v>
      </c>
      <c r="D137" s="10" t="n">
        <v>13934213</v>
      </c>
      <c r="J137" s="0" t="s">
        <v>282</v>
      </c>
      <c r="K137" s="0" t="s">
        <v>93</v>
      </c>
      <c r="L137" s="0" t="s">
        <v>210</v>
      </c>
      <c r="M137" s="0" t="s">
        <v>211</v>
      </c>
      <c r="N137" s="0" t="n">
        <v>1</v>
      </c>
      <c r="P137" s="0" t="s">
        <v>73</v>
      </c>
      <c r="R137" s="0" t="s">
        <v>211</v>
      </c>
      <c r="V137" s="0" t="s">
        <v>685</v>
      </c>
      <c r="W137" s="12" t="n">
        <v>0</v>
      </c>
      <c r="Y137" s="12" t="s">
        <v>439</v>
      </c>
      <c r="AG137" s="0" t="s">
        <v>5</v>
      </c>
      <c r="AL137" s="13" t="n">
        <v>0</v>
      </c>
      <c r="AM137" s="14" t="n">
        <v>0</v>
      </c>
      <c r="AO137" s="13" t="n">
        <v>0</v>
      </c>
      <c r="AR137" s="0" t="s">
        <v>687</v>
      </c>
      <c r="AZ137" s="0" t="s">
        <v>89</v>
      </c>
      <c r="BA137" s="0" t="s">
        <v>89</v>
      </c>
      <c r="BB137" s="0" t="s">
        <v>90</v>
      </c>
      <c r="BC137" s="0" t="n">
        <v>0</v>
      </c>
      <c r="BD137" s="15" t="s">
        <v>688</v>
      </c>
      <c r="BE137" s="37" t="s">
        <v>461</v>
      </c>
    </row>
    <row r="138" customFormat="false" ht="16.4" hidden="false" customHeight="false" outlineLevel="0" collapsed="false">
      <c r="A138" s="36" t="n">
        <f aca="false">IF(B138=0,"",MAX($A$3:A137)+1)</f>
        <v>117</v>
      </c>
      <c r="B138" s="36" t="n">
        <f aca="false">IF(OR(M138="FLETE",M138="FLETE ENVIO GARANTIA",M138="FLETE RECOLECCION GARANTIA",M138="COMPENSACION"),0,1)</f>
        <v>1</v>
      </c>
      <c r="C138" s="0" t="s">
        <v>689</v>
      </c>
      <c r="D138" s="10" t="n">
        <v>13934013</v>
      </c>
      <c r="E138" s="11" t="n">
        <v>45706</v>
      </c>
      <c r="F138" s="11" t="n">
        <v>45717</v>
      </c>
      <c r="G138" s="11" t="n">
        <v>45719</v>
      </c>
      <c r="I138" s="11" t="n">
        <v>45720</v>
      </c>
      <c r="J138" s="0" t="s">
        <v>282</v>
      </c>
      <c r="K138" s="0" t="s">
        <v>214</v>
      </c>
      <c r="L138" s="0" t="s">
        <v>690</v>
      </c>
      <c r="M138" s="0" t="s">
        <v>691</v>
      </c>
      <c r="N138" s="0" t="n">
        <v>1</v>
      </c>
      <c r="P138" s="0" t="s">
        <v>217</v>
      </c>
      <c r="Q138" s="0" t="s">
        <v>218</v>
      </c>
      <c r="R138" s="0" t="s">
        <v>628</v>
      </c>
      <c r="S138" s="0" t="s">
        <v>454</v>
      </c>
      <c r="T138" s="0" t="s">
        <v>518</v>
      </c>
      <c r="U138" s="0" t="s">
        <v>692</v>
      </c>
      <c r="V138" s="0" t="s">
        <v>693</v>
      </c>
      <c r="W138" s="12" t="n">
        <v>0</v>
      </c>
      <c r="X138" s="44"/>
      <c r="Y138" s="0" t="s">
        <v>439</v>
      </c>
      <c r="Z138" s="0" t="s">
        <v>179</v>
      </c>
      <c r="AB138" s="0" t="n">
        <v>71752790</v>
      </c>
      <c r="AC138" s="0" t="s">
        <v>458</v>
      </c>
      <c r="AE138" s="0" t="n">
        <v>3146655875</v>
      </c>
      <c r="AF138" s="0" t="n">
        <v>570879</v>
      </c>
      <c r="AG138" s="0" t="s">
        <v>5</v>
      </c>
      <c r="AK138" s="0" t="s">
        <v>85</v>
      </c>
      <c r="AL138" s="13" t="n">
        <v>1360900</v>
      </c>
      <c r="AM138" s="14" t="n">
        <v>21.0155</v>
      </c>
      <c r="AN138" s="13" t="n">
        <v>1279131.07</v>
      </c>
      <c r="AO138" s="13" t="n">
        <v>204231.01</v>
      </c>
      <c r="AP138" s="0" t="n">
        <v>0</v>
      </c>
      <c r="AR138" s="0" t="s">
        <v>694</v>
      </c>
      <c r="AS138" s="0" t="n">
        <v>1279131.07</v>
      </c>
      <c r="AT138" s="0" t="s">
        <v>441</v>
      </c>
      <c r="AU138" s="0" t="s">
        <v>444</v>
      </c>
      <c r="AV138" s="0" t="s">
        <v>445</v>
      </c>
      <c r="AX138" s="0" t="s">
        <v>438</v>
      </c>
      <c r="AY138" s="0" t="s">
        <v>440</v>
      </c>
      <c r="AZ138" s="0" t="s">
        <v>89</v>
      </c>
      <c r="BA138" s="0" t="s">
        <v>89</v>
      </c>
      <c r="BB138" s="0" t="s">
        <v>90</v>
      </c>
      <c r="BC138" s="0" t="n">
        <v>0</v>
      </c>
      <c r="BD138" s="15" t="s">
        <v>695</v>
      </c>
      <c r="BE138" s="37" t="s">
        <v>461</v>
      </c>
    </row>
    <row r="139" customFormat="false" ht="16.4" hidden="false" customHeight="false" outlineLevel="0" collapsed="false">
      <c r="A139" s="36" t="str">
        <f aca="false">IF(B139=0,"",MAX($A$3:A138)+1)</f>
        <v/>
      </c>
      <c r="B139" s="36" t="n">
        <f aca="false">IF(OR(M139="FLETE",M139="FLETE ENVIO GARANTIA",M139="FLETE RECOLECCION GARANTIA",M139="COMPENSACION"),0,1)</f>
        <v>0</v>
      </c>
      <c r="D139" s="10" t="n">
        <v>13934013</v>
      </c>
      <c r="J139" s="0" t="s">
        <v>282</v>
      </c>
      <c r="K139" s="0" t="s">
        <v>93</v>
      </c>
      <c r="L139" s="0" t="s">
        <v>210</v>
      </c>
      <c r="M139" s="0" t="s">
        <v>211</v>
      </c>
      <c r="N139" s="0" t="n">
        <v>1</v>
      </c>
      <c r="P139" s="0" t="s">
        <v>73</v>
      </c>
      <c r="R139" s="0" t="s">
        <v>211</v>
      </c>
      <c r="V139" s="0" t="s">
        <v>693</v>
      </c>
      <c r="W139" s="12" t="n">
        <v>0</v>
      </c>
      <c r="Y139" s="12" t="s">
        <v>439</v>
      </c>
      <c r="AG139" s="0" t="s">
        <v>5</v>
      </c>
      <c r="AL139" s="13" t="n">
        <v>0</v>
      </c>
      <c r="AM139" s="14" t="n">
        <v>0</v>
      </c>
      <c r="AO139" s="13" t="n">
        <v>0</v>
      </c>
      <c r="AR139" s="0" t="s">
        <v>694</v>
      </c>
      <c r="AZ139" s="0" t="s">
        <v>89</v>
      </c>
      <c r="BA139" s="0" t="s">
        <v>89</v>
      </c>
      <c r="BB139" s="0" t="s">
        <v>90</v>
      </c>
      <c r="BC139" s="0" t="n">
        <v>0</v>
      </c>
      <c r="BD139" s="15" t="s">
        <v>695</v>
      </c>
      <c r="BE139" s="37" t="s">
        <v>461</v>
      </c>
    </row>
    <row r="140" customFormat="false" ht="16.4" hidden="false" customHeight="false" outlineLevel="0" collapsed="false">
      <c r="A140" s="36" t="n">
        <f aca="false">IF(B140=0,"",MAX($A$3:A139)+1)</f>
        <v>118</v>
      </c>
      <c r="B140" s="36" t="n">
        <f aca="false">IF(OR(M140="FLETE",M140="FLETE ENVIO GARANTIA",M140="FLETE RECOLECCION GARANTIA",M140="COMPENSACION"),0,1)</f>
        <v>1</v>
      </c>
      <c r="C140" s="0" t="s">
        <v>696</v>
      </c>
      <c r="D140" s="10" t="n">
        <v>13933978</v>
      </c>
      <c r="E140" s="11" t="n">
        <v>45706</v>
      </c>
      <c r="F140" s="11" t="n">
        <v>45717</v>
      </c>
      <c r="G140" s="11" t="n">
        <v>45719</v>
      </c>
      <c r="I140" s="11" t="n">
        <v>45720</v>
      </c>
      <c r="J140" s="0" t="s">
        <v>282</v>
      </c>
      <c r="K140" s="0" t="s">
        <v>697</v>
      </c>
      <c r="L140" s="0" t="s">
        <v>698</v>
      </c>
      <c r="M140" s="0" t="s">
        <v>699</v>
      </c>
      <c r="N140" s="0" t="n">
        <v>1</v>
      </c>
      <c r="P140" s="0" t="s">
        <v>195</v>
      </c>
      <c r="Q140" s="0" t="s">
        <v>700</v>
      </c>
      <c r="R140" s="0" t="s">
        <v>701</v>
      </c>
      <c r="T140" s="0" t="s">
        <v>702</v>
      </c>
      <c r="U140" s="0" t="s">
        <v>437</v>
      </c>
      <c r="V140" s="0" t="s">
        <v>703</v>
      </c>
      <c r="W140" s="12" t="n">
        <v>0</v>
      </c>
      <c r="Y140" s="12" t="s">
        <v>439</v>
      </c>
      <c r="Z140" s="0" t="s">
        <v>179</v>
      </c>
      <c r="AB140" s="0" t="n">
        <v>38941523</v>
      </c>
      <c r="AC140" s="0" t="s">
        <v>458</v>
      </c>
      <c r="AE140" s="0" t="n">
        <v>3112083681</v>
      </c>
      <c r="AF140" s="0" t="n">
        <v>566594</v>
      </c>
      <c r="AG140" s="0" t="s">
        <v>5</v>
      </c>
      <c r="AK140" s="0" t="s">
        <v>85</v>
      </c>
      <c r="AL140" s="13" t="n">
        <v>202900</v>
      </c>
      <c r="AM140" s="14" t="n">
        <v>-28.0927</v>
      </c>
      <c r="AN140" s="13" t="n">
        <v>309281.11</v>
      </c>
      <c r="AO140" s="13" t="n">
        <v>49381.02</v>
      </c>
      <c r="AP140" s="0" t="n">
        <v>0</v>
      </c>
      <c r="AR140" s="0" t="s">
        <v>704</v>
      </c>
      <c r="AS140" s="0" t="n">
        <v>309281.11</v>
      </c>
      <c r="AT140" s="0" t="s">
        <v>441</v>
      </c>
      <c r="AU140" s="0" t="s">
        <v>444</v>
      </c>
      <c r="AV140" s="0" t="s">
        <v>445</v>
      </c>
      <c r="AX140" s="0" t="s">
        <v>438</v>
      </c>
      <c r="AY140" s="0" t="s">
        <v>440</v>
      </c>
      <c r="AZ140" s="0" t="s">
        <v>89</v>
      </c>
      <c r="BA140" s="0" t="s">
        <v>89</v>
      </c>
      <c r="BB140" s="0" t="s">
        <v>90</v>
      </c>
      <c r="BC140" s="0" t="n">
        <v>0</v>
      </c>
      <c r="BD140" s="15" t="s">
        <v>705</v>
      </c>
      <c r="BE140" s="37" t="s">
        <v>461</v>
      </c>
    </row>
    <row r="141" customFormat="false" ht="16.4" hidden="false" customHeight="false" outlineLevel="0" collapsed="false">
      <c r="A141" s="36" t="str">
        <f aca="false">IF(B141=0,"",MAX($A$3:A140)+1)</f>
        <v/>
      </c>
      <c r="B141" s="36" t="n">
        <f aca="false">IF(OR(M141="FLETE",M141="FLETE ENVIO GARANTIA",M141="FLETE RECOLECCION GARANTIA",M141="COMPENSACION"),0,1)</f>
        <v>0</v>
      </c>
      <c r="D141" s="10" t="n">
        <v>13933978</v>
      </c>
      <c r="J141" s="0" t="s">
        <v>282</v>
      </c>
      <c r="K141" s="0" t="s">
        <v>93</v>
      </c>
      <c r="L141" s="0" t="s">
        <v>210</v>
      </c>
      <c r="M141" s="0" t="s">
        <v>211</v>
      </c>
      <c r="N141" s="0" t="n">
        <v>1</v>
      </c>
      <c r="P141" s="0" t="s">
        <v>73</v>
      </c>
      <c r="R141" s="0" t="s">
        <v>211</v>
      </c>
      <c r="V141" s="0" t="s">
        <v>703</v>
      </c>
      <c r="W141" s="12" t="n">
        <v>0</v>
      </c>
      <c r="Y141" s="12" t="s">
        <v>439</v>
      </c>
      <c r="AG141" s="0" t="s">
        <v>5</v>
      </c>
      <c r="AL141" s="13" t="n">
        <v>0</v>
      </c>
      <c r="AM141" s="14" t="n">
        <v>0</v>
      </c>
      <c r="AO141" s="13" t="n">
        <v>0</v>
      </c>
      <c r="AR141" s="0" t="s">
        <v>704</v>
      </c>
      <c r="AZ141" s="0" t="s">
        <v>89</v>
      </c>
      <c r="BA141" s="0" t="s">
        <v>89</v>
      </c>
      <c r="BB141" s="0" t="s">
        <v>90</v>
      </c>
      <c r="BC141" s="0" t="n">
        <v>0</v>
      </c>
      <c r="BD141" s="15" t="s">
        <v>705</v>
      </c>
      <c r="BE141" s="37" t="s">
        <v>461</v>
      </c>
    </row>
    <row r="142" customFormat="false" ht="16.4" hidden="false" customHeight="false" outlineLevel="0" collapsed="false">
      <c r="A142" s="36" t="n">
        <f aca="false">IF(B142=0,"",MAX($A$3:A141)+1)</f>
        <v>119</v>
      </c>
      <c r="B142" s="36" t="n">
        <f aca="false">IF(OR(M142="FLETE",M142="FLETE ENVIO GARANTIA",M142="FLETE RECOLECCION GARANTIA",M142="COMPENSACION"),0,1)</f>
        <v>1</v>
      </c>
      <c r="C142" s="0" t="s">
        <v>706</v>
      </c>
      <c r="D142" s="10" t="n">
        <v>13933631</v>
      </c>
      <c r="E142" s="11" t="n">
        <v>45706</v>
      </c>
      <c r="F142" s="11" t="n">
        <v>45717</v>
      </c>
      <c r="G142" s="11" t="n">
        <v>45719</v>
      </c>
      <c r="I142" s="11" t="n">
        <v>45720</v>
      </c>
      <c r="J142" s="0" t="s">
        <v>282</v>
      </c>
      <c r="K142" s="0" t="s">
        <v>707</v>
      </c>
      <c r="L142" s="0" t="s">
        <v>708</v>
      </c>
      <c r="M142" s="0" t="s">
        <v>709</v>
      </c>
      <c r="N142" s="0" t="n">
        <v>1</v>
      </c>
      <c r="P142" s="0" t="s">
        <v>710</v>
      </c>
      <c r="Q142" s="0" t="s">
        <v>711</v>
      </c>
      <c r="R142" s="0" t="s">
        <v>712</v>
      </c>
      <c r="T142" s="0" t="s">
        <v>507</v>
      </c>
      <c r="U142" s="0" t="s">
        <v>456</v>
      </c>
      <c r="V142" s="0" t="s">
        <v>713</v>
      </c>
      <c r="W142" s="0" t="n">
        <v>0</v>
      </c>
      <c r="Y142" s="0" t="s">
        <v>439</v>
      </c>
      <c r="Z142" s="0" t="s">
        <v>179</v>
      </c>
      <c r="AB142" s="0" t="n">
        <v>901826599</v>
      </c>
      <c r="AC142" s="0" t="s">
        <v>458</v>
      </c>
      <c r="AE142" s="0" t="n">
        <v>3103012960</v>
      </c>
      <c r="AF142" s="0" t="n">
        <v>478566</v>
      </c>
      <c r="AG142" s="0" t="s">
        <v>5</v>
      </c>
      <c r="AK142" s="0" t="s">
        <v>85</v>
      </c>
      <c r="AL142" s="13" t="n">
        <v>362900</v>
      </c>
      <c r="AM142" s="14" t="n">
        <v>5.2356</v>
      </c>
      <c r="AN142" s="13" t="n">
        <v>409241.01</v>
      </c>
      <c r="AO142" s="13" t="n">
        <v>65341</v>
      </c>
      <c r="AP142" s="0" t="n">
        <v>0</v>
      </c>
      <c r="AR142" s="0" t="s">
        <v>714</v>
      </c>
      <c r="AS142" s="0" t="n">
        <v>409241.01</v>
      </c>
      <c r="AT142" s="0" t="s">
        <v>441</v>
      </c>
      <c r="AU142" s="0" t="s">
        <v>444</v>
      </c>
      <c r="AV142" s="0" t="s">
        <v>445</v>
      </c>
      <c r="AX142" s="0" t="s">
        <v>438</v>
      </c>
      <c r="AY142" s="0" t="s">
        <v>440</v>
      </c>
      <c r="AZ142" s="0" t="s">
        <v>89</v>
      </c>
      <c r="BA142" s="0" t="s">
        <v>89</v>
      </c>
      <c r="BB142" s="0" t="s">
        <v>90</v>
      </c>
      <c r="BC142" s="0" t="n">
        <v>0</v>
      </c>
      <c r="BD142" s="15" t="s">
        <v>715</v>
      </c>
      <c r="BE142" s="37" t="s">
        <v>461</v>
      </c>
    </row>
    <row r="143" customFormat="false" ht="16.4" hidden="false" customHeight="false" outlineLevel="0" collapsed="false">
      <c r="A143" s="36" t="str">
        <f aca="false">IF(B143=0,"",MAX($A$3:A142)+1)</f>
        <v/>
      </c>
      <c r="B143" s="36" t="n">
        <f aca="false">IF(OR(M143="FLETE",M143="FLETE ENVIO GARANTIA",M143="FLETE RECOLECCION GARANTIA",M143="COMPENSACION"),0,1)</f>
        <v>0</v>
      </c>
      <c r="D143" s="10" t="n">
        <v>13933631</v>
      </c>
      <c r="J143" s="0" t="s">
        <v>282</v>
      </c>
      <c r="K143" s="0" t="s">
        <v>93</v>
      </c>
      <c r="L143" s="0" t="s">
        <v>210</v>
      </c>
      <c r="M143" s="0" t="s">
        <v>211</v>
      </c>
      <c r="N143" s="0" t="n">
        <v>1</v>
      </c>
      <c r="P143" s="0" t="s">
        <v>73</v>
      </c>
      <c r="R143" s="0" t="s">
        <v>211</v>
      </c>
      <c r="V143" s="0" t="s">
        <v>713</v>
      </c>
      <c r="W143" s="12" t="n">
        <v>0</v>
      </c>
      <c r="Y143" s="12" t="s">
        <v>439</v>
      </c>
      <c r="AG143" s="0" t="s">
        <v>5</v>
      </c>
      <c r="AL143" s="13" t="n">
        <v>0</v>
      </c>
      <c r="AM143" s="14" t="n">
        <v>0</v>
      </c>
      <c r="AO143" s="13" t="n">
        <v>0</v>
      </c>
      <c r="AR143" s="0" t="s">
        <v>714</v>
      </c>
      <c r="AZ143" s="0" t="s">
        <v>89</v>
      </c>
      <c r="BA143" s="0" t="s">
        <v>89</v>
      </c>
      <c r="BB143" s="0" t="s">
        <v>90</v>
      </c>
      <c r="BC143" s="0" t="n">
        <v>0</v>
      </c>
      <c r="BD143" s="15" t="s">
        <v>715</v>
      </c>
      <c r="BE143" s="37" t="s">
        <v>461</v>
      </c>
    </row>
    <row r="144" customFormat="false" ht="16.4" hidden="false" customHeight="false" outlineLevel="0" collapsed="false">
      <c r="A144" s="36" t="n">
        <f aca="false">IF(B144=0,"",MAX($A$3:A143)+1)</f>
        <v>120</v>
      </c>
      <c r="B144" s="36" t="n">
        <f aca="false">IF(OR(M144="FLETE",M144="FLETE ENVIO GARANTIA",M144="FLETE RECOLECCION GARANTIA",M144="COMPENSACION"),0,1)</f>
        <v>1</v>
      </c>
      <c r="C144" s="0" t="s">
        <v>716</v>
      </c>
      <c r="D144" s="10" t="n">
        <v>13933614</v>
      </c>
      <c r="E144" s="11" t="n">
        <v>45706</v>
      </c>
      <c r="F144" s="11" t="n">
        <v>45717</v>
      </c>
      <c r="G144" s="11" t="n">
        <v>45719</v>
      </c>
      <c r="I144" s="11" t="n">
        <v>45720</v>
      </c>
      <c r="J144" s="0" t="s">
        <v>282</v>
      </c>
      <c r="K144" s="0" t="s">
        <v>214</v>
      </c>
      <c r="L144" s="0" t="s">
        <v>717</v>
      </c>
      <c r="M144" s="0" t="s">
        <v>718</v>
      </c>
      <c r="N144" s="0" t="n">
        <v>1</v>
      </c>
      <c r="P144" s="0" t="s">
        <v>217</v>
      </c>
      <c r="Q144" s="0" t="s">
        <v>218</v>
      </c>
      <c r="R144" s="0" t="s">
        <v>542</v>
      </c>
      <c r="S144" s="0" t="s">
        <v>220</v>
      </c>
      <c r="T144" s="0" t="s">
        <v>719</v>
      </c>
      <c r="U144" s="0" t="s">
        <v>199</v>
      </c>
      <c r="V144" s="0" t="s">
        <v>720</v>
      </c>
      <c r="W144" s="12" t="n">
        <v>0</v>
      </c>
      <c r="Y144" s="12" t="s">
        <v>143</v>
      </c>
      <c r="Z144" s="0" t="s">
        <v>144</v>
      </c>
      <c r="AB144" s="0" t="n">
        <v>1049623827</v>
      </c>
      <c r="AC144" s="0" t="s">
        <v>721</v>
      </c>
      <c r="AE144" s="0" t="n">
        <v>3123307019</v>
      </c>
      <c r="AF144" s="0" t="n">
        <v>583364</v>
      </c>
      <c r="AG144" s="0" t="s">
        <v>6</v>
      </c>
      <c r="AK144" s="0" t="s">
        <v>85</v>
      </c>
      <c r="AL144" s="13" t="n">
        <v>1001900</v>
      </c>
      <c r="AM144" s="14" t="n">
        <v>14.5751</v>
      </c>
      <c r="AN144" s="13" t="n">
        <v>1018487.76</v>
      </c>
      <c r="AO144" s="13" t="n">
        <v>162615.69</v>
      </c>
      <c r="AP144" s="0" t="s">
        <v>722</v>
      </c>
      <c r="AR144" s="0" t="s">
        <v>723</v>
      </c>
      <c r="AS144" s="0" t="n">
        <v>2473891.43</v>
      </c>
      <c r="AT144" s="0" t="s">
        <v>441</v>
      </c>
      <c r="AU144" s="0" t="s">
        <v>444</v>
      </c>
      <c r="AV144" s="0" t="s">
        <v>445</v>
      </c>
      <c r="AX144" s="0" t="s">
        <v>438</v>
      </c>
      <c r="AY144" s="0" t="s">
        <v>440</v>
      </c>
      <c r="AZ144" s="0" t="s">
        <v>89</v>
      </c>
      <c r="BA144" s="0" t="s">
        <v>89</v>
      </c>
      <c r="BB144" s="0" t="s">
        <v>90</v>
      </c>
      <c r="BC144" s="0" t="n">
        <v>0</v>
      </c>
      <c r="BD144" s="15" t="s">
        <v>724</v>
      </c>
      <c r="BE144" s="37" t="s">
        <v>152</v>
      </c>
    </row>
    <row r="145" customFormat="false" ht="16.4" hidden="false" customHeight="false" outlineLevel="0" collapsed="false">
      <c r="A145" s="36" t="n">
        <f aca="false">IF(B145=0,"",MAX($A$3:A144)+1)</f>
        <v>121</v>
      </c>
      <c r="B145" s="36" t="n">
        <f aca="false">IF(OR(M145="FLETE",M145="FLETE ENVIO GARANTIA",M145="FLETE RECOLECCION GARANTIA",M145="COMPENSACION"),0,1)</f>
        <v>1</v>
      </c>
      <c r="D145" s="10" t="n">
        <v>13933614</v>
      </c>
      <c r="J145" s="0" t="s">
        <v>282</v>
      </c>
      <c r="K145" s="0" t="s">
        <v>479</v>
      </c>
      <c r="L145" s="0" t="s">
        <v>725</v>
      </c>
      <c r="M145" s="0" t="s">
        <v>726</v>
      </c>
      <c r="N145" s="0" t="n">
        <v>2</v>
      </c>
      <c r="P145" s="0" t="s">
        <v>217</v>
      </c>
      <c r="Q145" s="0" t="s">
        <v>482</v>
      </c>
      <c r="R145" s="0" t="s">
        <v>542</v>
      </c>
      <c r="S145" s="0" t="s">
        <v>220</v>
      </c>
      <c r="T145" s="0" t="s">
        <v>719</v>
      </c>
      <c r="U145" s="0" t="s">
        <v>199</v>
      </c>
      <c r="V145" s="0" t="s">
        <v>720</v>
      </c>
      <c r="W145" s="12" t="n">
        <v>0</v>
      </c>
      <c r="Y145" s="12" t="s">
        <v>143</v>
      </c>
      <c r="AG145" s="0" t="s">
        <v>6</v>
      </c>
      <c r="AL145" s="13" t="n">
        <v>621900</v>
      </c>
      <c r="AM145" s="14" t="n">
        <v>14.5751</v>
      </c>
      <c r="AN145" s="13" t="n">
        <v>1264392.74</v>
      </c>
      <c r="AO145" s="13" t="n">
        <v>201877.83</v>
      </c>
      <c r="AR145" s="0" t="s">
        <v>723</v>
      </c>
      <c r="AZ145" s="0" t="s">
        <v>89</v>
      </c>
      <c r="BA145" s="0" t="s">
        <v>89</v>
      </c>
      <c r="BB145" s="0" t="s">
        <v>90</v>
      </c>
      <c r="BC145" s="0" t="n">
        <v>0</v>
      </c>
      <c r="BD145" s="15" t="s">
        <v>724</v>
      </c>
      <c r="BE145" s="37" t="s">
        <v>152</v>
      </c>
    </row>
    <row r="146" customFormat="false" ht="16.4" hidden="false" customHeight="false" outlineLevel="0" collapsed="false">
      <c r="A146" s="36" t="n">
        <f aca="false">IF(B146=0,"",MAX($A$3:A145)+1)</f>
        <v>122</v>
      </c>
      <c r="B146" s="36" t="n">
        <f aca="false">IF(OR(M146="FLETE",M146="FLETE ENVIO GARANTIA",M146="FLETE RECOLECCION GARANTIA",M146="COMPENSACION"),0,1)</f>
        <v>1</v>
      </c>
      <c r="D146" s="10" t="n">
        <v>13933614</v>
      </c>
      <c r="J146" s="0" t="s">
        <v>282</v>
      </c>
      <c r="K146" s="0" t="s">
        <v>529</v>
      </c>
      <c r="L146" s="0" t="s">
        <v>539</v>
      </c>
      <c r="M146" s="0" t="s">
        <v>540</v>
      </c>
      <c r="N146" s="0" t="n">
        <v>1</v>
      </c>
      <c r="P146" s="0" t="s">
        <v>217</v>
      </c>
      <c r="Q146" s="0" t="s">
        <v>541</v>
      </c>
      <c r="R146" s="0" t="s">
        <v>542</v>
      </c>
      <c r="T146" s="0" t="s">
        <v>198</v>
      </c>
      <c r="U146" s="0" t="s">
        <v>199</v>
      </c>
      <c r="V146" s="0" t="s">
        <v>720</v>
      </c>
      <c r="W146" s="12" t="n">
        <v>0</v>
      </c>
      <c r="Y146" s="12" t="s">
        <v>143</v>
      </c>
      <c r="AG146" s="0" t="s">
        <v>6</v>
      </c>
      <c r="AL146" s="13" t="n">
        <v>187900</v>
      </c>
      <c r="AM146" s="14" t="n">
        <v>14.5751</v>
      </c>
      <c r="AN146" s="13" t="n">
        <v>191010.93</v>
      </c>
      <c r="AO146" s="13" t="n">
        <v>30497.54</v>
      </c>
      <c r="AR146" s="0" t="s">
        <v>723</v>
      </c>
      <c r="AZ146" s="0" t="s">
        <v>89</v>
      </c>
      <c r="BA146" s="0" t="s">
        <v>89</v>
      </c>
      <c r="BB146" s="0" t="s">
        <v>90</v>
      </c>
      <c r="BC146" s="0" t="n">
        <v>0</v>
      </c>
      <c r="BD146" s="15" t="s">
        <v>724</v>
      </c>
      <c r="BE146" s="37" t="s">
        <v>152</v>
      </c>
    </row>
    <row r="147" customFormat="false" ht="16.4" hidden="false" customHeight="false" outlineLevel="0" collapsed="false">
      <c r="A147" s="36" t="str">
        <f aca="false">IF(B147=0,"",MAX($A$3:A146)+1)</f>
        <v/>
      </c>
      <c r="B147" s="36" t="n">
        <f aca="false">IF(OR(M147="FLETE",M147="FLETE ENVIO GARANTIA",M147="FLETE RECOLECCION GARANTIA",M147="COMPENSACION"),0,1)</f>
        <v>0</v>
      </c>
      <c r="D147" s="10" t="n">
        <v>13933614</v>
      </c>
      <c r="J147" s="0" t="s">
        <v>282</v>
      </c>
      <c r="K147" s="0" t="s">
        <v>93</v>
      </c>
      <c r="L147" s="0" t="s">
        <v>210</v>
      </c>
      <c r="M147" s="0" t="s">
        <v>211</v>
      </c>
      <c r="N147" s="0" t="n">
        <v>1</v>
      </c>
      <c r="P147" s="0" t="s">
        <v>73</v>
      </c>
      <c r="R147" s="0" t="s">
        <v>211</v>
      </c>
      <c r="V147" s="0" t="s">
        <v>720</v>
      </c>
      <c r="W147" s="12" t="n">
        <v>0</v>
      </c>
      <c r="Y147" s="0" t="s">
        <v>143</v>
      </c>
      <c r="AG147" s="0" t="s">
        <v>6</v>
      </c>
      <c r="AL147" s="13" t="n">
        <v>0</v>
      </c>
      <c r="AM147" s="14" t="n">
        <v>0</v>
      </c>
      <c r="AO147" s="13" t="n">
        <v>0</v>
      </c>
      <c r="AR147" s="0" t="s">
        <v>723</v>
      </c>
      <c r="AZ147" s="0" t="s">
        <v>89</v>
      </c>
      <c r="BA147" s="0" t="s">
        <v>89</v>
      </c>
      <c r="BB147" s="0" t="s">
        <v>90</v>
      </c>
      <c r="BC147" s="0" t="n">
        <v>0</v>
      </c>
      <c r="BD147" s="15" t="s">
        <v>724</v>
      </c>
      <c r="BE147" s="37" t="s">
        <v>152</v>
      </c>
    </row>
    <row r="148" customFormat="false" ht="16.4" hidden="false" customHeight="false" outlineLevel="0" collapsed="false">
      <c r="A148" s="36" t="n">
        <f aca="false">IF(B148=0,"",MAX($A$3:A147)+1)</f>
        <v>123</v>
      </c>
      <c r="B148" s="36" t="n">
        <f aca="false">IF(OR(M148="FLETE",M148="FLETE ENVIO GARANTIA",M148="FLETE RECOLECCION GARANTIA",M148="COMPENSACION"),0,1)</f>
        <v>1</v>
      </c>
      <c r="C148" s="0" t="s">
        <v>727</v>
      </c>
      <c r="D148" s="10" t="n">
        <v>13932652</v>
      </c>
      <c r="E148" s="11" t="n">
        <v>45706</v>
      </c>
      <c r="F148" s="11" t="n">
        <v>45717</v>
      </c>
      <c r="G148" s="11" t="n">
        <v>45719</v>
      </c>
      <c r="I148" s="11" t="n">
        <v>45720</v>
      </c>
      <c r="J148" s="0" t="s">
        <v>282</v>
      </c>
      <c r="K148" s="0" t="s">
        <v>135</v>
      </c>
      <c r="L148" s="0" t="s">
        <v>728</v>
      </c>
      <c r="M148" s="0" t="s">
        <v>729</v>
      </c>
      <c r="N148" s="0" t="n">
        <v>1</v>
      </c>
      <c r="P148" s="0" t="s">
        <v>138</v>
      </c>
      <c r="Q148" s="0" t="s">
        <v>139</v>
      </c>
      <c r="R148" s="0" t="s">
        <v>730</v>
      </c>
      <c r="T148" s="0" t="s">
        <v>731</v>
      </c>
      <c r="V148" s="0" t="s">
        <v>732</v>
      </c>
      <c r="W148" s="12" t="n">
        <v>0</v>
      </c>
      <c r="Y148" s="12" t="s">
        <v>439</v>
      </c>
      <c r="Z148" s="0" t="s">
        <v>179</v>
      </c>
      <c r="AB148" s="0" t="n">
        <v>1110446195</v>
      </c>
      <c r="AC148" s="0" t="s">
        <v>458</v>
      </c>
      <c r="AE148" s="0" t="n">
        <v>3013162705</v>
      </c>
      <c r="AF148" s="0" t="n">
        <v>555099</v>
      </c>
      <c r="AG148" s="0" t="s">
        <v>5</v>
      </c>
      <c r="AH148" s="0" t="n">
        <v>1</v>
      </c>
      <c r="AK148" s="0" t="s">
        <v>85</v>
      </c>
      <c r="AL148" s="13" t="n">
        <v>478900</v>
      </c>
      <c r="AM148" s="14" t="n">
        <v>-17.9112</v>
      </c>
      <c r="AN148" s="13" t="n">
        <v>671965.32</v>
      </c>
      <c r="AO148" s="13" t="n">
        <v>107288.58</v>
      </c>
      <c r="AP148" s="0" t="s">
        <v>733</v>
      </c>
      <c r="AR148" s="0" t="s">
        <v>734</v>
      </c>
      <c r="AS148" s="0" t="n">
        <v>1852710.4</v>
      </c>
      <c r="AT148" s="0" t="s">
        <v>441</v>
      </c>
      <c r="AU148" s="0" t="s">
        <v>444</v>
      </c>
      <c r="AV148" s="0" t="s">
        <v>445</v>
      </c>
      <c r="AX148" s="0" t="s">
        <v>438</v>
      </c>
      <c r="AY148" s="0" t="s">
        <v>440</v>
      </c>
      <c r="AZ148" s="0" t="s">
        <v>89</v>
      </c>
      <c r="BA148" s="0" t="s">
        <v>89</v>
      </c>
      <c r="BB148" s="0" t="s">
        <v>90</v>
      </c>
      <c r="BC148" s="0" t="s">
        <v>241</v>
      </c>
      <c r="BD148" s="15" t="s">
        <v>735</v>
      </c>
      <c r="BE148" s="37" t="s">
        <v>461</v>
      </c>
    </row>
    <row r="149" customFormat="false" ht="16.4" hidden="false" customHeight="false" outlineLevel="0" collapsed="false">
      <c r="A149" s="36" t="n">
        <f aca="false">IF(B149=0,"",MAX($A$3:A148)+1)</f>
        <v>124</v>
      </c>
      <c r="B149" s="36" t="n">
        <f aca="false">IF(OR(M149="FLETE",M149="FLETE ENVIO GARANTIA",M149="FLETE RECOLECCION GARANTIA",M149="COMPENSACION"),0,1)</f>
        <v>1</v>
      </c>
      <c r="D149" s="10" t="n">
        <v>13932652</v>
      </c>
      <c r="J149" s="0" t="s">
        <v>282</v>
      </c>
      <c r="K149" s="0" t="s">
        <v>493</v>
      </c>
      <c r="L149" s="0" t="s">
        <v>736</v>
      </c>
      <c r="M149" s="0" t="s">
        <v>737</v>
      </c>
      <c r="N149" s="0" t="n">
        <v>4</v>
      </c>
      <c r="P149" s="0" t="s">
        <v>138</v>
      </c>
      <c r="Q149" s="0" t="s">
        <v>496</v>
      </c>
      <c r="R149" s="0" t="s">
        <v>738</v>
      </c>
      <c r="S149" s="0" t="s">
        <v>454</v>
      </c>
      <c r="T149" s="0" t="s">
        <v>449</v>
      </c>
      <c r="V149" s="0" t="s">
        <v>732</v>
      </c>
      <c r="W149" s="12" t="n">
        <v>0</v>
      </c>
      <c r="Y149" s="0" t="s">
        <v>439</v>
      </c>
      <c r="AG149" s="0" t="s">
        <v>5</v>
      </c>
      <c r="AL149" s="13" t="n">
        <v>157900</v>
      </c>
      <c r="AM149" s="14" t="n">
        <v>-17.9112</v>
      </c>
      <c r="AN149" s="13" t="n">
        <v>886225.3</v>
      </c>
      <c r="AO149" s="13" t="n">
        <v>141498.16</v>
      </c>
      <c r="AR149" s="0" t="s">
        <v>734</v>
      </c>
      <c r="AZ149" s="0" t="s">
        <v>89</v>
      </c>
      <c r="BA149" s="0" t="s">
        <v>89</v>
      </c>
      <c r="BB149" s="0" t="s">
        <v>90</v>
      </c>
      <c r="BC149" s="0" t="s">
        <v>241</v>
      </c>
      <c r="BD149" s="15" t="s">
        <v>735</v>
      </c>
      <c r="BE149" s="37" t="s">
        <v>461</v>
      </c>
    </row>
    <row r="150" customFormat="false" ht="16.4" hidden="false" customHeight="false" outlineLevel="0" collapsed="false">
      <c r="A150" s="36" t="n">
        <f aca="false">IF(B150=0,"",MAX($A$3:A149)+1)</f>
        <v>125</v>
      </c>
      <c r="B150" s="36" t="n">
        <f aca="false">IF(OR(M150="FLETE",M150="FLETE ENVIO GARANTIA",M150="FLETE RECOLECCION GARANTIA",M150="COMPENSACION"),0,1)</f>
        <v>1</v>
      </c>
      <c r="D150" s="10" t="n">
        <v>13932652</v>
      </c>
      <c r="J150" s="0" t="s">
        <v>282</v>
      </c>
      <c r="K150" s="0" t="s">
        <v>153</v>
      </c>
      <c r="L150" s="0" t="s">
        <v>739</v>
      </c>
      <c r="M150" s="0" t="s">
        <v>740</v>
      </c>
      <c r="N150" s="0" t="n">
        <v>1</v>
      </c>
      <c r="P150" s="0" t="s">
        <v>138</v>
      </c>
      <c r="Q150" s="0" t="s">
        <v>156</v>
      </c>
      <c r="R150" s="0" t="s">
        <v>501</v>
      </c>
      <c r="S150" s="0" t="s">
        <v>454</v>
      </c>
      <c r="T150" s="0" t="s">
        <v>449</v>
      </c>
      <c r="U150" s="0" t="s">
        <v>437</v>
      </c>
      <c r="V150" s="0" t="s">
        <v>732</v>
      </c>
      <c r="W150" s="12" t="n">
        <v>0</v>
      </c>
      <c r="Y150" s="12" t="s">
        <v>439</v>
      </c>
      <c r="AG150" s="0" t="s">
        <v>5</v>
      </c>
      <c r="AL150" s="13" t="n">
        <v>209900</v>
      </c>
      <c r="AM150" s="14" t="n">
        <v>-17.9112</v>
      </c>
      <c r="AN150" s="13" t="n">
        <v>294519.78</v>
      </c>
      <c r="AO150" s="13" t="n">
        <v>47024.17</v>
      </c>
      <c r="AR150" s="0" t="s">
        <v>734</v>
      </c>
      <c r="AZ150" s="0" t="s">
        <v>89</v>
      </c>
      <c r="BA150" s="0" t="s">
        <v>89</v>
      </c>
      <c r="BB150" s="0" t="s">
        <v>90</v>
      </c>
      <c r="BC150" s="0" t="s">
        <v>241</v>
      </c>
      <c r="BD150" s="15" t="s">
        <v>735</v>
      </c>
      <c r="BE150" s="37" t="s">
        <v>461</v>
      </c>
    </row>
    <row r="151" customFormat="false" ht="16.4" hidden="false" customHeight="false" outlineLevel="0" collapsed="false">
      <c r="A151" s="36" t="str">
        <f aca="false">IF(B151=0,"",MAX($A$3:A150)+1)</f>
        <v/>
      </c>
      <c r="B151" s="36" t="n">
        <f aca="false">IF(OR(M151="FLETE",M151="FLETE ENVIO GARANTIA",M151="FLETE RECOLECCION GARANTIA",M151="COMPENSACION"),0,1)</f>
        <v>0</v>
      </c>
      <c r="D151" s="10" t="n">
        <v>13932652</v>
      </c>
      <c r="J151" s="0" t="s">
        <v>282</v>
      </c>
      <c r="K151" s="0" t="s">
        <v>93</v>
      </c>
      <c r="L151" s="0" t="s">
        <v>210</v>
      </c>
      <c r="M151" s="0" t="s">
        <v>211</v>
      </c>
      <c r="N151" s="0" t="n">
        <v>1</v>
      </c>
      <c r="P151" s="0" t="s">
        <v>73</v>
      </c>
      <c r="R151" s="0" t="s">
        <v>211</v>
      </c>
      <c r="V151" s="0" t="s">
        <v>732</v>
      </c>
      <c r="W151" s="12" t="n">
        <v>0</v>
      </c>
      <c r="Y151" s="0" t="s">
        <v>439</v>
      </c>
      <c r="AG151" s="0" t="s">
        <v>5</v>
      </c>
      <c r="AL151" s="13" t="n">
        <v>0</v>
      </c>
      <c r="AM151" s="14" t="n">
        <v>0</v>
      </c>
      <c r="AO151" s="13" t="n">
        <v>0</v>
      </c>
      <c r="AR151" s="0" t="s">
        <v>734</v>
      </c>
      <c r="AZ151" s="0" t="s">
        <v>89</v>
      </c>
      <c r="BA151" s="0" t="s">
        <v>89</v>
      </c>
      <c r="BB151" s="0" t="s">
        <v>90</v>
      </c>
      <c r="BC151" s="0" t="s">
        <v>241</v>
      </c>
      <c r="BD151" s="15" t="s">
        <v>735</v>
      </c>
      <c r="BE151" s="37" t="s">
        <v>461</v>
      </c>
    </row>
    <row r="152" customFormat="false" ht="16.4" hidden="false" customHeight="false" outlineLevel="0" collapsed="false">
      <c r="A152" s="36" t="n">
        <f aca="false">IF(B152=0,"",MAX($A$3:A151)+1)</f>
        <v>126</v>
      </c>
      <c r="B152" s="36" t="n">
        <f aca="false">IF(OR(M152="FLETE",M152="FLETE ENVIO GARANTIA",M152="FLETE RECOLECCION GARANTIA",M152="COMPENSACION"),0,1)</f>
        <v>1</v>
      </c>
      <c r="C152" s="0" t="s">
        <v>741</v>
      </c>
      <c r="D152" s="10" t="n">
        <v>13932136</v>
      </c>
      <c r="E152" s="11" t="n">
        <v>45705</v>
      </c>
      <c r="F152" s="11" t="n">
        <v>45717</v>
      </c>
      <c r="G152" s="11" t="n">
        <v>45719</v>
      </c>
      <c r="I152" s="11" t="n">
        <v>45719</v>
      </c>
      <c r="J152" s="0" t="s">
        <v>282</v>
      </c>
      <c r="K152" s="0" t="s">
        <v>93</v>
      </c>
      <c r="L152" s="0" t="s">
        <v>742</v>
      </c>
      <c r="M152" s="0" t="s">
        <v>743</v>
      </c>
      <c r="N152" s="0" t="n">
        <v>1</v>
      </c>
      <c r="P152" s="0" t="s">
        <v>217</v>
      </c>
      <c r="Q152" s="0" t="s">
        <v>482</v>
      </c>
      <c r="R152" s="0" t="s">
        <v>744</v>
      </c>
      <c r="S152" s="0" t="s">
        <v>435</v>
      </c>
      <c r="T152" s="0" t="s">
        <v>436</v>
      </c>
      <c r="U152" s="0" t="s">
        <v>199</v>
      </c>
      <c r="V152" s="0" t="s">
        <v>745</v>
      </c>
      <c r="W152" s="12" t="n">
        <v>0</v>
      </c>
      <c r="Y152" s="12" t="s">
        <v>746</v>
      </c>
      <c r="Z152" s="0" t="s">
        <v>747</v>
      </c>
      <c r="AB152" s="0" t="n">
        <v>1121329239</v>
      </c>
      <c r="AC152" s="0" t="s">
        <v>748</v>
      </c>
      <c r="AE152" s="0" t="n">
        <v>3112154225</v>
      </c>
      <c r="AF152" s="0" t="n">
        <v>551319</v>
      </c>
      <c r="AG152" s="0" t="s">
        <v>6</v>
      </c>
      <c r="AK152" s="0" t="s">
        <v>85</v>
      </c>
      <c r="AL152" s="13" t="n">
        <v>637900</v>
      </c>
      <c r="AM152" s="14" t="n">
        <v>26.9635</v>
      </c>
      <c r="AN152" s="13" t="n">
        <v>554420.8</v>
      </c>
      <c r="AO152" s="13" t="n">
        <v>88520.97</v>
      </c>
      <c r="AP152" s="0" t="n">
        <v>0</v>
      </c>
      <c r="AR152" s="0" t="s">
        <v>749</v>
      </c>
      <c r="AS152" s="0" t="n">
        <v>554420.8</v>
      </c>
      <c r="AT152" s="0" t="s">
        <v>441</v>
      </c>
      <c r="AU152" s="0" t="s">
        <v>444</v>
      </c>
      <c r="AV152" s="0" t="s">
        <v>445</v>
      </c>
      <c r="AX152" s="0" t="s">
        <v>438</v>
      </c>
      <c r="AY152" s="0" t="s">
        <v>440</v>
      </c>
      <c r="AZ152" s="0" t="s">
        <v>89</v>
      </c>
      <c r="BA152" s="0" t="s">
        <v>89</v>
      </c>
      <c r="BB152" s="0" t="s">
        <v>90</v>
      </c>
      <c r="BC152" s="0" t="n">
        <v>0</v>
      </c>
      <c r="BD152" s="15" t="s">
        <v>750</v>
      </c>
      <c r="BE152" s="37" t="s">
        <v>461</v>
      </c>
    </row>
    <row r="153" customFormat="false" ht="16.4" hidden="false" customHeight="false" outlineLevel="0" collapsed="false">
      <c r="A153" s="36" t="str">
        <f aca="false">IF(B153=0,"",MAX($A$3:A152)+1)</f>
        <v/>
      </c>
      <c r="B153" s="36" t="n">
        <f aca="false">IF(OR(M153="FLETE",M153="FLETE ENVIO GARANTIA",M153="FLETE RECOLECCION GARANTIA",M153="COMPENSACION"),0,1)</f>
        <v>0</v>
      </c>
      <c r="D153" s="10" t="n">
        <v>13932136</v>
      </c>
      <c r="J153" s="0" t="s">
        <v>282</v>
      </c>
      <c r="K153" s="0" t="s">
        <v>93</v>
      </c>
      <c r="L153" s="0" t="s">
        <v>210</v>
      </c>
      <c r="M153" s="0" t="s">
        <v>211</v>
      </c>
      <c r="N153" s="0" t="n">
        <v>1</v>
      </c>
      <c r="P153" s="0" t="s">
        <v>73</v>
      </c>
      <c r="R153" s="0" t="s">
        <v>211</v>
      </c>
      <c r="V153" s="0" t="s">
        <v>745</v>
      </c>
      <c r="W153" s="12" t="n">
        <v>0</v>
      </c>
      <c r="Y153" s="0" t="s">
        <v>746</v>
      </c>
      <c r="AG153" s="0" t="s">
        <v>6</v>
      </c>
      <c r="AL153" s="13" t="n">
        <v>0</v>
      </c>
      <c r="AM153" s="14" t="n">
        <v>0</v>
      </c>
      <c r="AO153" s="13" t="n">
        <v>0</v>
      </c>
      <c r="AR153" s="0" t="s">
        <v>749</v>
      </c>
      <c r="AZ153" s="0" t="s">
        <v>89</v>
      </c>
      <c r="BA153" s="0" t="s">
        <v>89</v>
      </c>
      <c r="BB153" s="0" t="s">
        <v>90</v>
      </c>
      <c r="BC153" s="0" t="n">
        <v>0</v>
      </c>
      <c r="BD153" s="15" t="s">
        <v>750</v>
      </c>
      <c r="BE153" s="37" t="s">
        <v>461</v>
      </c>
    </row>
    <row r="154" customFormat="false" ht="16.4" hidden="false" customHeight="false" outlineLevel="0" collapsed="false">
      <c r="A154" s="36" t="n">
        <f aca="false">IF(B154=0,"",MAX($A$3:A153)+1)</f>
        <v>127</v>
      </c>
      <c r="B154" s="36" t="n">
        <f aca="false">IF(OR(M154="FLETE",M154="FLETE ENVIO GARANTIA",M154="FLETE RECOLECCION GARANTIA",M154="COMPENSACION"),0,1)</f>
        <v>1</v>
      </c>
      <c r="C154" s="0" t="s">
        <v>751</v>
      </c>
      <c r="D154" s="10" t="n">
        <v>13932083</v>
      </c>
      <c r="E154" s="11" t="n">
        <v>45705</v>
      </c>
      <c r="F154" s="11" t="n">
        <v>45714</v>
      </c>
      <c r="G154" s="11" t="n">
        <v>45719</v>
      </c>
      <c r="I154" s="11" t="n">
        <v>45719</v>
      </c>
      <c r="J154" s="0" t="s">
        <v>282</v>
      </c>
      <c r="K154" s="0" t="s">
        <v>292</v>
      </c>
      <c r="L154" s="0" t="s">
        <v>303</v>
      </c>
      <c r="M154" s="0" t="s">
        <v>304</v>
      </c>
      <c r="N154" s="0" t="n">
        <v>1</v>
      </c>
      <c r="P154" s="0" t="s">
        <v>249</v>
      </c>
      <c r="Q154" s="0" t="s">
        <v>295</v>
      </c>
      <c r="R154" s="0" t="s">
        <v>305</v>
      </c>
      <c r="V154" s="0" t="s">
        <v>752</v>
      </c>
      <c r="W154" s="12" t="n">
        <v>0</v>
      </c>
      <c r="Y154" s="12" t="s">
        <v>439</v>
      </c>
      <c r="Z154" s="0" t="s">
        <v>179</v>
      </c>
      <c r="AB154" s="0" t="n">
        <v>52458414</v>
      </c>
      <c r="AC154" s="0" t="s">
        <v>753</v>
      </c>
      <c r="AE154" s="0" t="n">
        <v>3112122490</v>
      </c>
      <c r="AF154" s="0" t="n">
        <v>555174</v>
      </c>
      <c r="AG154" s="0" t="s">
        <v>754</v>
      </c>
      <c r="AH154" s="0" t="n">
        <v>1</v>
      </c>
      <c r="AK154" s="0" t="s">
        <v>85</v>
      </c>
      <c r="AL154" s="13" t="n">
        <v>35900</v>
      </c>
      <c r="AM154" s="14" t="n">
        <v>-52.9248</v>
      </c>
      <c r="AN154" s="13" t="n">
        <v>65331</v>
      </c>
      <c r="AO154" s="13" t="n">
        <v>10431</v>
      </c>
      <c r="AP154" s="0" t="n">
        <v>0</v>
      </c>
      <c r="AR154" s="0" t="s">
        <v>755</v>
      </c>
      <c r="AS154" s="0" t="n">
        <v>65331</v>
      </c>
      <c r="AT154" s="0" t="s">
        <v>441</v>
      </c>
      <c r="AU154" s="0" t="s">
        <v>444</v>
      </c>
      <c r="AV154" s="0" t="s">
        <v>445</v>
      </c>
      <c r="AX154" s="0" t="s">
        <v>438</v>
      </c>
      <c r="AY154" s="0" t="s">
        <v>440</v>
      </c>
      <c r="AZ154" s="0" t="s">
        <v>257</v>
      </c>
      <c r="BA154" s="0" t="s">
        <v>257</v>
      </c>
      <c r="BB154" s="0" t="s">
        <v>90</v>
      </c>
      <c r="BC154" s="0" t="s">
        <v>756</v>
      </c>
      <c r="BD154" s="15" t="s">
        <v>757</v>
      </c>
      <c r="BE154" s="37" t="s">
        <v>461</v>
      </c>
    </row>
    <row r="155" customFormat="false" ht="16.4" hidden="false" customHeight="false" outlineLevel="0" collapsed="false">
      <c r="A155" s="36" t="str">
        <f aca="false">IF(B155=0,"",MAX($A$3:A154)+1)</f>
        <v/>
      </c>
      <c r="B155" s="36" t="n">
        <f aca="false">IF(OR(M155="FLETE",M155="FLETE ENVIO GARANTIA",M155="FLETE RECOLECCION GARANTIA",M155="COMPENSACION"),0,1)</f>
        <v>0</v>
      </c>
      <c r="D155" s="10" t="n">
        <v>13932083</v>
      </c>
      <c r="J155" s="0" t="s">
        <v>282</v>
      </c>
      <c r="K155" s="0" t="s">
        <v>93</v>
      </c>
      <c r="L155" s="0" t="s">
        <v>210</v>
      </c>
      <c r="M155" s="0" t="s">
        <v>211</v>
      </c>
      <c r="N155" s="0" t="n">
        <v>1</v>
      </c>
      <c r="P155" s="0" t="s">
        <v>73</v>
      </c>
      <c r="R155" s="0" t="s">
        <v>211</v>
      </c>
      <c r="V155" s="0" t="s">
        <v>752</v>
      </c>
      <c r="W155" s="12" t="n">
        <v>0</v>
      </c>
      <c r="Y155" s="0" t="s">
        <v>439</v>
      </c>
      <c r="AG155" s="0" t="s">
        <v>754</v>
      </c>
      <c r="AL155" s="13" t="n">
        <v>0</v>
      </c>
      <c r="AM155" s="14" t="n">
        <v>0</v>
      </c>
      <c r="AO155" s="13" t="n">
        <v>0</v>
      </c>
      <c r="AR155" s="0" t="s">
        <v>755</v>
      </c>
      <c r="AZ155" s="0" t="s">
        <v>89</v>
      </c>
      <c r="BA155" s="0" t="s">
        <v>89</v>
      </c>
      <c r="BB155" s="0" t="s">
        <v>90</v>
      </c>
      <c r="BC155" s="0" t="s">
        <v>756</v>
      </c>
      <c r="BD155" s="15" t="s">
        <v>757</v>
      </c>
      <c r="BE155" s="37" t="s">
        <v>461</v>
      </c>
    </row>
    <row r="156" customFormat="false" ht="16.4" hidden="false" customHeight="false" outlineLevel="0" collapsed="false">
      <c r="A156" s="36" t="n">
        <f aca="false">IF(B156=0,"",MAX($A$3:A155)+1)</f>
        <v>128</v>
      </c>
      <c r="B156" s="36" t="n">
        <f aca="false">IF(OR(M156="FLETE",M156="FLETE ENVIO GARANTIA",M156="FLETE RECOLECCION GARANTIA",M156="COMPENSACION"),0,1)</f>
        <v>1</v>
      </c>
      <c r="C156" s="0" t="s">
        <v>758</v>
      </c>
      <c r="D156" s="10" t="n">
        <v>13928900</v>
      </c>
      <c r="E156" s="11" t="n">
        <v>45705</v>
      </c>
      <c r="F156" s="11" t="n">
        <v>45717</v>
      </c>
      <c r="G156" s="11" t="n">
        <v>45719</v>
      </c>
      <c r="I156" s="11" t="n">
        <v>45719</v>
      </c>
      <c r="J156" s="0" t="s">
        <v>282</v>
      </c>
      <c r="K156" s="0" t="s">
        <v>479</v>
      </c>
      <c r="L156" s="0" t="s">
        <v>759</v>
      </c>
      <c r="M156" s="0" t="s">
        <v>760</v>
      </c>
      <c r="N156" s="0" t="n">
        <v>4</v>
      </c>
      <c r="P156" s="0" t="s">
        <v>217</v>
      </c>
      <c r="Q156" s="0" t="s">
        <v>482</v>
      </c>
      <c r="R156" s="0" t="s">
        <v>761</v>
      </c>
      <c r="S156" s="0" t="s">
        <v>454</v>
      </c>
      <c r="T156" s="0" t="s">
        <v>762</v>
      </c>
      <c r="U156" s="0" t="s">
        <v>199</v>
      </c>
      <c r="V156" s="0" t="s">
        <v>763</v>
      </c>
      <c r="W156" s="12" t="n">
        <v>0</v>
      </c>
      <c r="Y156" s="12" t="s">
        <v>764</v>
      </c>
      <c r="Z156" s="0" t="s">
        <v>765</v>
      </c>
      <c r="AB156" s="0" t="n">
        <v>817007510</v>
      </c>
      <c r="AC156" s="0" t="s">
        <v>766</v>
      </c>
      <c r="AE156" s="0" t="n">
        <v>3225620672</v>
      </c>
      <c r="AF156" s="0" t="s">
        <v>767</v>
      </c>
      <c r="AG156" s="0" t="s">
        <v>6</v>
      </c>
      <c r="AK156" s="0" t="s">
        <v>85</v>
      </c>
      <c r="AL156" s="13" t="n">
        <v>368900</v>
      </c>
      <c r="AM156" s="14" t="n">
        <v>-0.5422</v>
      </c>
      <c r="AN156" s="13" t="n">
        <v>1765484.83</v>
      </c>
      <c r="AO156" s="13" t="n">
        <v>281884.13</v>
      </c>
      <c r="AP156" s="0" t="n">
        <v>0</v>
      </c>
      <c r="AR156" s="0" t="s">
        <v>768</v>
      </c>
      <c r="AS156" s="0" t="n">
        <v>3530969.66</v>
      </c>
      <c r="AT156" s="0" t="s">
        <v>441</v>
      </c>
      <c r="AU156" s="0" t="s">
        <v>444</v>
      </c>
      <c r="AV156" s="0" t="s">
        <v>445</v>
      </c>
      <c r="AX156" s="0" t="s">
        <v>438</v>
      </c>
      <c r="AY156" s="0" t="s">
        <v>440</v>
      </c>
      <c r="AZ156" s="0" t="s">
        <v>89</v>
      </c>
      <c r="BA156" s="0" t="s">
        <v>89</v>
      </c>
      <c r="BB156" s="0" t="s">
        <v>90</v>
      </c>
      <c r="BC156" s="0" t="n">
        <v>0</v>
      </c>
      <c r="BD156" s="15" t="s">
        <v>769</v>
      </c>
      <c r="BE156" s="37" t="s">
        <v>461</v>
      </c>
    </row>
    <row r="157" customFormat="false" ht="16.4" hidden="false" customHeight="false" outlineLevel="0" collapsed="false">
      <c r="A157" s="36" t="n">
        <f aca="false">IF(B157=0,"",MAX($A$3:A156)+1)</f>
        <v>129</v>
      </c>
      <c r="B157" s="36" t="n">
        <f aca="false">IF(OR(M157="FLETE",M157="FLETE ENVIO GARANTIA",M157="FLETE RECOLECCION GARANTIA",M157="COMPENSACION"),0,1)</f>
        <v>1</v>
      </c>
      <c r="D157" s="10" t="n">
        <v>13928900</v>
      </c>
      <c r="J157" s="0" t="s">
        <v>282</v>
      </c>
      <c r="K157" s="0" t="s">
        <v>479</v>
      </c>
      <c r="L157" s="0" t="s">
        <v>770</v>
      </c>
      <c r="M157" s="0" t="s">
        <v>771</v>
      </c>
      <c r="N157" s="0" t="n">
        <v>4</v>
      </c>
      <c r="P157" s="0" t="s">
        <v>217</v>
      </c>
      <c r="Q157" s="0" t="s">
        <v>482</v>
      </c>
      <c r="R157" s="0" t="s">
        <v>761</v>
      </c>
      <c r="S157" s="0" t="s">
        <v>454</v>
      </c>
      <c r="T157" s="0" t="s">
        <v>236</v>
      </c>
      <c r="U157" s="0" t="s">
        <v>199</v>
      </c>
      <c r="V157" s="0" t="s">
        <v>763</v>
      </c>
      <c r="W157" s="12" t="n">
        <v>0</v>
      </c>
      <c r="Y157" s="0" t="s">
        <v>764</v>
      </c>
      <c r="AG157" s="0" t="s">
        <v>6</v>
      </c>
      <c r="AL157" s="13" t="n">
        <v>368900</v>
      </c>
      <c r="AM157" s="14" t="n">
        <v>-0.5422</v>
      </c>
      <c r="AN157" s="13" t="n">
        <v>1765484.83</v>
      </c>
      <c r="AO157" s="13" t="n">
        <v>281884.13</v>
      </c>
      <c r="AR157" s="0" t="s">
        <v>768</v>
      </c>
      <c r="AZ157" s="0" t="s">
        <v>89</v>
      </c>
      <c r="BA157" s="0" t="s">
        <v>89</v>
      </c>
      <c r="BB157" s="0" t="s">
        <v>90</v>
      </c>
      <c r="BC157" s="0" t="n">
        <v>0</v>
      </c>
      <c r="BD157" s="15" t="s">
        <v>769</v>
      </c>
      <c r="BE157" s="37" t="s">
        <v>461</v>
      </c>
    </row>
    <row r="158" customFormat="false" ht="16.4" hidden="false" customHeight="false" outlineLevel="0" collapsed="false">
      <c r="A158" s="36" t="str">
        <f aca="false">IF(B158=0,"",MAX($A$3:A157)+1)</f>
        <v/>
      </c>
      <c r="B158" s="36" t="n">
        <f aca="false">IF(OR(M158="FLETE",M158="FLETE ENVIO GARANTIA",M158="FLETE RECOLECCION GARANTIA",M158="COMPENSACION"),0,1)</f>
        <v>0</v>
      </c>
      <c r="D158" s="10" t="n">
        <v>13928900</v>
      </c>
      <c r="J158" s="0" t="s">
        <v>282</v>
      </c>
      <c r="K158" s="0" t="s">
        <v>93</v>
      </c>
      <c r="L158" s="0" t="s">
        <v>210</v>
      </c>
      <c r="M158" s="0" t="s">
        <v>211</v>
      </c>
      <c r="N158" s="0" t="n">
        <v>1</v>
      </c>
      <c r="P158" s="0" t="s">
        <v>73</v>
      </c>
      <c r="R158" s="0" t="s">
        <v>211</v>
      </c>
      <c r="V158" s="0" t="s">
        <v>763</v>
      </c>
      <c r="W158" s="12" t="n">
        <v>0</v>
      </c>
      <c r="Y158" s="12" t="s">
        <v>764</v>
      </c>
      <c r="AG158" s="0" t="s">
        <v>6</v>
      </c>
      <c r="AL158" s="13" t="n">
        <v>0</v>
      </c>
      <c r="AM158" s="14" t="n">
        <v>0</v>
      </c>
      <c r="AO158" s="13" t="n">
        <v>0</v>
      </c>
      <c r="AR158" s="0" t="s">
        <v>768</v>
      </c>
      <c r="AZ158" s="0" t="s">
        <v>89</v>
      </c>
      <c r="BA158" s="0" t="s">
        <v>89</v>
      </c>
      <c r="BB158" s="0" t="s">
        <v>90</v>
      </c>
      <c r="BC158" s="0" t="n">
        <v>0</v>
      </c>
      <c r="BD158" s="15" t="s">
        <v>769</v>
      </c>
      <c r="BE158" s="37" t="s">
        <v>461</v>
      </c>
    </row>
    <row r="159" customFormat="false" ht="16.4" hidden="false" customHeight="false" outlineLevel="0" collapsed="false">
      <c r="A159" s="36" t="n">
        <f aca="false">IF(B159=0,"",MAX($A$3:A158)+1)</f>
        <v>130</v>
      </c>
      <c r="B159" s="36" t="n">
        <f aca="false">IF(OR(M159="FLETE",M159="FLETE ENVIO GARANTIA",M159="FLETE RECOLECCION GARANTIA",M159="COMPENSACION"),0,1)</f>
        <v>1</v>
      </c>
      <c r="C159" s="0" t="s">
        <v>772</v>
      </c>
      <c r="D159" s="10" t="n">
        <v>13928149</v>
      </c>
      <c r="E159" s="11" t="n">
        <v>45705</v>
      </c>
      <c r="F159" s="11" t="n">
        <v>45717</v>
      </c>
      <c r="G159" s="11" t="n">
        <v>45719</v>
      </c>
      <c r="I159" s="11" t="n">
        <v>45719</v>
      </c>
      <c r="J159" s="0" t="s">
        <v>282</v>
      </c>
      <c r="K159" s="0" t="s">
        <v>214</v>
      </c>
      <c r="L159" s="0" t="s">
        <v>638</v>
      </c>
      <c r="M159" s="0" t="s">
        <v>639</v>
      </c>
      <c r="N159" s="0" t="n">
        <v>2</v>
      </c>
      <c r="P159" s="0" t="s">
        <v>217</v>
      </c>
      <c r="Q159" s="0" t="s">
        <v>640</v>
      </c>
      <c r="R159" s="0" t="s">
        <v>641</v>
      </c>
      <c r="S159" s="0" t="s">
        <v>158</v>
      </c>
      <c r="T159" s="0" t="s">
        <v>513</v>
      </c>
      <c r="V159" s="0" t="s">
        <v>773</v>
      </c>
      <c r="W159" s="12" t="n">
        <v>0</v>
      </c>
      <c r="Y159" s="12" t="s">
        <v>439</v>
      </c>
      <c r="Z159" s="0" t="s">
        <v>179</v>
      </c>
      <c r="AB159" s="0" t="n">
        <v>9009644186</v>
      </c>
      <c r="AC159" s="0" t="s">
        <v>458</v>
      </c>
      <c r="AE159" s="0" t="n">
        <v>3136735652</v>
      </c>
      <c r="AF159" s="0" t="n">
        <v>758868</v>
      </c>
      <c r="AG159" s="0" t="s">
        <v>5</v>
      </c>
      <c r="AK159" s="0" t="s">
        <v>85</v>
      </c>
      <c r="AL159" s="13" t="n">
        <v>188900</v>
      </c>
      <c r="AM159" s="14" t="n">
        <v>-19.5871</v>
      </c>
      <c r="AN159" s="13" t="n">
        <v>537642.07</v>
      </c>
      <c r="AO159" s="13" t="n">
        <v>85842.01</v>
      </c>
      <c r="AP159" s="0" t="n">
        <v>0</v>
      </c>
      <c r="AR159" s="0" t="s">
        <v>774</v>
      </c>
      <c r="AS159" s="0" t="n">
        <v>537642.07</v>
      </c>
      <c r="AT159" s="0" t="s">
        <v>441</v>
      </c>
      <c r="AU159" s="0" t="s">
        <v>444</v>
      </c>
      <c r="AV159" s="0" t="s">
        <v>445</v>
      </c>
      <c r="AX159" s="0" t="s">
        <v>438</v>
      </c>
      <c r="AY159" s="0" t="s">
        <v>440</v>
      </c>
      <c r="AZ159" s="0" t="s">
        <v>89</v>
      </c>
      <c r="BA159" s="0" t="s">
        <v>89</v>
      </c>
      <c r="BB159" s="0" t="s">
        <v>90</v>
      </c>
      <c r="BC159" s="0" t="n">
        <v>0</v>
      </c>
      <c r="BD159" s="15" t="s">
        <v>775</v>
      </c>
      <c r="BE159" s="37" t="s">
        <v>461</v>
      </c>
    </row>
    <row r="160" customFormat="false" ht="16.4" hidden="false" customHeight="false" outlineLevel="0" collapsed="false">
      <c r="A160" s="36" t="str">
        <f aca="false">IF(B160=0,"",MAX($A$3:A159)+1)</f>
        <v/>
      </c>
      <c r="B160" s="36" t="n">
        <f aca="false">IF(OR(M160="FLETE",M160="FLETE ENVIO GARANTIA",M160="FLETE RECOLECCION GARANTIA",M160="COMPENSACION"),0,1)</f>
        <v>0</v>
      </c>
      <c r="D160" s="10" t="n">
        <v>13928149</v>
      </c>
      <c r="J160" s="0" t="s">
        <v>282</v>
      </c>
      <c r="K160" s="0" t="s">
        <v>93</v>
      </c>
      <c r="L160" s="0" t="s">
        <v>210</v>
      </c>
      <c r="M160" s="0" t="s">
        <v>211</v>
      </c>
      <c r="N160" s="0" t="n">
        <v>1</v>
      </c>
      <c r="P160" s="0" t="s">
        <v>73</v>
      </c>
      <c r="R160" s="0" t="s">
        <v>211</v>
      </c>
      <c r="V160" s="0" t="s">
        <v>773</v>
      </c>
      <c r="W160" s="12" t="n">
        <v>0</v>
      </c>
      <c r="Y160" s="0" t="s">
        <v>439</v>
      </c>
      <c r="AG160" s="0" t="s">
        <v>5</v>
      </c>
      <c r="AL160" s="13" t="n">
        <v>0</v>
      </c>
      <c r="AM160" s="14" t="n">
        <v>0</v>
      </c>
      <c r="AO160" s="13" t="n">
        <v>0</v>
      </c>
      <c r="AR160" s="0" t="s">
        <v>774</v>
      </c>
      <c r="AZ160" s="0" t="s">
        <v>89</v>
      </c>
      <c r="BA160" s="0" t="s">
        <v>89</v>
      </c>
      <c r="BB160" s="0" t="s">
        <v>90</v>
      </c>
      <c r="BC160" s="0" t="n">
        <v>0</v>
      </c>
      <c r="BD160" s="15" t="s">
        <v>775</v>
      </c>
      <c r="BE160" s="37" t="s">
        <v>461</v>
      </c>
    </row>
    <row r="161" customFormat="false" ht="16.4" hidden="false" customHeight="false" outlineLevel="0" collapsed="false">
      <c r="A161" s="36" t="n">
        <f aca="false">IF(B161=0,"",MAX($A$3:A160)+1)</f>
        <v>131</v>
      </c>
      <c r="B161" s="36" t="n">
        <f aca="false">IF(OR(M161="FLETE",M161="FLETE ENVIO GARANTIA",M161="FLETE RECOLECCION GARANTIA",M161="COMPENSACION"),0,1)</f>
        <v>1</v>
      </c>
      <c r="C161" s="0" t="s">
        <v>776</v>
      </c>
      <c r="D161" s="10" t="n">
        <v>13928097</v>
      </c>
      <c r="E161" s="11" t="n">
        <v>45705</v>
      </c>
      <c r="F161" s="11" t="n">
        <v>45717</v>
      </c>
      <c r="G161" s="11" t="n">
        <v>45719</v>
      </c>
      <c r="I161" s="11" t="n">
        <v>45719</v>
      </c>
      <c r="J161" s="0" t="s">
        <v>282</v>
      </c>
      <c r="K161" s="0" t="s">
        <v>214</v>
      </c>
      <c r="L161" s="0" t="s">
        <v>777</v>
      </c>
      <c r="M161" s="0" t="s">
        <v>778</v>
      </c>
      <c r="N161" s="0" t="n">
        <v>1</v>
      </c>
      <c r="P161" s="0" t="s">
        <v>217</v>
      </c>
      <c r="Q161" s="0" t="s">
        <v>218</v>
      </c>
      <c r="R161" s="0" t="s">
        <v>604</v>
      </c>
      <c r="S161" s="0" t="s">
        <v>591</v>
      </c>
      <c r="T161" s="0" t="s">
        <v>221</v>
      </c>
      <c r="U161" s="0" t="s">
        <v>160</v>
      </c>
      <c r="V161" s="0" t="s">
        <v>779</v>
      </c>
      <c r="W161" s="12" t="n">
        <v>0</v>
      </c>
      <c r="Y161" s="12" t="s">
        <v>439</v>
      </c>
      <c r="Z161" s="0" t="s">
        <v>179</v>
      </c>
      <c r="AB161" s="0" t="n">
        <v>7365315</v>
      </c>
      <c r="AC161" s="0" t="s">
        <v>458</v>
      </c>
      <c r="AE161" s="0" t="n">
        <v>3008888883</v>
      </c>
      <c r="AF161" s="0" t="n">
        <v>664945</v>
      </c>
      <c r="AG161" s="0" t="s">
        <v>5</v>
      </c>
      <c r="AH161" s="0" t="n">
        <v>1</v>
      </c>
      <c r="AK161" s="0" t="s">
        <v>85</v>
      </c>
      <c r="AL161" s="13" t="n">
        <v>1360900</v>
      </c>
      <c r="AM161" s="14" t="n">
        <v>4.6293</v>
      </c>
      <c r="AN161" s="13" t="n">
        <v>1544500.83</v>
      </c>
      <c r="AO161" s="13" t="n">
        <v>246600.97</v>
      </c>
      <c r="AP161" s="0" t="n">
        <v>0</v>
      </c>
      <c r="AR161" s="0" t="s">
        <v>780</v>
      </c>
      <c r="AS161" s="0" t="n">
        <v>1544500.83</v>
      </c>
      <c r="AT161" s="0" t="s">
        <v>441</v>
      </c>
      <c r="AU161" s="0" t="s">
        <v>444</v>
      </c>
      <c r="AV161" s="0" t="s">
        <v>445</v>
      </c>
      <c r="AX161" s="0" t="s">
        <v>438</v>
      </c>
      <c r="AY161" s="0" t="s">
        <v>440</v>
      </c>
      <c r="AZ161" s="0" t="s">
        <v>89</v>
      </c>
      <c r="BA161" s="0" t="s">
        <v>89</v>
      </c>
      <c r="BB161" s="0" t="s">
        <v>90</v>
      </c>
      <c r="BC161" s="0" t="s">
        <v>241</v>
      </c>
      <c r="BD161" s="15" t="s">
        <v>781</v>
      </c>
      <c r="BE161" s="37" t="s">
        <v>461</v>
      </c>
    </row>
    <row r="162" customFormat="false" ht="16.4" hidden="false" customHeight="false" outlineLevel="0" collapsed="false">
      <c r="A162" s="36" t="str">
        <f aca="false">IF(B162=0,"",MAX($A$3:A161)+1)</f>
        <v/>
      </c>
      <c r="B162" s="36" t="n">
        <f aca="false">IF(OR(M162="FLETE",M162="FLETE ENVIO GARANTIA",M162="FLETE RECOLECCION GARANTIA",M162="COMPENSACION"),0,1)</f>
        <v>0</v>
      </c>
      <c r="D162" s="10" t="n">
        <v>13928097</v>
      </c>
      <c r="J162" s="0" t="s">
        <v>282</v>
      </c>
      <c r="K162" s="0" t="s">
        <v>93</v>
      </c>
      <c r="L162" s="0" t="s">
        <v>210</v>
      </c>
      <c r="M162" s="0" t="s">
        <v>211</v>
      </c>
      <c r="N162" s="0" t="n">
        <v>1</v>
      </c>
      <c r="P162" s="0" t="s">
        <v>73</v>
      </c>
      <c r="R162" s="0" t="s">
        <v>211</v>
      </c>
      <c r="V162" s="0" t="s">
        <v>779</v>
      </c>
      <c r="W162" s="12" t="n">
        <v>0</v>
      </c>
      <c r="Y162" s="0" t="s">
        <v>439</v>
      </c>
      <c r="AG162" s="0" t="s">
        <v>5</v>
      </c>
      <c r="AL162" s="13" t="n">
        <v>0</v>
      </c>
      <c r="AM162" s="14" t="n">
        <v>0</v>
      </c>
      <c r="AO162" s="13" t="n">
        <v>0</v>
      </c>
      <c r="AR162" s="0" t="s">
        <v>780</v>
      </c>
      <c r="AZ162" s="0" t="s">
        <v>89</v>
      </c>
      <c r="BA162" s="0" t="s">
        <v>89</v>
      </c>
      <c r="BB162" s="0" t="s">
        <v>90</v>
      </c>
      <c r="BC162" s="0" t="s">
        <v>241</v>
      </c>
      <c r="BD162" s="15" t="s">
        <v>781</v>
      </c>
      <c r="BE162" s="37" t="s">
        <v>461</v>
      </c>
    </row>
    <row r="163" customFormat="false" ht="16.4" hidden="false" customHeight="false" outlineLevel="0" collapsed="false">
      <c r="A163" s="36" t="n">
        <f aca="false">IF(B163=0,"",MAX($A$3:A162)+1)</f>
        <v>132</v>
      </c>
      <c r="B163" s="36" t="n">
        <f aca="false">IF(OR(M163="FLETE",M163="FLETE ENVIO GARANTIA",M163="FLETE RECOLECCION GARANTIA",M163="COMPENSACION"),0,1)</f>
        <v>1</v>
      </c>
      <c r="C163" s="0" t="s">
        <v>782</v>
      </c>
      <c r="D163" s="10" t="n">
        <v>13927920</v>
      </c>
      <c r="E163" s="11" t="n">
        <v>45705</v>
      </c>
      <c r="F163" s="11" t="n">
        <v>45717</v>
      </c>
      <c r="G163" s="11" t="n">
        <v>45719</v>
      </c>
      <c r="I163" s="11" t="n">
        <v>45719</v>
      </c>
      <c r="J163" s="0" t="s">
        <v>282</v>
      </c>
      <c r="K163" s="0" t="s">
        <v>214</v>
      </c>
      <c r="L163" s="0" t="s">
        <v>783</v>
      </c>
      <c r="M163" s="0" t="s">
        <v>784</v>
      </c>
      <c r="N163" s="0" t="n">
        <v>1</v>
      </c>
      <c r="P163" s="0" t="s">
        <v>217</v>
      </c>
      <c r="Q163" s="0" t="s">
        <v>218</v>
      </c>
      <c r="R163" s="0" t="s">
        <v>785</v>
      </c>
      <c r="S163" s="0" t="s">
        <v>454</v>
      </c>
      <c r="T163" s="0" t="s">
        <v>449</v>
      </c>
      <c r="U163" s="0" t="s">
        <v>199</v>
      </c>
      <c r="V163" s="0" t="s">
        <v>786</v>
      </c>
      <c r="W163" s="12" t="n">
        <v>0</v>
      </c>
      <c r="Y163" s="12" t="s">
        <v>439</v>
      </c>
      <c r="Z163" s="0" t="s">
        <v>179</v>
      </c>
      <c r="AB163" s="0" t="n">
        <v>1017266484</v>
      </c>
      <c r="AC163" s="0" t="s">
        <v>458</v>
      </c>
      <c r="AE163" s="0" t="n">
        <v>3195961446</v>
      </c>
      <c r="AF163" s="0" t="n">
        <v>372232</v>
      </c>
      <c r="AG163" s="0" t="s">
        <v>5</v>
      </c>
      <c r="AK163" s="0" t="s">
        <v>85</v>
      </c>
      <c r="AL163" s="13" t="n">
        <v>1287900</v>
      </c>
      <c r="AM163" s="14" t="n">
        <v>34.2418</v>
      </c>
      <c r="AN163" s="13" t="n">
        <v>1007810.83</v>
      </c>
      <c r="AO163" s="13" t="n">
        <v>160910.97</v>
      </c>
      <c r="AP163" s="0" t="n">
        <v>0</v>
      </c>
      <c r="AR163" s="0" t="s">
        <v>787</v>
      </c>
      <c r="AS163" s="0" t="n">
        <v>1007810.83</v>
      </c>
      <c r="AT163" s="0" t="s">
        <v>441</v>
      </c>
      <c r="AU163" s="0" t="s">
        <v>444</v>
      </c>
      <c r="AV163" s="0" t="s">
        <v>445</v>
      </c>
      <c r="AX163" s="0" t="s">
        <v>438</v>
      </c>
      <c r="AY163" s="0" t="s">
        <v>440</v>
      </c>
      <c r="AZ163" s="0" t="s">
        <v>89</v>
      </c>
      <c r="BA163" s="0" t="s">
        <v>89</v>
      </c>
      <c r="BB163" s="0" t="s">
        <v>90</v>
      </c>
      <c r="BC163" s="0" t="n">
        <v>0</v>
      </c>
      <c r="BD163" s="15" t="s">
        <v>788</v>
      </c>
      <c r="BE163" s="37" t="s">
        <v>461</v>
      </c>
    </row>
    <row r="164" customFormat="false" ht="16.4" hidden="false" customHeight="false" outlineLevel="0" collapsed="false">
      <c r="A164" s="36" t="str">
        <f aca="false">IF(B164=0,"",MAX($A$3:A163)+1)</f>
        <v/>
      </c>
      <c r="B164" s="36" t="n">
        <f aca="false">IF(OR(M164="FLETE",M164="FLETE ENVIO GARANTIA",M164="FLETE RECOLECCION GARANTIA",M164="COMPENSACION"),0,1)</f>
        <v>0</v>
      </c>
      <c r="D164" s="10" t="n">
        <v>13927920</v>
      </c>
      <c r="J164" s="0" t="s">
        <v>282</v>
      </c>
      <c r="K164" s="0" t="s">
        <v>93</v>
      </c>
      <c r="L164" s="0" t="s">
        <v>210</v>
      </c>
      <c r="M164" s="0" t="s">
        <v>211</v>
      </c>
      <c r="N164" s="0" t="n">
        <v>1</v>
      </c>
      <c r="P164" s="0" t="s">
        <v>73</v>
      </c>
      <c r="R164" s="0" t="s">
        <v>211</v>
      </c>
      <c r="V164" s="0" t="s">
        <v>786</v>
      </c>
      <c r="W164" s="12" t="n">
        <v>0</v>
      </c>
      <c r="Y164" s="12" t="s">
        <v>439</v>
      </c>
      <c r="AG164" s="0" t="s">
        <v>5</v>
      </c>
      <c r="AL164" s="13" t="n">
        <v>0</v>
      </c>
      <c r="AM164" s="14" t="n">
        <v>0</v>
      </c>
      <c r="AO164" s="13" t="n">
        <v>0</v>
      </c>
      <c r="AR164" s="0" t="s">
        <v>787</v>
      </c>
      <c r="AZ164" s="0" t="s">
        <v>89</v>
      </c>
      <c r="BA164" s="0" t="s">
        <v>89</v>
      </c>
      <c r="BB164" s="0" t="s">
        <v>90</v>
      </c>
      <c r="BC164" s="0" t="n">
        <v>0</v>
      </c>
      <c r="BD164" s="15" t="s">
        <v>788</v>
      </c>
      <c r="BE164" s="37" t="s">
        <v>461</v>
      </c>
    </row>
    <row r="165" customFormat="false" ht="16.4" hidden="false" customHeight="false" outlineLevel="0" collapsed="false">
      <c r="A165" s="36" t="n">
        <f aca="false">IF(B165=0,"",MAX($A$3:A164)+1)</f>
        <v>133</v>
      </c>
      <c r="B165" s="36" t="n">
        <f aca="false">IF(OR(M165="FLETE",M165="FLETE ENVIO GARANTIA",M165="FLETE RECOLECCION GARANTIA",M165="COMPENSACION"),0,1)</f>
        <v>1</v>
      </c>
      <c r="C165" s="0" t="s">
        <v>789</v>
      </c>
      <c r="D165" s="10" t="n">
        <v>13927742</v>
      </c>
      <c r="E165" s="11" t="n">
        <v>45705</v>
      </c>
      <c r="F165" s="11" t="n">
        <v>45717</v>
      </c>
      <c r="G165" s="11" t="n">
        <v>45719</v>
      </c>
      <c r="I165" s="11" t="n">
        <v>45719</v>
      </c>
      <c r="J165" s="0" t="s">
        <v>282</v>
      </c>
      <c r="K165" s="0" t="s">
        <v>135</v>
      </c>
      <c r="L165" s="0" t="s">
        <v>790</v>
      </c>
      <c r="M165" s="0" t="s">
        <v>791</v>
      </c>
      <c r="N165" s="0" t="n">
        <v>1</v>
      </c>
      <c r="P165" s="0" t="s">
        <v>138</v>
      </c>
      <c r="Q165" s="0" t="s">
        <v>139</v>
      </c>
      <c r="R165" s="0" t="s">
        <v>792</v>
      </c>
      <c r="T165" s="0" t="s">
        <v>507</v>
      </c>
      <c r="U165" s="0" t="s">
        <v>456</v>
      </c>
      <c r="V165" s="0" t="s">
        <v>793</v>
      </c>
      <c r="W165" s="12" t="n">
        <v>0</v>
      </c>
      <c r="Y165" s="12" t="s">
        <v>794</v>
      </c>
      <c r="Z165" s="0" t="s">
        <v>795</v>
      </c>
      <c r="AB165" s="0" t="n">
        <v>17357893</v>
      </c>
      <c r="AC165" s="0" t="s">
        <v>796</v>
      </c>
      <c r="AE165" s="0" t="n">
        <v>3102930487</v>
      </c>
      <c r="AF165" s="0" t="n">
        <v>525227</v>
      </c>
      <c r="AG165" s="0" t="s">
        <v>6</v>
      </c>
      <c r="AH165" s="0" t="n">
        <v>1</v>
      </c>
      <c r="AK165" s="0" t="s">
        <v>85</v>
      </c>
      <c r="AL165" s="13" t="n">
        <v>465900</v>
      </c>
      <c r="AM165" s="14" t="n">
        <v>13.0929</v>
      </c>
      <c r="AN165" s="13" t="n">
        <v>481831.21</v>
      </c>
      <c r="AO165" s="13" t="n">
        <v>76931.03</v>
      </c>
      <c r="AP165" s="0" t="n">
        <v>0</v>
      </c>
      <c r="AR165" s="0" t="s">
        <v>797</v>
      </c>
      <c r="AS165" s="0" t="n">
        <v>481831.21</v>
      </c>
      <c r="AT165" s="0" t="s">
        <v>441</v>
      </c>
      <c r="AU165" s="0" t="s">
        <v>444</v>
      </c>
      <c r="AV165" s="0" t="s">
        <v>445</v>
      </c>
      <c r="AX165" s="0" t="s">
        <v>438</v>
      </c>
      <c r="AY165" s="0" t="s">
        <v>440</v>
      </c>
      <c r="AZ165" s="0" t="s">
        <v>89</v>
      </c>
      <c r="BA165" s="0" t="s">
        <v>89</v>
      </c>
      <c r="BB165" s="0" t="s">
        <v>90</v>
      </c>
      <c r="BC165" s="0" t="s">
        <v>241</v>
      </c>
      <c r="BD165" s="15" t="s">
        <v>798</v>
      </c>
      <c r="BE165" s="37" t="s">
        <v>461</v>
      </c>
    </row>
    <row r="166" customFormat="false" ht="16.4" hidden="false" customHeight="false" outlineLevel="0" collapsed="false">
      <c r="A166" s="36" t="str">
        <f aca="false">IF(B166=0,"",MAX($A$3:A165)+1)</f>
        <v/>
      </c>
      <c r="B166" s="36" t="n">
        <f aca="false">IF(OR(M166="FLETE",M166="FLETE ENVIO GARANTIA",M166="FLETE RECOLECCION GARANTIA",M166="COMPENSACION"),0,1)</f>
        <v>0</v>
      </c>
      <c r="D166" s="10" t="n">
        <v>13927742</v>
      </c>
      <c r="J166" s="0" t="s">
        <v>282</v>
      </c>
      <c r="K166" s="0" t="s">
        <v>93</v>
      </c>
      <c r="L166" s="0" t="s">
        <v>210</v>
      </c>
      <c r="M166" s="0" t="s">
        <v>211</v>
      </c>
      <c r="N166" s="0" t="n">
        <v>1</v>
      </c>
      <c r="P166" s="0" t="s">
        <v>73</v>
      </c>
      <c r="R166" s="0" t="s">
        <v>211</v>
      </c>
      <c r="V166" s="0" t="s">
        <v>793</v>
      </c>
      <c r="W166" s="12" t="n">
        <v>0</v>
      </c>
      <c r="Y166" s="0" t="s">
        <v>794</v>
      </c>
      <c r="AG166" s="0" t="s">
        <v>6</v>
      </c>
      <c r="AL166" s="13" t="n">
        <v>0</v>
      </c>
      <c r="AM166" s="14" t="n">
        <v>0</v>
      </c>
      <c r="AO166" s="13" t="n">
        <v>0</v>
      </c>
      <c r="AR166" s="0" t="s">
        <v>797</v>
      </c>
      <c r="AZ166" s="0" t="s">
        <v>89</v>
      </c>
      <c r="BA166" s="0" t="s">
        <v>89</v>
      </c>
      <c r="BB166" s="0" t="s">
        <v>90</v>
      </c>
      <c r="BC166" s="0" t="s">
        <v>241</v>
      </c>
      <c r="BD166" s="15" t="s">
        <v>798</v>
      </c>
      <c r="BE166" s="37" t="s">
        <v>461</v>
      </c>
    </row>
    <row r="167" customFormat="false" ht="16.4" hidden="false" customHeight="false" outlineLevel="0" collapsed="false">
      <c r="A167" s="36" t="n">
        <f aca="false">IF(B167=0,"",MAX($A$3:A166)+1)</f>
        <v>134</v>
      </c>
      <c r="B167" s="36" t="n">
        <f aca="false">IF(OR(M167="FLETE",M167="FLETE ENVIO GARANTIA",M167="FLETE RECOLECCION GARANTIA",M167="COMPENSACION"),0,1)</f>
        <v>1</v>
      </c>
      <c r="C167" s="0" t="s">
        <v>799</v>
      </c>
      <c r="D167" s="10" t="n">
        <v>13927701</v>
      </c>
      <c r="E167" s="11" t="n">
        <v>45705</v>
      </c>
      <c r="F167" s="11" t="n">
        <v>45717</v>
      </c>
      <c r="G167" s="11" t="n">
        <v>45719</v>
      </c>
      <c r="I167" s="11" t="n">
        <v>45719</v>
      </c>
      <c r="J167" s="0" t="s">
        <v>282</v>
      </c>
      <c r="K167" s="0" t="s">
        <v>153</v>
      </c>
      <c r="L167" s="0" t="s">
        <v>800</v>
      </c>
      <c r="M167" s="0" t="s">
        <v>801</v>
      </c>
      <c r="N167" s="0" t="n">
        <v>1</v>
      </c>
      <c r="P167" s="0" t="s">
        <v>138</v>
      </c>
      <c r="Q167" s="0" t="s">
        <v>156</v>
      </c>
      <c r="R167" s="0" t="s">
        <v>523</v>
      </c>
      <c r="S167" s="0" t="s">
        <v>435</v>
      </c>
      <c r="T167" s="0" t="s">
        <v>719</v>
      </c>
      <c r="U167" s="0" t="s">
        <v>199</v>
      </c>
      <c r="V167" s="0" t="s">
        <v>802</v>
      </c>
      <c r="W167" s="12" t="n">
        <v>0</v>
      </c>
      <c r="Y167" s="12" t="s">
        <v>439</v>
      </c>
      <c r="Z167" s="0" t="s">
        <v>179</v>
      </c>
      <c r="AB167" s="0" t="n">
        <v>79897892</v>
      </c>
      <c r="AC167" s="0" t="s">
        <v>458</v>
      </c>
      <c r="AE167" s="0" t="n">
        <v>3124675937</v>
      </c>
      <c r="AF167" s="0" t="n">
        <v>525005</v>
      </c>
      <c r="AG167" s="0" t="s">
        <v>5</v>
      </c>
      <c r="AK167" s="0" t="s">
        <v>85</v>
      </c>
      <c r="AL167" s="13" t="n">
        <v>203900</v>
      </c>
      <c r="AM167" s="14" t="n">
        <v>-4.4139</v>
      </c>
      <c r="AN167" s="13" t="n">
        <v>253350.93</v>
      </c>
      <c r="AO167" s="13" t="n">
        <v>40450.99</v>
      </c>
      <c r="AP167" s="0" t="s">
        <v>803</v>
      </c>
      <c r="AR167" s="0" t="s">
        <v>804</v>
      </c>
      <c r="AS167" s="0" t="n">
        <v>253350.93</v>
      </c>
      <c r="AT167" s="0" t="s">
        <v>441</v>
      </c>
      <c r="AU167" s="0" t="s">
        <v>444</v>
      </c>
      <c r="AV167" s="0" t="s">
        <v>445</v>
      </c>
      <c r="AX167" s="0" t="s">
        <v>438</v>
      </c>
      <c r="AY167" s="0" t="s">
        <v>440</v>
      </c>
      <c r="AZ167" s="0" t="s">
        <v>89</v>
      </c>
      <c r="BA167" s="0" t="s">
        <v>89</v>
      </c>
      <c r="BB167" s="0" t="s">
        <v>90</v>
      </c>
      <c r="BC167" s="0" t="n">
        <v>0</v>
      </c>
      <c r="BD167" s="15" t="s">
        <v>805</v>
      </c>
      <c r="BE167" s="37" t="s">
        <v>461</v>
      </c>
    </row>
    <row r="168" customFormat="false" ht="16.4" hidden="false" customHeight="false" outlineLevel="0" collapsed="false">
      <c r="A168" s="36" t="str">
        <f aca="false">IF(B168=0,"",MAX($A$3:A167)+1)</f>
        <v/>
      </c>
      <c r="B168" s="36" t="n">
        <f aca="false">IF(OR(M168="FLETE",M168="FLETE ENVIO GARANTIA",M168="FLETE RECOLECCION GARANTIA",M168="COMPENSACION"),0,1)</f>
        <v>0</v>
      </c>
      <c r="D168" s="10" t="n">
        <v>13927701</v>
      </c>
      <c r="J168" s="0" t="s">
        <v>282</v>
      </c>
      <c r="K168" s="0" t="s">
        <v>93</v>
      </c>
      <c r="L168" s="0" t="s">
        <v>210</v>
      </c>
      <c r="M168" s="0" t="s">
        <v>211</v>
      </c>
      <c r="N168" s="0" t="n">
        <v>1</v>
      </c>
      <c r="P168" s="0" t="s">
        <v>73</v>
      </c>
      <c r="R168" s="0" t="s">
        <v>211</v>
      </c>
      <c r="V168" s="0" t="s">
        <v>802</v>
      </c>
      <c r="W168" s="0" t="n">
        <v>0</v>
      </c>
      <c r="Y168" s="0" t="s">
        <v>439</v>
      </c>
      <c r="AG168" s="0" t="s">
        <v>5</v>
      </c>
      <c r="AL168" s="13" t="n">
        <v>0</v>
      </c>
      <c r="AM168" s="14" t="n">
        <v>0</v>
      </c>
      <c r="AO168" s="13" t="n">
        <v>0</v>
      </c>
      <c r="AR168" s="0" t="s">
        <v>804</v>
      </c>
      <c r="AZ168" s="0" t="s">
        <v>89</v>
      </c>
      <c r="BA168" s="0" t="s">
        <v>89</v>
      </c>
      <c r="BB168" s="0" t="s">
        <v>90</v>
      </c>
      <c r="BC168" s="0" t="n">
        <v>0</v>
      </c>
      <c r="BD168" s="15" t="s">
        <v>805</v>
      </c>
      <c r="BE168" s="37" t="s">
        <v>461</v>
      </c>
    </row>
    <row r="169" customFormat="false" ht="16.4" hidden="false" customHeight="false" outlineLevel="0" collapsed="false">
      <c r="A169" s="36" t="n">
        <f aca="false">IF(B169=0,"",MAX($A$3:A168)+1)</f>
        <v>135</v>
      </c>
      <c r="B169" s="36" t="n">
        <f aca="false">IF(OR(M169="FLETE",M169="FLETE ENVIO GARANTIA",M169="FLETE RECOLECCION GARANTIA",M169="COMPENSACION"),0,1)</f>
        <v>1</v>
      </c>
      <c r="C169" s="0" t="s">
        <v>806</v>
      </c>
      <c r="D169" s="10" t="n">
        <v>13927611</v>
      </c>
      <c r="E169" s="11" t="n">
        <v>45705</v>
      </c>
      <c r="F169" s="11" t="n">
        <v>45717</v>
      </c>
      <c r="G169" s="11" t="n">
        <v>45719</v>
      </c>
      <c r="I169" s="11" t="n">
        <v>45719</v>
      </c>
      <c r="J169" s="0" t="s">
        <v>282</v>
      </c>
      <c r="K169" s="0" t="s">
        <v>214</v>
      </c>
      <c r="L169" s="0" t="s">
        <v>807</v>
      </c>
      <c r="M169" s="0" t="s">
        <v>808</v>
      </c>
      <c r="N169" s="0" t="n">
        <v>1</v>
      </c>
      <c r="P169" s="0" t="s">
        <v>217</v>
      </c>
      <c r="Q169" s="0" t="s">
        <v>218</v>
      </c>
      <c r="R169" s="0" t="s">
        <v>809</v>
      </c>
      <c r="S169" s="0" t="s">
        <v>810</v>
      </c>
      <c r="T169" s="0" t="s">
        <v>449</v>
      </c>
      <c r="U169" s="0" t="s">
        <v>160</v>
      </c>
      <c r="V169" s="0" t="s">
        <v>811</v>
      </c>
      <c r="W169" s="12" t="n">
        <v>0</v>
      </c>
      <c r="Y169" s="12" t="s">
        <v>439</v>
      </c>
      <c r="Z169" s="0" t="s">
        <v>179</v>
      </c>
      <c r="AB169" s="0" t="n">
        <v>1072645493</v>
      </c>
      <c r="AC169" s="0" t="s">
        <v>458</v>
      </c>
      <c r="AE169" s="0" t="n">
        <v>3186008620</v>
      </c>
      <c r="AF169" s="0" t="n">
        <v>661732</v>
      </c>
      <c r="AG169" s="0" t="s">
        <v>5</v>
      </c>
      <c r="AK169" s="0" t="s">
        <v>85</v>
      </c>
      <c r="AL169" s="13" t="n">
        <v>902200</v>
      </c>
      <c r="AM169" s="14" t="n">
        <v>-13.9326</v>
      </c>
      <c r="AN169" s="13" t="n">
        <v>1223200.9</v>
      </c>
      <c r="AO169" s="13" t="n">
        <v>195300.98</v>
      </c>
      <c r="AP169" s="0" t="s">
        <v>812</v>
      </c>
      <c r="AR169" s="0" t="s">
        <v>813</v>
      </c>
      <c r="AS169" s="0" t="n">
        <v>1223200.9</v>
      </c>
      <c r="AT169" s="0" t="s">
        <v>441</v>
      </c>
      <c r="AU169" s="0" t="s">
        <v>444</v>
      </c>
      <c r="AV169" s="0" t="s">
        <v>445</v>
      </c>
      <c r="AX169" s="0" t="s">
        <v>438</v>
      </c>
      <c r="AY169" s="0" t="s">
        <v>440</v>
      </c>
      <c r="AZ169" s="0" t="s">
        <v>89</v>
      </c>
      <c r="BA169" s="0" t="s">
        <v>89</v>
      </c>
      <c r="BB169" s="0" t="s">
        <v>90</v>
      </c>
      <c r="BC169" s="0" t="n">
        <v>0</v>
      </c>
      <c r="BD169" s="15" t="s">
        <v>814</v>
      </c>
      <c r="BE169" s="37" t="s">
        <v>461</v>
      </c>
    </row>
    <row r="170" customFormat="false" ht="16.4" hidden="false" customHeight="false" outlineLevel="0" collapsed="false">
      <c r="A170" s="36" t="str">
        <f aca="false">IF(B170=0,"",MAX($A$3:A169)+1)</f>
        <v/>
      </c>
      <c r="B170" s="36" t="n">
        <f aca="false">IF(OR(M170="FLETE",M170="FLETE ENVIO GARANTIA",M170="FLETE RECOLECCION GARANTIA",M170="COMPENSACION"),0,1)</f>
        <v>0</v>
      </c>
      <c r="D170" s="10" t="n">
        <v>13927611</v>
      </c>
      <c r="J170" s="0" t="s">
        <v>282</v>
      </c>
      <c r="K170" s="0" t="s">
        <v>93</v>
      </c>
      <c r="L170" s="0" t="s">
        <v>210</v>
      </c>
      <c r="M170" s="0" t="s">
        <v>211</v>
      </c>
      <c r="N170" s="0" t="n">
        <v>1</v>
      </c>
      <c r="P170" s="0" t="s">
        <v>73</v>
      </c>
      <c r="R170" s="0" t="s">
        <v>211</v>
      </c>
      <c r="V170" s="0" t="s">
        <v>811</v>
      </c>
      <c r="W170" s="0" t="n">
        <v>0</v>
      </c>
      <c r="Y170" s="0" t="s">
        <v>439</v>
      </c>
      <c r="AG170" s="0" t="s">
        <v>5</v>
      </c>
      <c r="AL170" s="13" t="n">
        <v>0</v>
      </c>
      <c r="AM170" s="14" t="n">
        <v>0</v>
      </c>
      <c r="AO170" s="13" t="n">
        <v>0</v>
      </c>
      <c r="AR170" s="0" t="s">
        <v>813</v>
      </c>
      <c r="AZ170" s="0" t="s">
        <v>89</v>
      </c>
      <c r="BA170" s="0" t="s">
        <v>89</v>
      </c>
      <c r="BB170" s="0" t="s">
        <v>90</v>
      </c>
      <c r="BC170" s="0" t="n">
        <v>0</v>
      </c>
      <c r="BD170" s="15" t="s">
        <v>814</v>
      </c>
      <c r="BE170" s="37" t="s">
        <v>461</v>
      </c>
    </row>
    <row r="171" customFormat="false" ht="16.4" hidden="false" customHeight="false" outlineLevel="0" collapsed="false">
      <c r="A171" s="36" t="n">
        <f aca="false">IF(B171=0,"",MAX($A$3:A170)+1)</f>
        <v>136</v>
      </c>
      <c r="B171" s="36" t="n">
        <f aca="false">IF(OR(M171="FLETE",M171="FLETE ENVIO GARANTIA",M171="FLETE RECOLECCION GARANTIA",M171="COMPENSACION"),0,1)</f>
        <v>1</v>
      </c>
      <c r="C171" s="0" t="s">
        <v>815</v>
      </c>
      <c r="D171" s="10" t="n">
        <v>7423970</v>
      </c>
      <c r="E171" s="11" t="n">
        <v>45704</v>
      </c>
      <c r="F171" s="11" t="n">
        <v>45717</v>
      </c>
      <c r="G171" s="11" t="n">
        <v>45719</v>
      </c>
      <c r="I171" s="11" t="n">
        <v>45722</v>
      </c>
      <c r="J171" s="0" t="s">
        <v>816</v>
      </c>
      <c r="K171" s="0" t="s">
        <v>214</v>
      </c>
      <c r="L171" s="0" t="s">
        <v>817</v>
      </c>
      <c r="M171" s="0" t="s">
        <v>818</v>
      </c>
      <c r="N171" s="0" t="n">
        <v>1</v>
      </c>
      <c r="P171" s="0" t="s">
        <v>217</v>
      </c>
      <c r="Q171" s="0" t="s">
        <v>218</v>
      </c>
      <c r="R171" s="0" t="s">
        <v>819</v>
      </c>
      <c r="S171" s="0" t="s">
        <v>454</v>
      </c>
      <c r="T171" s="0" t="s">
        <v>449</v>
      </c>
      <c r="U171" s="0" t="s">
        <v>199</v>
      </c>
      <c r="V171" s="0" t="s">
        <v>820</v>
      </c>
      <c r="W171" s="12" t="n">
        <v>0</v>
      </c>
      <c r="Y171" s="12" t="s">
        <v>821</v>
      </c>
      <c r="Z171" s="0" t="s">
        <v>202</v>
      </c>
      <c r="AA171" s="12" t="n">
        <v>12763331482</v>
      </c>
      <c r="AB171" s="0" t="n">
        <v>79752319</v>
      </c>
      <c r="AC171" s="0" t="s">
        <v>822</v>
      </c>
      <c r="AE171" s="0" t="n">
        <v>3174410670</v>
      </c>
      <c r="AF171" s="0" t="n">
        <v>32390460</v>
      </c>
      <c r="AG171" s="0" t="s">
        <v>10</v>
      </c>
      <c r="AK171" s="0" t="s">
        <v>85</v>
      </c>
      <c r="AL171" s="13" t="n">
        <v>812900</v>
      </c>
      <c r="AM171" s="14" t="n">
        <v>-4.0072</v>
      </c>
      <c r="AN171" s="13" t="n">
        <v>1006114.69</v>
      </c>
      <c r="AO171" s="13" t="n">
        <v>160640.16</v>
      </c>
      <c r="AP171" s="0" t="n">
        <v>0</v>
      </c>
      <c r="AR171" s="0" t="s">
        <v>823</v>
      </c>
      <c r="AS171" s="0" t="n">
        <v>2184721.49</v>
      </c>
      <c r="AT171" s="0" t="s">
        <v>824</v>
      </c>
      <c r="AU171" s="0" t="s">
        <v>444</v>
      </c>
      <c r="AW171" s="0" t="s">
        <v>825</v>
      </c>
      <c r="AX171" s="0" t="s">
        <v>826</v>
      </c>
      <c r="AY171" s="0" t="s">
        <v>827</v>
      </c>
      <c r="AZ171" s="0" t="s">
        <v>89</v>
      </c>
      <c r="BA171" s="0" t="s">
        <v>89</v>
      </c>
      <c r="BB171" s="0" t="s">
        <v>90</v>
      </c>
      <c r="BC171" s="0" t="n">
        <v>0</v>
      </c>
      <c r="BD171" s="15" t="s">
        <v>828</v>
      </c>
      <c r="BE171" s="37" t="s">
        <v>829</v>
      </c>
    </row>
    <row r="172" customFormat="false" ht="16.4" hidden="false" customHeight="false" outlineLevel="0" collapsed="false">
      <c r="A172" s="36" t="n">
        <f aca="false">IF(B172=0,"",MAX($A$3:A171)+1)</f>
        <v>137</v>
      </c>
      <c r="B172" s="36" t="n">
        <f aca="false">IF(OR(M172="FLETE",M172="FLETE ENVIO GARANTIA",M172="FLETE RECOLECCION GARANTIA",M172="COMPENSACION"),0,1)</f>
        <v>1</v>
      </c>
      <c r="D172" s="10" t="n">
        <v>7423970</v>
      </c>
      <c r="J172" s="0" t="s">
        <v>816</v>
      </c>
      <c r="K172" s="0" t="s">
        <v>135</v>
      </c>
      <c r="L172" s="0" t="s">
        <v>830</v>
      </c>
      <c r="M172" s="0" t="s">
        <v>831</v>
      </c>
      <c r="N172" s="0" t="n">
        <v>1</v>
      </c>
      <c r="P172" s="0" t="s">
        <v>138</v>
      </c>
      <c r="Q172" s="0" t="s">
        <v>139</v>
      </c>
      <c r="R172" s="0" t="s">
        <v>832</v>
      </c>
      <c r="T172" s="0" t="s">
        <v>198</v>
      </c>
      <c r="U172" s="0" t="s">
        <v>199</v>
      </c>
      <c r="V172" s="0" t="s">
        <v>820</v>
      </c>
      <c r="W172" s="0" t="n">
        <v>0</v>
      </c>
      <c r="Y172" s="0" t="s">
        <v>821</v>
      </c>
      <c r="AG172" s="0" t="s">
        <v>10</v>
      </c>
      <c r="AL172" s="13" t="n">
        <v>310566.6667</v>
      </c>
      <c r="AM172" s="14" t="n">
        <v>-4.0072</v>
      </c>
      <c r="AN172" s="13" t="n">
        <v>384383.91</v>
      </c>
      <c r="AO172" s="13" t="n">
        <v>61372.22</v>
      </c>
      <c r="AR172" s="0" t="s">
        <v>823</v>
      </c>
      <c r="AZ172" s="0" t="s">
        <v>89</v>
      </c>
      <c r="BA172" s="0" t="s">
        <v>89</v>
      </c>
      <c r="BB172" s="0" t="s">
        <v>90</v>
      </c>
      <c r="BC172" s="0" t="n">
        <v>0</v>
      </c>
      <c r="BD172" s="15" t="s">
        <v>828</v>
      </c>
      <c r="BE172" s="37" t="s">
        <v>829</v>
      </c>
    </row>
    <row r="173" customFormat="false" ht="16.4" hidden="false" customHeight="false" outlineLevel="0" collapsed="false">
      <c r="A173" s="36" t="n">
        <f aca="false">IF(B173=0,"",MAX($A$3:A172)+1)</f>
        <v>138</v>
      </c>
      <c r="B173" s="36" t="n">
        <f aca="false">IF(OR(M173="FLETE",M173="FLETE ENVIO GARANTIA",M173="FLETE RECOLECCION GARANTIA",M173="COMPENSACION"),0,1)</f>
        <v>1</v>
      </c>
      <c r="D173" s="10" t="n">
        <v>7423970</v>
      </c>
      <c r="J173" s="0" t="s">
        <v>816</v>
      </c>
      <c r="K173" s="0" t="s">
        <v>493</v>
      </c>
      <c r="L173" s="0" t="s">
        <v>833</v>
      </c>
      <c r="M173" s="0" t="s">
        <v>834</v>
      </c>
      <c r="N173" s="0" t="n">
        <v>2</v>
      </c>
      <c r="P173" s="0" t="s">
        <v>138</v>
      </c>
      <c r="Q173" s="0" t="s">
        <v>496</v>
      </c>
      <c r="R173" s="0" t="s">
        <v>501</v>
      </c>
      <c r="S173" s="0" t="s">
        <v>454</v>
      </c>
      <c r="T173" s="0" t="s">
        <v>449</v>
      </c>
      <c r="U173" s="0" t="s">
        <v>176</v>
      </c>
      <c r="V173" s="0" t="s">
        <v>820</v>
      </c>
      <c r="W173" s="12" t="n">
        <v>0</v>
      </c>
      <c r="Y173" s="12" t="s">
        <v>821</v>
      </c>
      <c r="AG173" s="0" t="s">
        <v>10</v>
      </c>
      <c r="AL173" s="13" t="n">
        <v>220900</v>
      </c>
      <c r="AM173" s="14" t="n">
        <v>-4.0072</v>
      </c>
      <c r="AN173" s="13" t="n">
        <v>546809.53</v>
      </c>
      <c r="AO173" s="13" t="n">
        <v>87305.72</v>
      </c>
      <c r="AR173" s="0" t="s">
        <v>823</v>
      </c>
      <c r="AZ173" s="0" t="s">
        <v>89</v>
      </c>
      <c r="BA173" s="0" t="s">
        <v>89</v>
      </c>
      <c r="BB173" s="0" t="s">
        <v>90</v>
      </c>
      <c r="BC173" s="0" t="n">
        <v>0</v>
      </c>
      <c r="BD173" s="15" t="s">
        <v>828</v>
      </c>
      <c r="BE173" s="37" t="s">
        <v>829</v>
      </c>
    </row>
    <row r="174" customFormat="false" ht="16.4" hidden="false" customHeight="false" outlineLevel="0" collapsed="false">
      <c r="A174" s="36" t="n">
        <f aca="false">IF(B174=0,"",MAX($A$3:A173)+1)</f>
        <v>139</v>
      </c>
      <c r="B174" s="36" t="n">
        <f aca="false">IF(OR(M174="FLETE",M174="FLETE ENVIO GARANTIA",M174="FLETE RECOLECCION GARANTIA",M174="COMPENSACION"),0,1)</f>
        <v>1</v>
      </c>
      <c r="D174" s="10" t="n">
        <v>7423970</v>
      </c>
      <c r="J174" s="0" t="s">
        <v>816</v>
      </c>
      <c r="K174" s="0" t="s">
        <v>153</v>
      </c>
      <c r="L174" s="0" t="s">
        <v>835</v>
      </c>
      <c r="M174" s="0" t="s">
        <v>836</v>
      </c>
      <c r="N174" s="0" t="n">
        <v>1</v>
      </c>
      <c r="P174" s="0" t="s">
        <v>138</v>
      </c>
      <c r="Q174" s="0" t="s">
        <v>156</v>
      </c>
      <c r="R174" s="0" t="s">
        <v>501</v>
      </c>
      <c r="S174" s="0" t="s">
        <v>454</v>
      </c>
      <c r="T174" s="0" t="s">
        <v>236</v>
      </c>
      <c r="U174" s="0" t="s">
        <v>199</v>
      </c>
      <c r="V174" s="0" t="s">
        <v>820</v>
      </c>
      <c r="W174" s="12" t="n">
        <v>0</v>
      </c>
      <c r="Y174" s="12" t="s">
        <v>821</v>
      </c>
      <c r="AG174" s="0" t="s">
        <v>10</v>
      </c>
      <c r="AL174" s="13" t="n">
        <v>199900</v>
      </c>
      <c r="AM174" s="14" t="n">
        <v>-4.0072</v>
      </c>
      <c r="AN174" s="13" t="n">
        <v>247413.36</v>
      </c>
      <c r="AO174" s="13" t="n">
        <v>39502.97</v>
      </c>
      <c r="AR174" s="0" t="s">
        <v>823</v>
      </c>
      <c r="AZ174" s="0" t="s">
        <v>89</v>
      </c>
      <c r="BA174" s="0" t="s">
        <v>89</v>
      </c>
      <c r="BB174" s="0" t="s">
        <v>90</v>
      </c>
      <c r="BC174" s="0" t="n">
        <v>0</v>
      </c>
      <c r="BD174" s="15" t="s">
        <v>828</v>
      </c>
      <c r="BE174" s="37" t="s">
        <v>829</v>
      </c>
    </row>
    <row r="175" customFormat="false" ht="16.4" hidden="false" customHeight="false" outlineLevel="0" collapsed="false">
      <c r="A175" s="36" t="str">
        <f aca="false">IF(B175=0,"",MAX($A$3:A174)+1)</f>
        <v/>
      </c>
      <c r="B175" s="36" t="n">
        <f aca="false">IF(OR(M175="FLETE",M175="FLETE ENVIO GARANTIA",M175="FLETE RECOLECCION GARANTIA",M175="COMPENSACION"),0,1)</f>
        <v>0</v>
      </c>
      <c r="D175" s="10" t="n">
        <v>7423970</v>
      </c>
      <c r="J175" s="0" t="s">
        <v>816</v>
      </c>
      <c r="K175" s="0" t="s">
        <v>93</v>
      </c>
      <c r="L175" s="0" t="s">
        <v>210</v>
      </c>
      <c r="M175" s="0" t="s">
        <v>211</v>
      </c>
      <c r="N175" s="0" t="n">
        <v>1</v>
      </c>
      <c r="P175" s="0" t="s">
        <v>73</v>
      </c>
      <c r="R175" s="0" t="s">
        <v>211</v>
      </c>
      <c r="V175" s="0" t="s">
        <v>820</v>
      </c>
      <c r="W175" s="12" t="n">
        <v>0</v>
      </c>
      <c r="Y175" s="0" t="s">
        <v>821</v>
      </c>
      <c r="AG175" s="0" t="s">
        <v>10</v>
      </c>
      <c r="AL175" s="13" t="n">
        <v>0</v>
      </c>
      <c r="AM175" s="14" t="n">
        <v>0</v>
      </c>
      <c r="AO175" s="13" t="n">
        <v>0</v>
      </c>
      <c r="AR175" s="0" t="s">
        <v>823</v>
      </c>
      <c r="AZ175" s="0" t="s">
        <v>89</v>
      </c>
      <c r="BA175" s="0" t="s">
        <v>89</v>
      </c>
      <c r="BB175" s="0" t="s">
        <v>90</v>
      </c>
      <c r="BC175" s="0" t="n">
        <v>0</v>
      </c>
      <c r="BD175" s="15" t="s">
        <v>828</v>
      </c>
      <c r="BE175" s="37" t="s">
        <v>829</v>
      </c>
    </row>
    <row r="176" customFormat="false" ht="16.4" hidden="false" customHeight="false" outlineLevel="0" collapsed="false">
      <c r="A176" s="36" t="n">
        <f aca="false">IF(B176=0,"",MAX($A$3:A175)+1)</f>
        <v>140</v>
      </c>
      <c r="B176" s="36" t="n">
        <f aca="false">IF(OR(M176="FLETE",M176="FLETE ENVIO GARANTIA",M176="FLETE RECOLECCION GARANTIA",M176="COMPENSACION"),0,1)</f>
        <v>1</v>
      </c>
      <c r="C176" s="0" t="s">
        <v>837</v>
      </c>
      <c r="D176" s="10" t="n">
        <v>7424054</v>
      </c>
      <c r="E176" s="11" t="n">
        <v>45704</v>
      </c>
      <c r="F176" s="11" t="n">
        <v>45717</v>
      </c>
      <c r="G176" s="11" t="n">
        <v>45719</v>
      </c>
      <c r="I176" s="11" t="n">
        <v>45722</v>
      </c>
      <c r="J176" s="0" t="s">
        <v>816</v>
      </c>
      <c r="K176" s="0" t="s">
        <v>214</v>
      </c>
      <c r="L176" s="0" t="s">
        <v>838</v>
      </c>
      <c r="M176" s="0" t="s">
        <v>839</v>
      </c>
      <c r="N176" s="0" t="n">
        <v>1</v>
      </c>
      <c r="P176" s="0" t="s">
        <v>217</v>
      </c>
      <c r="Q176" s="0" t="s">
        <v>218</v>
      </c>
      <c r="R176" s="0" t="s">
        <v>666</v>
      </c>
      <c r="S176" s="0" t="s">
        <v>591</v>
      </c>
      <c r="T176" s="0" t="s">
        <v>518</v>
      </c>
      <c r="U176" s="0" t="s">
        <v>199</v>
      </c>
      <c r="V176" s="0" t="s">
        <v>840</v>
      </c>
      <c r="W176" s="12" t="n">
        <v>0</v>
      </c>
      <c r="Y176" s="12" t="s">
        <v>841</v>
      </c>
      <c r="Z176" s="0" t="s">
        <v>202</v>
      </c>
      <c r="AA176" s="12" t="n">
        <v>12763338481</v>
      </c>
      <c r="AB176" s="0" t="n">
        <v>39782301</v>
      </c>
      <c r="AC176" s="0" t="s">
        <v>842</v>
      </c>
      <c r="AE176" s="0" t="n">
        <v>3112871455</v>
      </c>
      <c r="AF176" s="0" t="s">
        <v>843</v>
      </c>
      <c r="AG176" s="0" t="s">
        <v>10</v>
      </c>
      <c r="AH176" s="0" t="n">
        <v>2</v>
      </c>
      <c r="AK176" s="0" t="s">
        <v>85</v>
      </c>
      <c r="AL176" s="13" t="n">
        <v>763400</v>
      </c>
      <c r="AM176" s="14" t="n">
        <v>-31.1108</v>
      </c>
      <c r="AN176" s="13" t="n">
        <v>1191070.82</v>
      </c>
      <c r="AO176" s="13" t="n">
        <v>190170.97</v>
      </c>
      <c r="AP176" s="0" t="n">
        <v>0</v>
      </c>
      <c r="AR176" s="0" t="s">
        <v>844</v>
      </c>
      <c r="AS176" s="0" t="n">
        <v>2159611.87</v>
      </c>
      <c r="AT176" s="0" t="s">
        <v>824</v>
      </c>
      <c r="AU176" s="0" t="s">
        <v>444</v>
      </c>
      <c r="AW176" s="0" t="s">
        <v>825</v>
      </c>
      <c r="AX176" s="0" t="s">
        <v>826</v>
      </c>
      <c r="AY176" s="0" t="s">
        <v>827</v>
      </c>
      <c r="AZ176" s="0" t="s">
        <v>525</v>
      </c>
      <c r="BA176" s="0" t="s">
        <v>525</v>
      </c>
      <c r="BB176" s="0" t="s">
        <v>90</v>
      </c>
      <c r="BC176" s="0" t="n">
        <v>0</v>
      </c>
      <c r="BD176" s="15" t="s">
        <v>845</v>
      </c>
      <c r="BE176" s="37" t="s">
        <v>829</v>
      </c>
    </row>
    <row r="177" customFormat="false" ht="16.4" hidden="false" customHeight="false" outlineLevel="0" collapsed="false">
      <c r="A177" s="36" t="n">
        <f aca="false">IF(B177=0,"",MAX($A$3:A176)+1)</f>
        <v>141</v>
      </c>
      <c r="B177" s="36" t="n">
        <f aca="false">IF(OR(M177="FLETE",M177="FLETE ENVIO GARANTIA",M177="FLETE RECOLECCION GARANTIA",M177="COMPENSACION"),0,1)</f>
        <v>1</v>
      </c>
      <c r="D177" s="10" t="n">
        <v>7424054</v>
      </c>
      <c r="J177" s="0" t="s">
        <v>816</v>
      </c>
      <c r="K177" s="0" t="s">
        <v>214</v>
      </c>
      <c r="L177" s="0" t="s">
        <v>515</v>
      </c>
      <c r="M177" s="0" t="s">
        <v>516</v>
      </c>
      <c r="N177" s="0" t="n">
        <v>1</v>
      </c>
      <c r="P177" s="0" t="s">
        <v>217</v>
      </c>
      <c r="Q177" s="0" t="s">
        <v>218</v>
      </c>
      <c r="R177" s="0" t="s">
        <v>517</v>
      </c>
      <c r="S177" s="0" t="s">
        <v>158</v>
      </c>
      <c r="T177" s="0" t="s">
        <v>518</v>
      </c>
      <c r="U177" s="0" t="s">
        <v>160</v>
      </c>
      <c r="V177" s="0" t="s">
        <v>840</v>
      </c>
      <c r="W177" s="12" t="n">
        <v>0</v>
      </c>
      <c r="Y177" s="12" t="s">
        <v>841</v>
      </c>
      <c r="AG177" s="0" t="s">
        <v>10</v>
      </c>
      <c r="AL177" s="13" t="n">
        <v>781900</v>
      </c>
      <c r="AM177" s="14" t="n">
        <v>-4.0926</v>
      </c>
      <c r="AN177" s="13" t="n">
        <v>968541.05</v>
      </c>
      <c r="AO177" s="13" t="n">
        <v>154641.01</v>
      </c>
      <c r="AR177" s="0" t="s">
        <v>844</v>
      </c>
      <c r="AZ177" s="0" t="s">
        <v>89</v>
      </c>
      <c r="BA177" s="0" t="s">
        <v>89</v>
      </c>
      <c r="BB177" s="0" t="s">
        <v>90</v>
      </c>
      <c r="BC177" s="0" t="n">
        <v>0</v>
      </c>
      <c r="BD177" s="15" t="s">
        <v>845</v>
      </c>
      <c r="BE177" s="37" t="s">
        <v>829</v>
      </c>
    </row>
    <row r="178" customFormat="false" ht="16.4" hidden="false" customHeight="false" outlineLevel="0" collapsed="false">
      <c r="A178" s="36" t="str">
        <f aca="false">IF(B178=0,"",MAX($A$3:A177)+1)</f>
        <v/>
      </c>
      <c r="B178" s="36" t="n">
        <f aca="false">IF(OR(M178="FLETE",M178="FLETE ENVIO GARANTIA",M178="FLETE RECOLECCION GARANTIA",M178="COMPENSACION"),0,1)</f>
        <v>0</v>
      </c>
      <c r="D178" s="10" t="n">
        <v>7424054</v>
      </c>
      <c r="J178" s="0" t="s">
        <v>816</v>
      </c>
      <c r="K178" s="0" t="s">
        <v>93</v>
      </c>
      <c r="L178" s="0" t="s">
        <v>210</v>
      </c>
      <c r="M178" s="0" t="s">
        <v>211</v>
      </c>
      <c r="N178" s="0" t="n">
        <v>1</v>
      </c>
      <c r="P178" s="0" t="s">
        <v>73</v>
      </c>
      <c r="R178" s="0" t="s">
        <v>211</v>
      </c>
      <c r="V178" s="0" t="s">
        <v>840</v>
      </c>
      <c r="W178" s="12" t="n">
        <v>0</v>
      </c>
      <c r="Y178" s="0" t="s">
        <v>841</v>
      </c>
      <c r="AG178" s="0" t="s">
        <v>10</v>
      </c>
      <c r="AL178" s="13" t="n">
        <v>0</v>
      </c>
      <c r="AM178" s="14" t="n">
        <v>0</v>
      </c>
      <c r="AO178" s="13" t="n">
        <v>0</v>
      </c>
      <c r="AR178" s="0" t="s">
        <v>844</v>
      </c>
      <c r="AZ178" s="0" t="s">
        <v>89</v>
      </c>
      <c r="BA178" s="0" t="s">
        <v>89</v>
      </c>
      <c r="BB178" s="0" t="s">
        <v>90</v>
      </c>
      <c r="BC178" s="0" t="n">
        <v>0</v>
      </c>
      <c r="BD178" s="15" t="s">
        <v>845</v>
      </c>
      <c r="BE178" s="37" t="s">
        <v>829</v>
      </c>
    </row>
    <row r="179" customFormat="false" ht="16.4" hidden="false" customHeight="false" outlineLevel="0" collapsed="false">
      <c r="A179" s="36" t="n">
        <f aca="false">IF(B179=0,"",MAX($A$3:A178)+1)</f>
        <v>142</v>
      </c>
      <c r="B179" s="36" t="n">
        <f aca="false">IF(OR(M179="FLETE",M179="FLETE ENVIO GARANTIA",M179="FLETE RECOLECCION GARANTIA",M179="COMPENSACION"),0,1)</f>
        <v>1</v>
      </c>
      <c r="C179" s="0" t="s">
        <v>846</v>
      </c>
      <c r="D179" s="10" t="n">
        <v>7423917</v>
      </c>
      <c r="E179" s="11" t="n">
        <v>45704</v>
      </c>
      <c r="F179" s="11" t="n">
        <v>45717</v>
      </c>
      <c r="G179" s="11" t="n">
        <v>45719</v>
      </c>
      <c r="I179" s="11" t="n">
        <v>45722</v>
      </c>
      <c r="J179" s="0" t="s">
        <v>816</v>
      </c>
      <c r="K179" s="0" t="s">
        <v>214</v>
      </c>
      <c r="L179" s="0" t="s">
        <v>675</v>
      </c>
      <c r="M179" s="0" t="s">
        <v>676</v>
      </c>
      <c r="N179" s="0" t="n">
        <v>1</v>
      </c>
      <c r="P179" s="0" t="s">
        <v>217</v>
      </c>
      <c r="Q179" s="0" t="s">
        <v>218</v>
      </c>
      <c r="R179" s="0" t="s">
        <v>677</v>
      </c>
      <c r="S179" s="0" t="s">
        <v>591</v>
      </c>
      <c r="T179" s="0" t="s">
        <v>513</v>
      </c>
      <c r="U179" s="0" t="s">
        <v>199</v>
      </c>
      <c r="V179" s="0" t="s">
        <v>847</v>
      </c>
      <c r="W179" s="12" t="n">
        <v>0</v>
      </c>
      <c r="Y179" s="12" t="s">
        <v>848</v>
      </c>
      <c r="Z179" s="0" t="s">
        <v>202</v>
      </c>
      <c r="AA179" s="12" t="n">
        <v>12763327881</v>
      </c>
      <c r="AB179" s="0" t="n">
        <v>901731455</v>
      </c>
      <c r="AC179" s="0" t="s">
        <v>849</v>
      </c>
      <c r="AE179" s="0" t="n">
        <v>3142956903</v>
      </c>
      <c r="AF179" s="0" t="n">
        <v>34671154</v>
      </c>
      <c r="AG179" s="0" t="s">
        <v>10</v>
      </c>
      <c r="AK179" s="0" t="s">
        <v>85</v>
      </c>
      <c r="AL179" s="13" t="n">
        <v>1382400</v>
      </c>
      <c r="AM179" s="14" t="n">
        <v>-4.3764</v>
      </c>
      <c r="AN179" s="13" t="n">
        <v>1717050.23</v>
      </c>
      <c r="AO179" s="13" t="n">
        <v>274150.88</v>
      </c>
      <c r="AP179" s="0" t="n">
        <v>0</v>
      </c>
      <c r="AR179" s="0" t="s">
        <v>850</v>
      </c>
      <c r="AS179" s="0" t="n">
        <v>1717050.23</v>
      </c>
      <c r="AT179" s="0" t="s">
        <v>824</v>
      </c>
      <c r="AU179" s="0" t="s">
        <v>444</v>
      </c>
      <c r="AW179" s="0" t="s">
        <v>825</v>
      </c>
      <c r="AX179" s="0" t="s">
        <v>826</v>
      </c>
      <c r="AY179" s="0" t="s">
        <v>827</v>
      </c>
      <c r="AZ179" s="0" t="s">
        <v>89</v>
      </c>
      <c r="BA179" s="0" t="s">
        <v>89</v>
      </c>
      <c r="BB179" s="0" t="s">
        <v>90</v>
      </c>
      <c r="BC179" s="0" t="n">
        <v>0</v>
      </c>
      <c r="BD179" s="15" t="s">
        <v>851</v>
      </c>
      <c r="BE179" s="37" t="s">
        <v>829</v>
      </c>
    </row>
    <row r="180" customFormat="false" ht="16.4" hidden="false" customHeight="false" outlineLevel="0" collapsed="false">
      <c r="A180" s="36" t="str">
        <f aca="false">IF(B180=0,"",MAX($A$3:A179)+1)</f>
        <v/>
      </c>
      <c r="B180" s="36" t="n">
        <f aca="false">IF(OR(M180="FLETE",M180="FLETE ENVIO GARANTIA",M180="FLETE RECOLECCION GARANTIA",M180="COMPENSACION"),0,1)</f>
        <v>0</v>
      </c>
      <c r="D180" s="10" t="n">
        <v>7423917</v>
      </c>
      <c r="J180" s="0" t="s">
        <v>816</v>
      </c>
      <c r="K180" s="0" t="s">
        <v>93</v>
      </c>
      <c r="L180" s="0" t="s">
        <v>210</v>
      </c>
      <c r="M180" s="0" t="s">
        <v>211</v>
      </c>
      <c r="N180" s="0" t="n">
        <v>1</v>
      </c>
      <c r="P180" s="0" t="s">
        <v>73</v>
      </c>
      <c r="R180" s="0" t="s">
        <v>211</v>
      </c>
      <c r="V180" s="0" t="s">
        <v>847</v>
      </c>
      <c r="W180" s="12" t="n">
        <v>0</v>
      </c>
      <c r="Y180" s="0" t="s">
        <v>848</v>
      </c>
      <c r="AG180" s="0" t="s">
        <v>10</v>
      </c>
      <c r="AL180" s="13" t="n">
        <v>0</v>
      </c>
      <c r="AM180" s="14" t="n">
        <v>0</v>
      </c>
      <c r="AO180" s="13" t="n">
        <v>0</v>
      </c>
      <c r="AR180" s="0" t="s">
        <v>850</v>
      </c>
      <c r="AZ180" s="0" t="s">
        <v>89</v>
      </c>
      <c r="BA180" s="0" t="s">
        <v>89</v>
      </c>
      <c r="BB180" s="0" t="s">
        <v>90</v>
      </c>
      <c r="BC180" s="0" t="n">
        <v>0</v>
      </c>
      <c r="BD180" s="15" t="s">
        <v>851</v>
      </c>
      <c r="BE180" s="37" t="s">
        <v>829</v>
      </c>
    </row>
    <row r="181" customFormat="false" ht="16.4" hidden="false" customHeight="false" outlineLevel="0" collapsed="false">
      <c r="A181" s="36" t="n">
        <f aca="false">IF(B181=0,"",MAX($A$3:A180)+1)</f>
        <v>143</v>
      </c>
      <c r="B181" s="36" t="n">
        <f aca="false">IF(OR(M181="FLETE",M181="FLETE ENVIO GARANTIA",M181="FLETE RECOLECCION GARANTIA",M181="COMPENSACION"),0,1)</f>
        <v>1</v>
      </c>
      <c r="C181" s="0" t="s">
        <v>852</v>
      </c>
      <c r="D181" s="10" t="n">
        <v>13927101</v>
      </c>
      <c r="E181" s="11" t="n">
        <v>45704</v>
      </c>
      <c r="F181" s="11" t="n">
        <v>45717</v>
      </c>
      <c r="G181" s="11" t="n">
        <v>45719</v>
      </c>
      <c r="I181" s="11" t="n">
        <v>45719</v>
      </c>
      <c r="J181" s="0" t="s">
        <v>282</v>
      </c>
      <c r="K181" s="0" t="s">
        <v>214</v>
      </c>
      <c r="L181" s="0" t="s">
        <v>853</v>
      </c>
      <c r="M181" s="0" t="s">
        <v>854</v>
      </c>
      <c r="N181" s="0" t="n">
        <v>1</v>
      </c>
      <c r="P181" s="0" t="s">
        <v>217</v>
      </c>
      <c r="Q181" s="0" t="s">
        <v>218</v>
      </c>
      <c r="R181" s="0" t="s">
        <v>855</v>
      </c>
      <c r="S181" s="0" t="s">
        <v>591</v>
      </c>
      <c r="T181" s="0" t="s">
        <v>221</v>
      </c>
      <c r="U181" s="0" t="s">
        <v>199</v>
      </c>
      <c r="V181" s="0" t="s">
        <v>856</v>
      </c>
      <c r="W181" s="12" t="n">
        <v>0</v>
      </c>
      <c r="Y181" s="12" t="s">
        <v>857</v>
      </c>
      <c r="Z181" s="0" t="s">
        <v>858</v>
      </c>
      <c r="AB181" s="0" t="n">
        <v>1004756669</v>
      </c>
      <c r="AC181" s="0" t="s">
        <v>859</v>
      </c>
      <c r="AE181" s="0" t="n">
        <v>3234966582</v>
      </c>
      <c r="AF181" s="0" t="n">
        <v>559242</v>
      </c>
      <c r="AG181" s="0" t="s">
        <v>6</v>
      </c>
      <c r="AK181" s="0" t="s">
        <v>85</v>
      </c>
      <c r="AL181" s="13" t="n">
        <v>1068900</v>
      </c>
      <c r="AM181" s="14" t="n">
        <v>11.7011</v>
      </c>
      <c r="AN181" s="13" t="n">
        <v>1123154.06</v>
      </c>
      <c r="AO181" s="13" t="n">
        <v>179327.12</v>
      </c>
      <c r="AP181" s="0" t="n">
        <v>0</v>
      </c>
      <c r="AR181" s="0" t="s">
        <v>860</v>
      </c>
      <c r="AS181" s="0" t="n">
        <v>1972901.16</v>
      </c>
      <c r="AT181" s="0" t="s">
        <v>441</v>
      </c>
      <c r="AU181" s="0" t="s">
        <v>444</v>
      </c>
      <c r="AV181" s="0" t="s">
        <v>445</v>
      </c>
      <c r="AX181" s="0" t="s">
        <v>438</v>
      </c>
      <c r="AY181" s="0" t="s">
        <v>440</v>
      </c>
      <c r="AZ181" s="0" t="s">
        <v>89</v>
      </c>
      <c r="BA181" s="0" t="s">
        <v>89</v>
      </c>
      <c r="BB181" s="0" t="s">
        <v>90</v>
      </c>
      <c r="BC181" s="0" t="n">
        <v>0</v>
      </c>
      <c r="BD181" s="15" t="s">
        <v>861</v>
      </c>
      <c r="BE181" s="37" t="s">
        <v>461</v>
      </c>
    </row>
    <row r="182" customFormat="false" ht="16.4" hidden="false" customHeight="false" outlineLevel="0" collapsed="false">
      <c r="A182" s="36" t="n">
        <f aca="false">IF(B182=0,"",MAX($A$3:A181)+1)</f>
        <v>144</v>
      </c>
      <c r="B182" s="36" t="n">
        <f aca="false">IF(OR(M182="FLETE",M182="FLETE ENVIO GARANTIA",M182="FLETE RECOLECCION GARANTIA",M182="COMPENSACION"),0,1)</f>
        <v>1</v>
      </c>
      <c r="D182" s="10" t="n">
        <v>13927101</v>
      </c>
      <c r="J182" s="0" t="s">
        <v>282</v>
      </c>
      <c r="K182" s="0" t="s">
        <v>479</v>
      </c>
      <c r="L182" s="0" t="s">
        <v>862</v>
      </c>
      <c r="M182" s="0" t="s">
        <v>863</v>
      </c>
      <c r="N182" s="0" t="n">
        <v>1</v>
      </c>
      <c r="P182" s="0" t="s">
        <v>217</v>
      </c>
      <c r="Q182" s="0" t="s">
        <v>482</v>
      </c>
      <c r="R182" s="0" t="s">
        <v>855</v>
      </c>
      <c r="S182" s="0" t="s">
        <v>591</v>
      </c>
      <c r="T182" s="0" t="s">
        <v>221</v>
      </c>
      <c r="U182" s="0" t="s">
        <v>199</v>
      </c>
      <c r="V182" s="0" t="s">
        <v>856</v>
      </c>
      <c r="W182" s="12" t="n">
        <v>0</v>
      </c>
      <c r="Y182" s="0" t="s">
        <v>857</v>
      </c>
      <c r="AG182" s="0" t="s">
        <v>6</v>
      </c>
      <c r="AL182" s="13" t="n">
        <v>376900</v>
      </c>
      <c r="AM182" s="14" t="n">
        <v>11.7011</v>
      </c>
      <c r="AN182" s="13" t="n">
        <v>396030.27</v>
      </c>
      <c r="AO182" s="13" t="n">
        <v>63231.72</v>
      </c>
      <c r="AR182" s="0" t="s">
        <v>860</v>
      </c>
      <c r="AZ182" s="0" t="s">
        <v>89</v>
      </c>
      <c r="BA182" s="0" t="s">
        <v>89</v>
      </c>
      <c r="BB182" s="0" t="s">
        <v>90</v>
      </c>
      <c r="BC182" s="0" t="n">
        <v>0</v>
      </c>
      <c r="BD182" s="15" t="s">
        <v>861</v>
      </c>
      <c r="BE182" s="37" t="s">
        <v>461</v>
      </c>
    </row>
    <row r="183" customFormat="false" ht="16.4" hidden="false" customHeight="false" outlineLevel="0" collapsed="false">
      <c r="A183" s="36" t="n">
        <f aca="false">IF(B183=0,"",MAX($A$3:A182)+1)</f>
        <v>145</v>
      </c>
      <c r="B183" s="36" t="n">
        <f aca="false">IF(OR(M183="FLETE",M183="FLETE ENVIO GARANTIA",M183="FLETE RECOLECCION GARANTIA",M183="COMPENSACION"),0,1)</f>
        <v>1</v>
      </c>
      <c r="D183" s="10" t="n">
        <v>13927101</v>
      </c>
      <c r="J183" s="0" t="s">
        <v>282</v>
      </c>
      <c r="K183" s="0" t="s">
        <v>663</v>
      </c>
      <c r="L183" s="0" t="s">
        <v>864</v>
      </c>
      <c r="M183" s="0" t="s">
        <v>865</v>
      </c>
      <c r="N183" s="0" t="n">
        <v>1</v>
      </c>
      <c r="P183" s="0" t="s">
        <v>217</v>
      </c>
      <c r="Q183" s="0" t="s">
        <v>640</v>
      </c>
      <c r="R183" s="0" t="s">
        <v>855</v>
      </c>
      <c r="S183" s="0" t="s">
        <v>591</v>
      </c>
      <c r="T183" s="0" t="s">
        <v>221</v>
      </c>
      <c r="U183" s="0" t="s">
        <v>199</v>
      </c>
      <c r="V183" s="0" t="s">
        <v>856</v>
      </c>
      <c r="W183" s="12" t="n">
        <v>0</v>
      </c>
      <c r="Y183" s="12" t="s">
        <v>857</v>
      </c>
      <c r="AG183" s="0" t="s">
        <v>6</v>
      </c>
      <c r="AL183" s="13" t="n">
        <v>300900</v>
      </c>
      <c r="AM183" s="14" t="n">
        <v>11.7011</v>
      </c>
      <c r="AN183" s="13" t="n">
        <v>316172.75</v>
      </c>
      <c r="AO183" s="13" t="n">
        <v>50481.36</v>
      </c>
      <c r="AR183" s="0" t="s">
        <v>860</v>
      </c>
      <c r="AZ183" s="0" t="s">
        <v>89</v>
      </c>
      <c r="BA183" s="0" t="s">
        <v>89</v>
      </c>
      <c r="BB183" s="0" t="s">
        <v>90</v>
      </c>
      <c r="BC183" s="0" t="n">
        <v>0</v>
      </c>
      <c r="BD183" s="15" t="s">
        <v>861</v>
      </c>
      <c r="BE183" s="37" t="s">
        <v>461</v>
      </c>
    </row>
    <row r="184" customFormat="false" ht="16.4" hidden="false" customHeight="false" outlineLevel="0" collapsed="false">
      <c r="A184" s="36" t="n">
        <f aca="false">IF(B184=0,"",MAX($A$3:A183)+1)</f>
        <v>146</v>
      </c>
      <c r="B184" s="36" t="n">
        <f aca="false">IF(OR(M184="FLETE",M184="FLETE ENVIO GARANTIA",M184="FLETE RECOLECCION GARANTIA",M184="COMPENSACION"),0,1)</f>
        <v>1</v>
      </c>
      <c r="D184" s="10" t="n">
        <v>13927101</v>
      </c>
      <c r="J184" s="0" t="s">
        <v>282</v>
      </c>
      <c r="K184" s="0" t="s">
        <v>529</v>
      </c>
      <c r="L184" s="0" t="s">
        <v>866</v>
      </c>
      <c r="M184" s="0" t="s">
        <v>867</v>
      </c>
      <c r="N184" s="0" t="n">
        <v>1</v>
      </c>
      <c r="P184" s="0" t="s">
        <v>217</v>
      </c>
      <c r="Q184" s="0" t="s">
        <v>541</v>
      </c>
      <c r="R184" s="0" t="s">
        <v>868</v>
      </c>
      <c r="T184" s="0" t="s">
        <v>198</v>
      </c>
      <c r="U184" s="0" t="s">
        <v>199</v>
      </c>
      <c r="V184" s="0" t="s">
        <v>856</v>
      </c>
      <c r="W184" s="12" t="n">
        <v>0</v>
      </c>
      <c r="Y184" s="12" t="s">
        <v>857</v>
      </c>
      <c r="AG184" s="0" t="s">
        <v>6</v>
      </c>
      <c r="AL184" s="13" t="n">
        <v>130900</v>
      </c>
      <c r="AM184" s="14" t="n">
        <v>11.7011</v>
      </c>
      <c r="AN184" s="13" t="n">
        <v>137544.08</v>
      </c>
      <c r="AO184" s="13" t="n">
        <v>21960.82</v>
      </c>
      <c r="AR184" s="0" t="s">
        <v>860</v>
      </c>
      <c r="AZ184" s="0" t="s">
        <v>89</v>
      </c>
      <c r="BA184" s="0" t="s">
        <v>89</v>
      </c>
      <c r="BB184" s="0" t="s">
        <v>90</v>
      </c>
      <c r="BC184" s="0" t="n">
        <v>0</v>
      </c>
      <c r="BD184" s="15" t="s">
        <v>861</v>
      </c>
      <c r="BE184" s="37" t="s">
        <v>461</v>
      </c>
    </row>
    <row r="185" customFormat="false" ht="16.4" hidden="false" customHeight="false" outlineLevel="0" collapsed="false">
      <c r="A185" s="36" t="str">
        <f aca="false">IF(B185=0,"",MAX($A$3:A184)+1)</f>
        <v/>
      </c>
      <c r="B185" s="36" t="n">
        <f aca="false">IF(OR(M185="FLETE",M185="FLETE ENVIO GARANTIA",M185="FLETE RECOLECCION GARANTIA",M185="COMPENSACION"),0,1)</f>
        <v>0</v>
      </c>
      <c r="D185" s="10" t="n">
        <v>13927101</v>
      </c>
      <c r="J185" s="0" t="s">
        <v>282</v>
      </c>
      <c r="K185" s="0" t="s">
        <v>93</v>
      </c>
      <c r="L185" s="0" t="s">
        <v>210</v>
      </c>
      <c r="M185" s="0" t="s">
        <v>211</v>
      </c>
      <c r="N185" s="0" t="n">
        <v>1</v>
      </c>
      <c r="P185" s="0" t="s">
        <v>73</v>
      </c>
      <c r="R185" s="0" t="s">
        <v>211</v>
      </c>
      <c r="V185" s="0" t="s">
        <v>856</v>
      </c>
      <c r="W185" s="12" t="n">
        <v>0</v>
      </c>
      <c r="Y185" s="0" t="s">
        <v>857</v>
      </c>
      <c r="AG185" s="0" t="s">
        <v>6</v>
      </c>
      <c r="AL185" s="13" t="n">
        <v>0</v>
      </c>
      <c r="AM185" s="14" t="n">
        <v>0</v>
      </c>
      <c r="AO185" s="13" t="n">
        <v>0</v>
      </c>
      <c r="AR185" s="0" t="s">
        <v>860</v>
      </c>
      <c r="AZ185" s="0" t="s">
        <v>89</v>
      </c>
      <c r="BA185" s="0" t="s">
        <v>89</v>
      </c>
      <c r="BB185" s="0" t="s">
        <v>90</v>
      </c>
      <c r="BC185" s="0" t="n">
        <v>0</v>
      </c>
      <c r="BD185" s="15" t="s">
        <v>861</v>
      </c>
      <c r="BE185" s="37" t="s">
        <v>461</v>
      </c>
    </row>
    <row r="186" customFormat="false" ht="16.4" hidden="false" customHeight="false" outlineLevel="0" collapsed="false">
      <c r="A186" s="36" t="n">
        <f aca="false">IF(B186=0,"",MAX($A$3:A185)+1)</f>
        <v>147</v>
      </c>
      <c r="B186" s="36" t="n">
        <f aca="false">IF(OR(M186="FLETE",M186="FLETE ENVIO GARANTIA",M186="FLETE RECOLECCION GARANTIA",M186="COMPENSACION"),0,1)</f>
        <v>1</v>
      </c>
      <c r="C186" s="0" t="s">
        <v>869</v>
      </c>
      <c r="D186" s="10" t="n">
        <v>13926966</v>
      </c>
      <c r="E186" s="11" t="n">
        <v>45704</v>
      </c>
      <c r="F186" s="11" t="n">
        <v>45717</v>
      </c>
      <c r="G186" s="11" t="n">
        <v>45719</v>
      </c>
      <c r="I186" s="11" t="n">
        <v>45719</v>
      </c>
      <c r="J186" s="0" t="s">
        <v>282</v>
      </c>
      <c r="K186" s="0" t="s">
        <v>292</v>
      </c>
      <c r="L186" s="0" t="s">
        <v>870</v>
      </c>
      <c r="M186" s="0" t="s">
        <v>871</v>
      </c>
      <c r="N186" s="0" t="n">
        <v>1</v>
      </c>
      <c r="P186" s="0" t="s">
        <v>249</v>
      </c>
      <c r="Q186" s="0" t="s">
        <v>295</v>
      </c>
      <c r="R186" s="0" t="s">
        <v>872</v>
      </c>
      <c r="V186" s="0" t="s">
        <v>873</v>
      </c>
      <c r="W186" s="12" t="n">
        <v>0</v>
      </c>
      <c r="Y186" s="0" t="s">
        <v>439</v>
      </c>
      <c r="Z186" s="0" t="s">
        <v>179</v>
      </c>
      <c r="AB186" s="0" t="n">
        <v>1014198199</v>
      </c>
      <c r="AC186" s="0" t="s">
        <v>458</v>
      </c>
      <c r="AE186" s="0" t="n">
        <v>3004312817</v>
      </c>
      <c r="AF186" s="0" t="n">
        <v>555166</v>
      </c>
      <c r="AG186" s="0" t="s">
        <v>5</v>
      </c>
      <c r="AK186" s="0" t="s">
        <v>85</v>
      </c>
      <c r="AL186" s="13" t="n">
        <v>43900</v>
      </c>
      <c r="AM186" s="14" t="n">
        <v>-27.3349</v>
      </c>
      <c r="AN186" s="13" t="n">
        <v>66521.02</v>
      </c>
      <c r="AO186" s="13" t="n">
        <v>10621</v>
      </c>
      <c r="AP186" s="0" t="n">
        <v>0</v>
      </c>
      <c r="AR186" s="0" t="s">
        <v>874</v>
      </c>
      <c r="AS186" s="0" t="n">
        <v>66521.02</v>
      </c>
      <c r="AT186" s="0" t="s">
        <v>441</v>
      </c>
      <c r="AU186" s="0" t="s">
        <v>444</v>
      </c>
      <c r="AV186" s="0" t="s">
        <v>445</v>
      </c>
      <c r="AX186" s="0" t="s">
        <v>438</v>
      </c>
      <c r="AY186" s="0" t="s">
        <v>440</v>
      </c>
      <c r="AZ186" s="0" t="s">
        <v>89</v>
      </c>
      <c r="BA186" s="0" t="s">
        <v>89</v>
      </c>
      <c r="BB186" s="0" t="s">
        <v>90</v>
      </c>
      <c r="BC186" s="0" t="n">
        <v>0</v>
      </c>
      <c r="BD186" s="15" t="s">
        <v>875</v>
      </c>
      <c r="BE186" s="37" t="s">
        <v>461</v>
      </c>
    </row>
    <row r="187" customFormat="false" ht="16.4" hidden="false" customHeight="false" outlineLevel="0" collapsed="false">
      <c r="A187" s="36" t="str">
        <f aca="false">IF(B187=0,"",MAX($A$3:A186)+1)</f>
        <v/>
      </c>
      <c r="B187" s="36" t="n">
        <f aca="false">IF(OR(M187="FLETE",M187="FLETE ENVIO GARANTIA",M187="FLETE RECOLECCION GARANTIA",M187="COMPENSACION"),0,1)</f>
        <v>0</v>
      </c>
      <c r="D187" s="10" t="n">
        <v>13926966</v>
      </c>
      <c r="J187" s="0" t="s">
        <v>282</v>
      </c>
      <c r="K187" s="0" t="s">
        <v>93</v>
      </c>
      <c r="L187" s="0" t="s">
        <v>210</v>
      </c>
      <c r="M187" s="0" t="s">
        <v>211</v>
      </c>
      <c r="N187" s="0" t="n">
        <v>1</v>
      </c>
      <c r="P187" s="0" t="s">
        <v>73</v>
      </c>
      <c r="R187" s="0" t="s">
        <v>211</v>
      </c>
      <c r="V187" s="0" t="s">
        <v>873</v>
      </c>
      <c r="W187" s="12" t="n">
        <v>0</v>
      </c>
      <c r="Y187" s="12" t="s">
        <v>439</v>
      </c>
      <c r="AG187" s="0" t="s">
        <v>5</v>
      </c>
      <c r="AL187" s="13" t="n">
        <v>0</v>
      </c>
      <c r="AM187" s="14" t="n">
        <v>0</v>
      </c>
      <c r="AO187" s="13" t="n">
        <v>0</v>
      </c>
      <c r="AR187" s="0" t="s">
        <v>874</v>
      </c>
      <c r="AZ187" s="0" t="s">
        <v>89</v>
      </c>
      <c r="BA187" s="0" t="s">
        <v>89</v>
      </c>
      <c r="BB187" s="0" t="s">
        <v>90</v>
      </c>
      <c r="BC187" s="0" t="n">
        <v>0</v>
      </c>
      <c r="BD187" s="15" t="s">
        <v>875</v>
      </c>
      <c r="BE187" s="37" t="s">
        <v>461</v>
      </c>
    </row>
    <row r="188" customFormat="false" ht="16.4" hidden="false" customHeight="false" outlineLevel="0" collapsed="false">
      <c r="A188" s="36" t="n">
        <f aca="false">IF(B188=0,"",MAX($A$3:A187)+1)</f>
        <v>148</v>
      </c>
      <c r="B188" s="36" t="n">
        <f aca="false">IF(OR(M188="FLETE",M188="FLETE ENVIO GARANTIA",M188="FLETE RECOLECCION GARANTIA",M188="COMPENSACION"),0,1)</f>
        <v>1</v>
      </c>
      <c r="C188" s="0" t="s">
        <v>876</v>
      </c>
      <c r="D188" s="10" t="n">
        <v>13926868</v>
      </c>
      <c r="E188" s="11" t="n">
        <v>45704</v>
      </c>
      <c r="F188" s="11" t="n">
        <v>45717</v>
      </c>
      <c r="G188" s="11" t="n">
        <v>45719</v>
      </c>
      <c r="I188" s="11" t="n">
        <v>45719</v>
      </c>
      <c r="J188" s="0" t="s">
        <v>282</v>
      </c>
      <c r="K188" s="0" t="s">
        <v>93</v>
      </c>
      <c r="L188" s="0" t="s">
        <v>877</v>
      </c>
      <c r="M188" s="0" t="s">
        <v>878</v>
      </c>
      <c r="N188" s="0" t="n">
        <v>1</v>
      </c>
      <c r="P188" s="0" t="s">
        <v>217</v>
      </c>
      <c r="Q188" s="0" t="s">
        <v>218</v>
      </c>
      <c r="R188" s="0" t="s">
        <v>744</v>
      </c>
      <c r="S188" s="0" t="s">
        <v>591</v>
      </c>
      <c r="T188" s="0" t="s">
        <v>719</v>
      </c>
      <c r="U188" s="0" t="s">
        <v>199</v>
      </c>
      <c r="V188" s="0" t="s">
        <v>879</v>
      </c>
      <c r="W188" s="12" t="n">
        <v>0</v>
      </c>
      <c r="Y188" s="0" t="s">
        <v>439</v>
      </c>
      <c r="Z188" s="0" t="s">
        <v>179</v>
      </c>
      <c r="AB188" s="0" t="n">
        <v>80009436</v>
      </c>
      <c r="AC188" s="0" t="s">
        <v>458</v>
      </c>
      <c r="AE188" s="0" t="n">
        <v>3008417338</v>
      </c>
      <c r="AF188" s="0" t="n">
        <v>551307</v>
      </c>
      <c r="AG188" s="0" t="s">
        <v>5</v>
      </c>
      <c r="AK188" s="0" t="s">
        <v>85</v>
      </c>
      <c r="AL188" s="13" t="n">
        <v>1550900</v>
      </c>
      <c r="AM188" s="14" t="n">
        <v>47.7787</v>
      </c>
      <c r="AN188" s="13" t="n">
        <v>963781.17</v>
      </c>
      <c r="AO188" s="13" t="n">
        <v>153881.03</v>
      </c>
      <c r="AP188" s="0" t="n">
        <v>0</v>
      </c>
      <c r="AR188" s="0" t="s">
        <v>880</v>
      </c>
      <c r="AS188" s="0" t="n">
        <v>963781.17</v>
      </c>
      <c r="AT188" s="0" t="s">
        <v>441</v>
      </c>
      <c r="AU188" s="0" t="s">
        <v>444</v>
      </c>
      <c r="AV188" s="0" t="s">
        <v>445</v>
      </c>
      <c r="AX188" s="0" t="s">
        <v>438</v>
      </c>
      <c r="AY188" s="0" t="s">
        <v>440</v>
      </c>
      <c r="AZ188" s="0" t="s">
        <v>89</v>
      </c>
      <c r="BA188" s="0" t="s">
        <v>89</v>
      </c>
      <c r="BB188" s="0" t="s">
        <v>90</v>
      </c>
      <c r="BC188" s="0" t="n">
        <v>0</v>
      </c>
      <c r="BD188" s="15" t="s">
        <v>881</v>
      </c>
      <c r="BE188" s="37" t="s">
        <v>461</v>
      </c>
    </row>
    <row r="189" customFormat="false" ht="16.4" hidden="false" customHeight="false" outlineLevel="0" collapsed="false">
      <c r="A189" s="36" t="str">
        <f aca="false">IF(B189=0,"",MAX($A$3:A188)+1)</f>
        <v/>
      </c>
      <c r="B189" s="36" t="n">
        <f aca="false">IF(OR(M189="FLETE",M189="FLETE ENVIO GARANTIA",M189="FLETE RECOLECCION GARANTIA",M189="COMPENSACION"),0,1)</f>
        <v>0</v>
      </c>
      <c r="D189" s="10" t="n">
        <v>13926868</v>
      </c>
      <c r="J189" s="0" t="s">
        <v>282</v>
      </c>
      <c r="K189" s="0" t="s">
        <v>93</v>
      </c>
      <c r="L189" s="0" t="s">
        <v>210</v>
      </c>
      <c r="M189" s="0" t="s">
        <v>211</v>
      </c>
      <c r="N189" s="0" t="n">
        <v>1</v>
      </c>
      <c r="P189" s="0" t="s">
        <v>73</v>
      </c>
      <c r="R189" s="0" t="s">
        <v>211</v>
      </c>
      <c r="V189" s="0" t="s">
        <v>879</v>
      </c>
      <c r="W189" s="12" t="n">
        <v>0</v>
      </c>
      <c r="Y189" s="12" t="s">
        <v>439</v>
      </c>
      <c r="AG189" s="0" t="s">
        <v>5</v>
      </c>
      <c r="AL189" s="13" t="n">
        <v>0</v>
      </c>
      <c r="AM189" s="14" t="n">
        <v>0</v>
      </c>
      <c r="AO189" s="13" t="n">
        <v>0</v>
      </c>
      <c r="AR189" s="0" t="s">
        <v>880</v>
      </c>
      <c r="AZ189" s="0" t="s">
        <v>89</v>
      </c>
      <c r="BA189" s="0" t="s">
        <v>89</v>
      </c>
      <c r="BB189" s="0" t="s">
        <v>90</v>
      </c>
      <c r="BC189" s="0" t="n">
        <v>0</v>
      </c>
      <c r="BD189" s="15" t="s">
        <v>881</v>
      </c>
      <c r="BE189" s="37" t="s">
        <v>461</v>
      </c>
    </row>
    <row r="190" customFormat="false" ht="16.4" hidden="false" customHeight="false" outlineLevel="0" collapsed="false">
      <c r="A190" s="36" t="n">
        <f aca="false">IF(B190=0,"",MAX($A$3:A189)+1)</f>
        <v>149</v>
      </c>
      <c r="B190" s="36" t="n">
        <f aca="false">IF(OR(M190="FLETE",M190="FLETE ENVIO GARANTIA",M190="FLETE RECOLECCION GARANTIA",M190="COMPENSACION"),0,1)</f>
        <v>1</v>
      </c>
      <c r="C190" s="0" t="s">
        <v>882</v>
      </c>
      <c r="D190" s="10" t="n">
        <v>13926866</v>
      </c>
      <c r="E190" s="11" t="n">
        <v>45704</v>
      </c>
      <c r="F190" s="11" t="n">
        <v>45717</v>
      </c>
      <c r="G190" s="11" t="n">
        <v>45719</v>
      </c>
      <c r="I190" s="11" t="n">
        <v>45719</v>
      </c>
      <c r="J190" s="0" t="s">
        <v>282</v>
      </c>
      <c r="K190" s="0" t="s">
        <v>93</v>
      </c>
      <c r="L190" s="0" t="s">
        <v>883</v>
      </c>
      <c r="M190" s="0" t="s">
        <v>884</v>
      </c>
      <c r="N190" s="0" t="n">
        <v>1</v>
      </c>
      <c r="P190" s="0" t="s">
        <v>217</v>
      </c>
      <c r="Q190" s="0" t="s">
        <v>482</v>
      </c>
      <c r="R190" s="0" t="s">
        <v>744</v>
      </c>
      <c r="S190" s="0" t="s">
        <v>435</v>
      </c>
      <c r="T190" s="0" t="s">
        <v>513</v>
      </c>
      <c r="U190" s="0" t="s">
        <v>199</v>
      </c>
      <c r="V190" s="0" t="s">
        <v>885</v>
      </c>
      <c r="W190" s="12" t="n">
        <v>0</v>
      </c>
      <c r="Y190" s="0" t="s">
        <v>439</v>
      </c>
      <c r="Z190" s="0" t="s">
        <v>179</v>
      </c>
      <c r="AB190" s="0" t="n">
        <v>32205876</v>
      </c>
      <c r="AC190" s="0" t="s">
        <v>458</v>
      </c>
      <c r="AE190" s="0" t="n">
        <v>9301456877</v>
      </c>
      <c r="AF190" s="0" t="n">
        <v>551321</v>
      </c>
      <c r="AG190" s="0" t="s">
        <v>5</v>
      </c>
      <c r="AK190" s="0" t="s">
        <v>85</v>
      </c>
      <c r="AL190" s="13" t="n">
        <v>637900</v>
      </c>
      <c r="AM190" s="14" t="n">
        <v>26.9635</v>
      </c>
      <c r="AN190" s="13" t="n">
        <v>554420.8</v>
      </c>
      <c r="AO190" s="13" t="n">
        <v>88520.97</v>
      </c>
      <c r="AP190" s="0" t="s">
        <v>886</v>
      </c>
      <c r="AR190" s="0" t="s">
        <v>887</v>
      </c>
      <c r="AS190" s="0" t="n">
        <v>554420.8</v>
      </c>
      <c r="AT190" s="0" t="s">
        <v>441</v>
      </c>
      <c r="AU190" s="0" t="s">
        <v>444</v>
      </c>
      <c r="AV190" s="0" t="s">
        <v>445</v>
      </c>
      <c r="AX190" s="0" t="s">
        <v>438</v>
      </c>
      <c r="AY190" s="0" t="s">
        <v>440</v>
      </c>
      <c r="AZ190" s="0" t="s">
        <v>89</v>
      </c>
      <c r="BA190" s="0" t="s">
        <v>89</v>
      </c>
      <c r="BB190" s="0" t="s">
        <v>90</v>
      </c>
      <c r="BC190" s="0" t="n">
        <v>0</v>
      </c>
      <c r="BD190" s="15" t="s">
        <v>888</v>
      </c>
      <c r="BE190" s="37" t="s">
        <v>461</v>
      </c>
    </row>
    <row r="191" customFormat="false" ht="16.4" hidden="false" customHeight="false" outlineLevel="0" collapsed="false">
      <c r="A191" s="36" t="str">
        <f aca="false">IF(B191=0,"",MAX($A$3:A190)+1)</f>
        <v/>
      </c>
      <c r="B191" s="36" t="n">
        <f aca="false">IF(OR(M191="FLETE",M191="FLETE ENVIO GARANTIA",M191="FLETE RECOLECCION GARANTIA",M191="COMPENSACION"),0,1)</f>
        <v>0</v>
      </c>
      <c r="D191" s="10" t="n">
        <v>13926866</v>
      </c>
      <c r="J191" s="0" t="s">
        <v>282</v>
      </c>
      <c r="K191" s="0" t="s">
        <v>93</v>
      </c>
      <c r="L191" s="0" t="s">
        <v>210</v>
      </c>
      <c r="M191" s="0" t="s">
        <v>211</v>
      </c>
      <c r="N191" s="0" t="n">
        <v>1</v>
      </c>
      <c r="P191" s="0" t="s">
        <v>73</v>
      </c>
      <c r="R191" s="0" t="s">
        <v>211</v>
      </c>
      <c r="V191" s="0" t="s">
        <v>885</v>
      </c>
      <c r="W191" s="12" t="n">
        <v>0</v>
      </c>
      <c r="Y191" s="12" t="s">
        <v>439</v>
      </c>
      <c r="AG191" s="0" t="s">
        <v>5</v>
      </c>
      <c r="AL191" s="13" t="n">
        <v>0</v>
      </c>
      <c r="AM191" s="14" t="n">
        <v>0</v>
      </c>
      <c r="AO191" s="13" t="n">
        <v>0</v>
      </c>
      <c r="AR191" s="0" t="s">
        <v>887</v>
      </c>
      <c r="AZ191" s="0" t="s">
        <v>89</v>
      </c>
      <c r="BA191" s="0" t="s">
        <v>89</v>
      </c>
      <c r="BB191" s="0" t="s">
        <v>90</v>
      </c>
      <c r="BC191" s="0" t="n">
        <v>0</v>
      </c>
      <c r="BD191" s="15" t="s">
        <v>888</v>
      </c>
      <c r="BE191" s="37" t="s">
        <v>461</v>
      </c>
    </row>
    <row r="192" customFormat="false" ht="16.4" hidden="false" customHeight="false" outlineLevel="0" collapsed="false">
      <c r="A192" s="36" t="n">
        <f aca="false">IF(B192=0,"",MAX($A$3:A191)+1)</f>
        <v>150</v>
      </c>
      <c r="B192" s="36" t="n">
        <f aca="false">IF(OR(M192="FLETE",M192="FLETE ENVIO GARANTIA",M192="FLETE RECOLECCION GARANTIA",M192="COMPENSACION"),0,1)</f>
        <v>1</v>
      </c>
      <c r="C192" s="0" t="s">
        <v>889</v>
      </c>
      <c r="D192" s="10" t="n">
        <v>13926558</v>
      </c>
      <c r="E192" s="11" t="n">
        <v>45704</v>
      </c>
      <c r="F192" s="11" t="n">
        <v>45717</v>
      </c>
      <c r="G192" s="11" t="n">
        <v>45719</v>
      </c>
      <c r="I192" s="11" t="n">
        <v>45719</v>
      </c>
      <c r="J192" s="0" t="s">
        <v>282</v>
      </c>
      <c r="K192" s="0" t="s">
        <v>890</v>
      </c>
      <c r="L192" s="0" t="s">
        <v>891</v>
      </c>
      <c r="M192" s="0" t="s">
        <v>892</v>
      </c>
      <c r="N192" s="0" t="n">
        <v>1</v>
      </c>
      <c r="P192" s="0" t="s">
        <v>195</v>
      </c>
      <c r="Q192" s="0" t="s">
        <v>893</v>
      </c>
      <c r="R192" s="0" t="s">
        <v>894</v>
      </c>
      <c r="S192" s="0" t="s">
        <v>591</v>
      </c>
      <c r="T192" s="0" t="s">
        <v>667</v>
      </c>
      <c r="U192" s="0" t="s">
        <v>199</v>
      </c>
      <c r="V192" s="0" t="s">
        <v>895</v>
      </c>
      <c r="W192" s="12" t="n">
        <v>0</v>
      </c>
      <c r="Y192" s="0" t="s">
        <v>439</v>
      </c>
      <c r="Z192" s="0" t="s">
        <v>179</v>
      </c>
      <c r="AB192" s="0" t="n">
        <v>1152189006</v>
      </c>
      <c r="AC192" s="0" t="s">
        <v>458</v>
      </c>
      <c r="AE192" s="0" t="n">
        <v>3014732079</v>
      </c>
      <c r="AF192" s="0" t="n">
        <v>711398</v>
      </c>
      <c r="AG192" s="0" t="s">
        <v>5</v>
      </c>
      <c r="AK192" s="0" t="s">
        <v>85</v>
      </c>
      <c r="AL192" s="13" t="n">
        <v>580000</v>
      </c>
      <c r="AM192" s="14" t="n">
        <v>-6.7069</v>
      </c>
      <c r="AN192" s="13" t="n">
        <v>736491.02</v>
      </c>
      <c r="AO192" s="13" t="n">
        <v>117591</v>
      </c>
      <c r="AP192" s="0" t="n">
        <v>0</v>
      </c>
      <c r="AR192" s="0" t="s">
        <v>896</v>
      </c>
      <c r="AS192" s="0" t="n">
        <v>736491.02</v>
      </c>
      <c r="AT192" s="0" t="s">
        <v>441</v>
      </c>
      <c r="AU192" s="0" t="s">
        <v>444</v>
      </c>
      <c r="AV192" s="0" t="s">
        <v>445</v>
      </c>
      <c r="AX192" s="0" t="s">
        <v>438</v>
      </c>
      <c r="AY192" s="0" t="s">
        <v>440</v>
      </c>
      <c r="AZ192" s="0" t="s">
        <v>89</v>
      </c>
      <c r="BA192" s="0" t="s">
        <v>89</v>
      </c>
      <c r="BB192" s="0" t="s">
        <v>90</v>
      </c>
      <c r="BC192" s="0" t="n">
        <v>0</v>
      </c>
      <c r="BD192" s="15" t="s">
        <v>897</v>
      </c>
      <c r="BE192" s="37" t="s">
        <v>461</v>
      </c>
    </row>
    <row r="193" customFormat="false" ht="16.4" hidden="false" customHeight="false" outlineLevel="0" collapsed="false">
      <c r="A193" s="36" t="str">
        <f aca="false">IF(B193=0,"",MAX($A$3:A192)+1)</f>
        <v/>
      </c>
      <c r="B193" s="36" t="n">
        <f aca="false">IF(OR(M193="FLETE",M193="FLETE ENVIO GARANTIA",M193="FLETE RECOLECCION GARANTIA",M193="COMPENSACION"),0,1)</f>
        <v>0</v>
      </c>
      <c r="D193" s="10" t="n">
        <v>13926558</v>
      </c>
      <c r="J193" s="0" t="s">
        <v>282</v>
      </c>
      <c r="K193" s="0" t="s">
        <v>93</v>
      </c>
      <c r="L193" s="0" t="s">
        <v>210</v>
      </c>
      <c r="M193" s="0" t="s">
        <v>211</v>
      </c>
      <c r="N193" s="0" t="n">
        <v>1</v>
      </c>
      <c r="P193" s="0" t="s">
        <v>73</v>
      </c>
      <c r="R193" s="0" t="s">
        <v>211</v>
      </c>
      <c r="V193" s="0" t="s">
        <v>895</v>
      </c>
      <c r="W193" s="12" t="n">
        <v>0</v>
      </c>
      <c r="Y193" s="12" t="s">
        <v>439</v>
      </c>
      <c r="AG193" s="0" t="s">
        <v>5</v>
      </c>
      <c r="AL193" s="13" t="n">
        <v>0</v>
      </c>
      <c r="AM193" s="14" t="n">
        <v>0</v>
      </c>
      <c r="AO193" s="13" t="n">
        <v>0</v>
      </c>
      <c r="AR193" s="0" t="s">
        <v>896</v>
      </c>
      <c r="AZ193" s="0" t="s">
        <v>89</v>
      </c>
      <c r="BA193" s="0" t="s">
        <v>89</v>
      </c>
      <c r="BB193" s="0" t="s">
        <v>90</v>
      </c>
      <c r="BC193" s="0" t="n">
        <v>0</v>
      </c>
      <c r="BD193" s="15" t="s">
        <v>897</v>
      </c>
      <c r="BE193" s="37" t="s">
        <v>461</v>
      </c>
    </row>
    <row r="194" customFormat="false" ht="16.4" hidden="false" customHeight="false" outlineLevel="0" collapsed="false">
      <c r="A194" s="36" t="n">
        <f aca="false">IF(B194=0,"",MAX($A$3:A193)+1)</f>
        <v>151</v>
      </c>
      <c r="B194" s="36" t="n">
        <f aca="false">IF(OR(M194="FLETE",M194="FLETE ENVIO GARANTIA",M194="FLETE RECOLECCION GARANTIA",M194="COMPENSACION"),0,1)</f>
        <v>1</v>
      </c>
      <c r="C194" s="0" t="s">
        <v>898</v>
      </c>
      <c r="D194" s="10" t="n">
        <v>13926437</v>
      </c>
      <c r="E194" s="11" t="n">
        <v>45704</v>
      </c>
      <c r="F194" s="11" t="n">
        <v>45717</v>
      </c>
      <c r="G194" s="11" t="n">
        <v>45719</v>
      </c>
      <c r="I194" s="11" t="n">
        <v>45719</v>
      </c>
      <c r="J194" s="0" t="s">
        <v>282</v>
      </c>
      <c r="K194" s="0" t="s">
        <v>214</v>
      </c>
      <c r="L194" s="0" t="s">
        <v>899</v>
      </c>
      <c r="M194" s="0" t="s">
        <v>900</v>
      </c>
      <c r="N194" s="0" t="n">
        <v>1</v>
      </c>
      <c r="P194" s="0" t="s">
        <v>217</v>
      </c>
      <c r="Q194" s="0" t="s">
        <v>218</v>
      </c>
      <c r="R194" s="0" t="s">
        <v>855</v>
      </c>
      <c r="S194" s="0" t="s">
        <v>435</v>
      </c>
      <c r="T194" s="0" t="s">
        <v>513</v>
      </c>
      <c r="U194" s="0" t="s">
        <v>199</v>
      </c>
      <c r="V194" s="0" t="s">
        <v>901</v>
      </c>
      <c r="W194" s="12" t="n">
        <v>0</v>
      </c>
      <c r="Y194" s="12" t="s">
        <v>439</v>
      </c>
      <c r="Z194" s="0" t="s">
        <v>179</v>
      </c>
      <c r="AB194" s="0" t="n">
        <v>1014238779</v>
      </c>
      <c r="AC194" s="0" t="s">
        <v>458</v>
      </c>
      <c r="AE194" s="0" t="n">
        <v>3004909989</v>
      </c>
      <c r="AF194" s="0" t="n">
        <v>566428</v>
      </c>
      <c r="AG194" s="0" t="s">
        <v>5</v>
      </c>
      <c r="AK194" s="0" t="s">
        <v>85</v>
      </c>
      <c r="AL194" s="13" t="n">
        <v>1042900</v>
      </c>
      <c r="AM194" s="14" t="n">
        <v>34.1356</v>
      </c>
      <c r="AN194" s="13" t="n">
        <v>817410.8</v>
      </c>
      <c r="AO194" s="13" t="n">
        <v>130510.97</v>
      </c>
      <c r="AP194" s="0" t="s">
        <v>902</v>
      </c>
      <c r="AR194" s="0" t="s">
        <v>903</v>
      </c>
      <c r="AS194" s="0" t="n">
        <v>817410.8</v>
      </c>
      <c r="AT194" s="0" t="s">
        <v>441</v>
      </c>
      <c r="AU194" s="0" t="s">
        <v>444</v>
      </c>
      <c r="AV194" s="0" t="s">
        <v>445</v>
      </c>
      <c r="AX194" s="0" t="s">
        <v>438</v>
      </c>
      <c r="AY194" s="0" t="s">
        <v>440</v>
      </c>
      <c r="AZ194" s="0" t="s">
        <v>89</v>
      </c>
      <c r="BA194" s="0" t="s">
        <v>89</v>
      </c>
      <c r="BB194" s="0" t="s">
        <v>90</v>
      </c>
      <c r="BC194" s="0" t="n">
        <v>0</v>
      </c>
      <c r="BD194" s="15" t="s">
        <v>904</v>
      </c>
      <c r="BE194" s="37" t="s">
        <v>461</v>
      </c>
    </row>
    <row r="195" customFormat="false" ht="16.4" hidden="false" customHeight="false" outlineLevel="0" collapsed="false">
      <c r="A195" s="36" t="str">
        <f aca="false">IF(B195=0,"",MAX($A$3:A194)+1)</f>
        <v/>
      </c>
      <c r="B195" s="36" t="n">
        <f aca="false">IF(OR(M195="FLETE",M195="FLETE ENVIO GARANTIA",M195="FLETE RECOLECCION GARANTIA",M195="COMPENSACION"),0,1)</f>
        <v>0</v>
      </c>
      <c r="D195" s="10" t="n">
        <v>13926437</v>
      </c>
      <c r="J195" s="0" t="s">
        <v>282</v>
      </c>
      <c r="K195" s="0" t="s">
        <v>93</v>
      </c>
      <c r="L195" s="0" t="s">
        <v>210</v>
      </c>
      <c r="M195" s="0" t="s">
        <v>211</v>
      </c>
      <c r="N195" s="0" t="n">
        <v>1</v>
      </c>
      <c r="P195" s="0" t="s">
        <v>73</v>
      </c>
      <c r="R195" s="0" t="s">
        <v>211</v>
      </c>
      <c r="V195" s="0" t="s">
        <v>901</v>
      </c>
      <c r="W195" s="12" t="n">
        <v>0</v>
      </c>
      <c r="Y195" s="0" t="s">
        <v>439</v>
      </c>
      <c r="AG195" s="0" t="s">
        <v>5</v>
      </c>
      <c r="AL195" s="13" t="n">
        <v>0</v>
      </c>
      <c r="AM195" s="14" t="n">
        <v>0</v>
      </c>
      <c r="AO195" s="13" t="n">
        <v>0</v>
      </c>
      <c r="AR195" s="0" t="s">
        <v>903</v>
      </c>
      <c r="AZ195" s="0" t="s">
        <v>89</v>
      </c>
      <c r="BA195" s="0" t="s">
        <v>89</v>
      </c>
      <c r="BB195" s="0" t="s">
        <v>90</v>
      </c>
      <c r="BC195" s="0" t="n">
        <v>0</v>
      </c>
      <c r="BD195" s="15" t="s">
        <v>904</v>
      </c>
      <c r="BE195" s="37" t="s">
        <v>461</v>
      </c>
    </row>
    <row r="196" customFormat="false" ht="16.4" hidden="false" customHeight="false" outlineLevel="0" collapsed="false">
      <c r="A196" s="36" t="n">
        <f aca="false">IF(B196=0,"",MAX($A$3:A195)+1)</f>
        <v>152</v>
      </c>
      <c r="B196" s="36" t="n">
        <f aca="false">IF(OR(M196="FLETE",M196="FLETE ENVIO GARANTIA",M196="FLETE RECOLECCION GARANTIA",M196="COMPENSACION"),0,1)</f>
        <v>1</v>
      </c>
      <c r="C196" s="0" t="s">
        <v>905</v>
      </c>
      <c r="D196" s="10" t="n">
        <v>13926357</v>
      </c>
      <c r="E196" s="11" t="n">
        <v>45704</v>
      </c>
      <c r="F196" s="11" t="n">
        <v>45717</v>
      </c>
      <c r="G196" s="11" t="n">
        <v>45719</v>
      </c>
      <c r="I196" s="11" t="n">
        <v>45719</v>
      </c>
      <c r="J196" s="0" t="s">
        <v>282</v>
      </c>
      <c r="K196" s="0" t="s">
        <v>214</v>
      </c>
      <c r="L196" s="0" t="s">
        <v>906</v>
      </c>
      <c r="M196" s="0" t="s">
        <v>907</v>
      </c>
      <c r="N196" s="0" t="n">
        <v>1</v>
      </c>
      <c r="P196" s="0" t="s">
        <v>217</v>
      </c>
      <c r="Q196" s="0" t="s">
        <v>218</v>
      </c>
      <c r="R196" s="0" t="s">
        <v>908</v>
      </c>
      <c r="S196" s="0" t="s">
        <v>435</v>
      </c>
      <c r="T196" s="0" t="s">
        <v>449</v>
      </c>
      <c r="U196" s="0" t="s">
        <v>199</v>
      </c>
      <c r="V196" s="0" t="s">
        <v>909</v>
      </c>
      <c r="W196" s="12" t="n">
        <v>0</v>
      </c>
      <c r="Y196" s="12" t="s">
        <v>439</v>
      </c>
      <c r="Z196" s="0" t="s">
        <v>179</v>
      </c>
      <c r="AB196" s="0" t="n">
        <v>900844775</v>
      </c>
      <c r="AC196" s="0" t="s">
        <v>458</v>
      </c>
      <c r="AE196" s="0" t="n">
        <v>3115784207</v>
      </c>
      <c r="AF196" s="0" t="n">
        <v>567976</v>
      </c>
      <c r="AG196" s="0" t="s">
        <v>5</v>
      </c>
      <c r="AH196" s="0" t="n">
        <v>1</v>
      </c>
      <c r="AK196" s="0" t="s">
        <v>85</v>
      </c>
      <c r="AL196" s="13" t="n">
        <v>850900</v>
      </c>
      <c r="AM196" s="14" t="n">
        <v>11.1646</v>
      </c>
      <c r="AN196" s="13" t="n">
        <v>899521.5</v>
      </c>
      <c r="AO196" s="13" t="n">
        <v>143621.08</v>
      </c>
      <c r="AP196" s="0" t="s">
        <v>910</v>
      </c>
      <c r="AR196" s="0" t="s">
        <v>911</v>
      </c>
      <c r="AS196" s="0" t="n">
        <v>899521.5</v>
      </c>
      <c r="AT196" s="0" t="s">
        <v>441</v>
      </c>
      <c r="AU196" s="0" t="s">
        <v>444</v>
      </c>
      <c r="AV196" s="0" t="s">
        <v>445</v>
      </c>
      <c r="AX196" s="0" t="s">
        <v>438</v>
      </c>
      <c r="AY196" s="0" t="s">
        <v>440</v>
      </c>
      <c r="AZ196" s="0" t="s">
        <v>525</v>
      </c>
      <c r="BA196" s="0" t="s">
        <v>525</v>
      </c>
      <c r="BB196" s="0" t="s">
        <v>90</v>
      </c>
      <c r="BC196" s="0" t="n">
        <v>0</v>
      </c>
      <c r="BD196" s="15" t="s">
        <v>912</v>
      </c>
      <c r="BE196" s="37" t="s">
        <v>461</v>
      </c>
    </row>
    <row r="197" customFormat="false" ht="16.4" hidden="false" customHeight="false" outlineLevel="0" collapsed="false">
      <c r="A197" s="36" t="str">
        <f aca="false">IF(B197=0,"",MAX($A$3:A196)+1)</f>
        <v/>
      </c>
      <c r="B197" s="36" t="n">
        <f aca="false">IF(OR(M197="FLETE",M197="FLETE ENVIO GARANTIA",M197="FLETE RECOLECCION GARANTIA",M197="COMPENSACION"),0,1)</f>
        <v>0</v>
      </c>
      <c r="D197" s="10" t="n">
        <v>13926357</v>
      </c>
      <c r="J197" s="0" t="s">
        <v>282</v>
      </c>
      <c r="K197" s="0" t="s">
        <v>93</v>
      </c>
      <c r="L197" s="0" t="s">
        <v>210</v>
      </c>
      <c r="M197" s="0" t="s">
        <v>211</v>
      </c>
      <c r="N197" s="0" t="n">
        <v>1</v>
      </c>
      <c r="P197" s="0" t="s">
        <v>73</v>
      </c>
      <c r="R197" s="0" t="s">
        <v>211</v>
      </c>
      <c r="V197" s="0" t="s">
        <v>909</v>
      </c>
      <c r="W197" s="12" t="n">
        <v>0</v>
      </c>
      <c r="Y197" s="12" t="s">
        <v>439</v>
      </c>
      <c r="AG197" s="0" t="s">
        <v>5</v>
      </c>
      <c r="AL197" s="13" t="n">
        <v>0</v>
      </c>
      <c r="AM197" s="14" t="n">
        <v>0</v>
      </c>
      <c r="AO197" s="13" t="n">
        <v>0</v>
      </c>
      <c r="AR197" s="0" t="s">
        <v>911</v>
      </c>
      <c r="AZ197" s="0" t="s">
        <v>89</v>
      </c>
      <c r="BA197" s="0" t="s">
        <v>89</v>
      </c>
      <c r="BB197" s="0" t="s">
        <v>90</v>
      </c>
      <c r="BC197" s="0" t="n">
        <v>0</v>
      </c>
      <c r="BD197" s="15" t="s">
        <v>912</v>
      </c>
      <c r="BE197" s="37" t="s">
        <v>461</v>
      </c>
    </row>
    <row r="198" customFormat="false" ht="16.4" hidden="false" customHeight="false" outlineLevel="0" collapsed="false">
      <c r="A198" s="36" t="n">
        <f aca="false">IF(B198=0,"",MAX($A$3:A197)+1)</f>
        <v>153</v>
      </c>
      <c r="B198" s="36" t="n">
        <f aca="false">IF(OR(M198="FLETE",M198="FLETE ENVIO GARANTIA",M198="FLETE RECOLECCION GARANTIA",M198="COMPENSACION"),0,1)</f>
        <v>1</v>
      </c>
      <c r="C198" s="0" t="s">
        <v>913</v>
      </c>
      <c r="D198" s="10" t="n">
        <v>13926316</v>
      </c>
      <c r="E198" s="11" t="n">
        <v>45704</v>
      </c>
      <c r="F198" s="11" t="n">
        <v>45717</v>
      </c>
      <c r="G198" s="11" t="n">
        <v>45719</v>
      </c>
      <c r="I198" s="11" t="n">
        <v>45719</v>
      </c>
      <c r="J198" s="0" t="s">
        <v>282</v>
      </c>
      <c r="K198" s="0" t="s">
        <v>914</v>
      </c>
      <c r="L198" s="0" t="s">
        <v>915</v>
      </c>
      <c r="M198" s="0" t="s">
        <v>916</v>
      </c>
      <c r="N198" s="0" t="n">
        <v>1</v>
      </c>
      <c r="P198" s="0" t="s">
        <v>195</v>
      </c>
      <c r="Q198" s="0" t="s">
        <v>917</v>
      </c>
      <c r="R198" s="0" t="s">
        <v>918</v>
      </c>
      <c r="S198" s="0" t="s">
        <v>919</v>
      </c>
      <c r="T198" s="0" t="s">
        <v>719</v>
      </c>
      <c r="U198" s="0" t="s">
        <v>199</v>
      </c>
      <c r="V198" s="0" t="s">
        <v>920</v>
      </c>
      <c r="W198" s="0" t="n">
        <v>0</v>
      </c>
      <c r="Y198" s="0" t="s">
        <v>439</v>
      </c>
      <c r="Z198" s="0" t="s">
        <v>179</v>
      </c>
      <c r="AB198" s="0" t="n">
        <v>19160483</v>
      </c>
      <c r="AC198" s="0" t="s">
        <v>458</v>
      </c>
      <c r="AE198" s="0" t="n">
        <v>3125226003</v>
      </c>
      <c r="AF198" s="0" t="n">
        <v>446464</v>
      </c>
      <c r="AG198" s="0" t="s">
        <v>5</v>
      </c>
      <c r="AK198" s="0" t="s">
        <v>85</v>
      </c>
      <c r="AL198" s="13" t="n">
        <v>721900</v>
      </c>
      <c r="AM198" s="14" t="n">
        <v>19.5318</v>
      </c>
      <c r="AN198" s="13" t="n">
        <v>691270.93</v>
      </c>
      <c r="AO198" s="13" t="n">
        <v>110370.99</v>
      </c>
      <c r="AP198" s="0" t="n">
        <v>0</v>
      </c>
      <c r="AR198" s="0" t="s">
        <v>921</v>
      </c>
      <c r="AS198" s="0" t="n">
        <v>691270.93</v>
      </c>
      <c r="AT198" s="0" t="s">
        <v>441</v>
      </c>
      <c r="AU198" s="0" t="s">
        <v>444</v>
      </c>
      <c r="AV198" s="0" t="s">
        <v>445</v>
      </c>
      <c r="AX198" s="0" t="s">
        <v>438</v>
      </c>
      <c r="AY198" s="0" t="s">
        <v>440</v>
      </c>
      <c r="AZ198" s="0" t="s">
        <v>89</v>
      </c>
      <c r="BA198" s="0" t="s">
        <v>89</v>
      </c>
      <c r="BB198" s="0" t="s">
        <v>90</v>
      </c>
      <c r="BC198" s="0" t="n">
        <v>0</v>
      </c>
      <c r="BD198" s="15" t="s">
        <v>922</v>
      </c>
      <c r="BE198" s="37" t="s">
        <v>461</v>
      </c>
    </row>
    <row r="199" customFormat="false" ht="16.4" hidden="false" customHeight="false" outlineLevel="0" collapsed="false">
      <c r="A199" s="36" t="str">
        <f aca="false">IF(B199=0,"",MAX($A$3:A198)+1)</f>
        <v/>
      </c>
      <c r="B199" s="36" t="n">
        <f aca="false">IF(OR(M199="FLETE",M199="FLETE ENVIO GARANTIA",M199="FLETE RECOLECCION GARANTIA",M199="COMPENSACION"),0,1)</f>
        <v>0</v>
      </c>
      <c r="D199" s="10" t="n">
        <v>13926316</v>
      </c>
      <c r="J199" s="0" t="s">
        <v>282</v>
      </c>
      <c r="K199" s="0" t="s">
        <v>93</v>
      </c>
      <c r="L199" s="0" t="s">
        <v>210</v>
      </c>
      <c r="M199" s="0" t="s">
        <v>211</v>
      </c>
      <c r="N199" s="0" t="n">
        <v>1</v>
      </c>
      <c r="P199" s="0" t="s">
        <v>73</v>
      </c>
      <c r="R199" s="0" t="s">
        <v>211</v>
      </c>
      <c r="V199" s="0" t="s">
        <v>920</v>
      </c>
      <c r="W199" s="12" t="n">
        <v>0</v>
      </c>
      <c r="Y199" s="12" t="s">
        <v>439</v>
      </c>
      <c r="AG199" s="0" t="s">
        <v>5</v>
      </c>
      <c r="AL199" s="13" t="n">
        <v>0</v>
      </c>
      <c r="AM199" s="14" t="n">
        <v>0</v>
      </c>
      <c r="AO199" s="13" t="n">
        <v>0</v>
      </c>
      <c r="AR199" s="0" t="s">
        <v>921</v>
      </c>
      <c r="AZ199" s="0" t="s">
        <v>89</v>
      </c>
      <c r="BA199" s="0" t="s">
        <v>89</v>
      </c>
      <c r="BB199" s="0" t="s">
        <v>90</v>
      </c>
      <c r="BC199" s="0" t="n">
        <v>0</v>
      </c>
      <c r="BD199" s="15" t="s">
        <v>922</v>
      </c>
      <c r="BE199" s="37" t="s">
        <v>461</v>
      </c>
    </row>
    <row r="200" customFormat="false" ht="16.4" hidden="false" customHeight="false" outlineLevel="0" collapsed="false">
      <c r="A200" s="36" t="n">
        <f aca="false">IF(B200=0,"",MAX($A$3:A199)+1)</f>
        <v>154</v>
      </c>
      <c r="B200" s="36" t="n">
        <f aca="false">IF(OR(M200="FLETE",M200="FLETE ENVIO GARANTIA",M200="FLETE RECOLECCION GARANTIA",M200="COMPENSACION"),0,1)</f>
        <v>1</v>
      </c>
      <c r="C200" s="0" t="s">
        <v>923</v>
      </c>
      <c r="D200" s="10" t="n">
        <v>13926107</v>
      </c>
      <c r="E200" s="11" t="n">
        <v>45704</v>
      </c>
      <c r="F200" s="11" t="n">
        <v>45717</v>
      </c>
      <c r="G200" s="11" t="n">
        <v>45719</v>
      </c>
      <c r="I200" s="11" t="n">
        <v>45719</v>
      </c>
      <c r="J200" s="0" t="s">
        <v>282</v>
      </c>
      <c r="K200" s="0" t="s">
        <v>214</v>
      </c>
      <c r="L200" s="0" t="s">
        <v>924</v>
      </c>
      <c r="M200" s="0" t="s">
        <v>925</v>
      </c>
      <c r="N200" s="0" t="n">
        <v>1</v>
      </c>
      <c r="P200" s="0" t="s">
        <v>217</v>
      </c>
      <c r="Q200" s="0" t="s">
        <v>218</v>
      </c>
      <c r="R200" s="0" t="s">
        <v>517</v>
      </c>
      <c r="S200" s="0" t="s">
        <v>158</v>
      </c>
      <c r="T200" s="0" t="s">
        <v>719</v>
      </c>
      <c r="U200" s="0" t="s">
        <v>199</v>
      </c>
      <c r="V200" s="0" t="s">
        <v>926</v>
      </c>
      <c r="W200" s="12" t="n">
        <v>0</v>
      </c>
      <c r="Y200" s="12" t="s">
        <v>857</v>
      </c>
      <c r="Z200" s="0" t="s">
        <v>858</v>
      </c>
      <c r="AB200" s="0" t="n">
        <v>32326653</v>
      </c>
      <c r="AC200" s="0" t="s">
        <v>927</v>
      </c>
      <c r="AE200" s="0" t="n">
        <v>3104192269</v>
      </c>
      <c r="AF200" s="0" t="n">
        <v>665365</v>
      </c>
      <c r="AG200" s="0" t="s">
        <v>6</v>
      </c>
      <c r="AK200" s="0" t="s">
        <v>85</v>
      </c>
      <c r="AL200" s="13" t="n">
        <v>1255600</v>
      </c>
      <c r="AM200" s="14" t="n">
        <v>69.4462</v>
      </c>
      <c r="AN200" s="13" t="n">
        <v>456523.88</v>
      </c>
      <c r="AO200" s="13" t="n">
        <v>72890.37</v>
      </c>
      <c r="AP200" s="0" t="n">
        <v>0</v>
      </c>
      <c r="AR200" s="0" t="s">
        <v>928</v>
      </c>
      <c r="AS200" s="0" t="n">
        <v>1369571.64</v>
      </c>
      <c r="AT200" s="0" t="s">
        <v>441</v>
      </c>
      <c r="AU200" s="0" t="s">
        <v>444</v>
      </c>
      <c r="AV200" s="0" t="s">
        <v>445</v>
      </c>
      <c r="AX200" s="0" t="s">
        <v>438</v>
      </c>
      <c r="AY200" s="0" t="s">
        <v>440</v>
      </c>
      <c r="AZ200" s="0" t="s">
        <v>89</v>
      </c>
      <c r="BA200" s="0" t="s">
        <v>89</v>
      </c>
      <c r="BB200" s="0" t="s">
        <v>90</v>
      </c>
      <c r="BC200" s="0" t="n">
        <v>0</v>
      </c>
      <c r="BD200" s="15" t="s">
        <v>929</v>
      </c>
      <c r="BE200" s="37" t="s">
        <v>461</v>
      </c>
    </row>
    <row r="201" customFormat="false" ht="16.4" hidden="false" customHeight="false" outlineLevel="0" collapsed="false">
      <c r="A201" s="36" t="n">
        <f aca="false">IF(B201=0,"",MAX($A$3:A200)+1)</f>
        <v>155</v>
      </c>
      <c r="B201" s="36" t="n">
        <f aca="false">IF(OR(M201="FLETE",M201="FLETE ENVIO GARANTIA",M201="FLETE RECOLECCION GARANTIA",M201="COMPENSACION"),0,1)</f>
        <v>1</v>
      </c>
      <c r="D201" s="10" t="n">
        <v>13926107</v>
      </c>
      <c r="J201" s="0" t="s">
        <v>282</v>
      </c>
      <c r="K201" s="0" t="s">
        <v>529</v>
      </c>
      <c r="L201" s="0" t="s">
        <v>930</v>
      </c>
      <c r="M201" s="0" t="s">
        <v>931</v>
      </c>
      <c r="N201" s="0" t="n">
        <v>1</v>
      </c>
      <c r="P201" s="0" t="s">
        <v>217</v>
      </c>
      <c r="Q201" s="0" t="s">
        <v>541</v>
      </c>
      <c r="R201" s="0" t="s">
        <v>932</v>
      </c>
      <c r="T201" s="0" t="s">
        <v>198</v>
      </c>
      <c r="V201" s="0" t="s">
        <v>926</v>
      </c>
      <c r="W201" s="12" t="n">
        <v>0</v>
      </c>
      <c r="Y201" s="12" t="s">
        <v>857</v>
      </c>
      <c r="AG201" s="0" t="s">
        <v>6</v>
      </c>
      <c r="AL201" s="13" t="n">
        <v>1255600</v>
      </c>
      <c r="AM201" s="14" t="n">
        <v>69.4462</v>
      </c>
      <c r="AN201" s="13" t="n">
        <v>456523.88</v>
      </c>
      <c r="AO201" s="13" t="n">
        <v>72890.37</v>
      </c>
      <c r="AR201" s="0" t="s">
        <v>928</v>
      </c>
      <c r="AZ201" s="0" t="s">
        <v>89</v>
      </c>
      <c r="BA201" s="0" t="s">
        <v>89</v>
      </c>
      <c r="BB201" s="0" t="s">
        <v>90</v>
      </c>
      <c r="BC201" s="0" t="n">
        <v>0</v>
      </c>
      <c r="BD201" s="15" t="s">
        <v>929</v>
      </c>
      <c r="BE201" s="37" t="s">
        <v>461</v>
      </c>
    </row>
    <row r="202" customFormat="false" ht="16.4" hidden="false" customHeight="false" outlineLevel="0" collapsed="false">
      <c r="A202" s="36" t="n">
        <f aca="false">IF(B202=0,"",MAX($A$3:A201)+1)</f>
        <v>156</v>
      </c>
      <c r="B202" s="36" t="n">
        <f aca="false">IF(OR(M202="FLETE",M202="FLETE ENVIO GARANTIA",M202="FLETE RECOLECCION GARANTIA",M202="COMPENSACION"),0,1)</f>
        <v>1</v>
      </c>
      <c r="D202" s="10" t="n">
        <v>13926107</v>
      </c>
      <c r="J202" s="0" t="s">
        <v>282</v>
      </c>
      <c r="K202" s="0" t="s">
        <v>529</v>
      </c>
      <c r="L202" s="0" t="s">
        <v>569</v>
      </c>
      <c r="M202" s="0" t="s">
        <v>570</v>
      </c>
      <c r="N202" s="0" t="n">
        <v>1</v>
      </c>
      <c r="P202" s="0" t="s">
        <v>217</v>
      </c>
      <c r="Q202" s="0" t="s">
        <v>541</v>
      </c>
      <c r="R202" s="0" t="s">
        <v>571</v>
      </c>
      <c r="T202" s="0" t="s">
        <v>507</v>
      </c>
      <c r="V202" s="0" t="s">
        <v>926</v>
      </c>
      <c r="W202" s="12" t="n">
        <v>0</v>
      </c>
      <c r="Y202" s="12" t="s">
        <v>857</v>
      </c>
      <c r="AG202" s="0" t="s">
        <v>6</v>
      </c>
      <c r="AL202" s="13" t="n">
        <v>1255600</v>
      </c>
      <c r="AM202" s="14" t="n">
        <v>69.4462</v>
      </c>
      <c r="AN202" s="13" t="n">
        <v>456523.88</v>
      </c>
      <c r="AO202" s="13" t="n">
        <v>72890.37</v>
      </c>
      <c r="AR202" s="0" t="s">
        <v>928</v>
      </c>
      <c r="AZ202" s="0" t="s">
        <v>89</v>
      </c>
      <c r="BA202" s="0" t="s">
        <v>89</v>
      </c>
      <c r="BB202" s="0" t="s">
        <v>90</v>
      </c>
      <c r="BC202" s="0" t="n">
        <v>0</v>
      </c>
      <c r="BD202" s="15" t="s">
        <v>929</v>
      </c>
      <c r="BE202" s="37" t="s">
        <v>461</v>
      </c>
    </row>
    <row r="203" customFormat="false" ht="16.4" hidden="false" customHeight="false" outlineLevel="0" collapsed="false">
      <c r="A203" s="36" t="str">
        <f aca="false">IF(B203=0,"",MAX($A$3:A202)+1)</f>
        <v/>
      </c>
      <c r="B203" s="36" t="n">
        <f aca="false">IF(OR(M203="FLETE",M203="FLETE ENVIO GARANTIA",M203="FLETE RECOLECCION GARANTIA",M203="COMPENSACION"),0,1)</f>
        <v>0</v>
      </c>
      <c r="D203" s="10" t="n">
        <v>13926107</v>
      </c>
      <c r="J203" s="0" t="s">
        <v>282</v>
      </c>
      <c r="K203" s="0" t="s">
        <v>93</v>
      </c>
      <c r="L203" s="0" t="s">
        <v>210</v>
      </c>
      <c r="M203" s="0" t="s">
        <v>211</v>
      </c>
      <c r="N203" s="0" t="n">
        <v>1</v>
      </c>
      <c r="P203" s="0" t="s">
        <v>73</v>
      </c>
      <c r="R203" s="0" t="s">
        <v>211</v>
      </c>
      <c r="V203" s="0" t="s">
        <v>926</v>
      </c>
      <c r="W203" s="12" t="n">
        <v>0</v>
      </c>
      <c r="Y203" s="12" t="s">
        <v>857</v>
      </c>
      <c r="AG203" s="0" t="s">
        <v>6</v>
      </c>
      <c r="AL203" s="13" t="n">
        <v>0</v>
      </c>
      <c r="AM203" s="14" t="n">
        <v>0</v>
      </c>
      <c r="AO203" s="13" t="n">
        <v>0</v>
      </c>
      <c r="AR203" s="0" t="s">
        <v>928</v>
      </c>
      <c r="AZ203" s="0" t="s">
        <v>89</v>
      </c>
      <c r="BA203" s="0" t="s">
        <v>89</v>
      </c>
      <c r="BB203" s="0" t="s">
        <v>90</v>
      </c>
      <c r="BC203" s="0" t="n">
        <v>0</v>
      </c>
      <c r="BD203" s="15" t="s">
        <v>929</v>
      </c>
      <c r="BE203" s="37" t="s">
        <v>461</v>
      </c>
    </row>
    <row r="204" customFormat="false" ht="16.4" hidden="false" customHeight="false" outlineLevel="0" collapsed="false">
      <c r="A204" s="36" t="n">
        <f aca="false">IF(B204=0,"",MAX($A$3:A203)+1)</f>
        <v>157</v>
      </c>
      <c r="B204" s="36" t="n">
        <f aca="false">IF(OR(M204="FLETE",M204="FLETE ENVIO GARANTIA",M204="FLETE RECOLECCION GARANTIA",M204="COMPENSACION"),0,1)</f>
        <v>1</v>
      </c>
      <c r="C204" s="0" t="s">
        <v>933</v>
      </c>
      <c r="D204" s="10" t="n">
        <v>13926091</v>
      </c>
      <c r="E204" s="11" t="n">
        <v>45704</v>
      </c>
      <c r="F204" s="11" t="n">
        <v>45717</v>
      </c>
      <c r="G204" s="11" t="n">
        <v>45719</v>
      </c>
      <c r="I204" s="11" t="n">
        <v>45719</v>
      </c>
      <c r="J204" s="0" t="s">
        <v>282</v>
      </c>
      <c r="K204" s="0" t="s">
        <v>934</v>
      </c>
      <c r="L204" s="0" t="s">
        <v>935</v>
      </c>
      <c r="M204" s="0" t="s">
        <v>936</v>
      </c>
      <c r="N204" s="0" t="n">
        <v>1</v>
      </c>
      <c r="P204" s="0" t="s">
        <v>195</v>
      </c>
      <c r="Q204" s="0" t="s">
        <v>937</v>
      </c>
      <c r="R204" s="0" t="s">
        <v>938</v>
      </c>
      <c r="S204" s="0" t="s">
        <v>435</v>
      </c>
      <c r="T204" s="0" t="s">
        <v>388</v>
      </c>
      <c r="U204" s="0" t="s">
        <v>199</v>
      </c>
      <c r="V204" s="0" t="s">
        <v>939</v>
      </c>
      <c r="W204" s="12" t="n">
        <v>0</v>
      </c>
      <c r="Y204" s="12" t="s">
        <v>439</v>
      </c>
      <c r="Z204" s="0" t="s">
        <v>179</v>
      </c>
      <c r="AB204" s="0" t="n">
        <v>1118070946</v>
      </c>
      <c r="AC204" s="0" t="s">
        <v>458</v>
      </c>
      <c r="AE204" s="0" t="n">
        <v>3238079293</v>
      </c>
      <c r="AF204" s="0" t="n">
        <v>629205</v>
      </c>
      <c r="AG204" s="0" t="s">
        <v>5</v>
      </c>
      <c r="AK204" s="0" t="s">
        <v>85</v>
      </c>
      <c r="AL204" s="13" t="n">
        <v>181900</v>
      </c>
      <c r="AM204" s="14" t="n">
        <v>-40.6817</v>
      </c>
      <c r="AN204" s="13" t="n">
        <v>304521.01</v>
      </c>
      <c r="AO204" s="13" t="n">
        <v>48621</v>
      </c>
      <c r="AP204" s="0" t="n">
        <v>0</v>
      </c>
      <c r="AR204" s="0" t="s">
        <v>940</v>
      </c>
      <c r="AS204" s="0" t="n">
        <v>304521.01</v>
      </c>
      <c r="AT204" s="0" t="s">
        <v>441</v>
      </c>
      <c r="AU204" s="0" t="s">
        <v>444</v>
      </c>
      <c r="AV204" s="0" t="s">
        <v>445</v>
      </c>
      <c r="AX204" s="0" t="s">
        <v>438</v>
      </c>
      <c r="AY204" s="0" t="s">
        <v>440</v>
      </c>
      <c r="AZ204" s="0" t="s">
        <v>89</v>
      </c>
      <c r="BA204" s="0" t="s">
        <v>89</v>
      </c>
      <c r="BB204" s="0" t="s">
        <v>90</v>
      </c>
      <c r="BC204" s="0" t="n">
        <v>0</v>
      </c>
      <c r="BD204" s="15" t="s">
        <v>941</v>
      </c>
      <c r="BE204" s="37" t="s">
        <v>461</v>
      </c>
    </row>
    <row r="205" customFormat="false" ht="16.4" hidden="false" customHeight="false" outlineLevel="0" collapsed="false">
      <c r="A205" s="36" t="str">
        <f aca="false">IF(B205=0,"",MAX($A$3:A204)+1)</f>
        <v/>
      </c>
      <c r="B205" s="36" t="n">
        <f aca="false">IF(OR(M205="FLETE",M205="FLETE ENVIO GARANTIA",M205="FLETE RECOLECCION GARANTIA",M205="COMPENSACION"),0,1)</f>
        <v>0</v>
      </c>
      <c r="D205" s="10" t="n">
        <v>13926091</v>
      </c>
      <c r="J205" s="0" t="s">
        <v>282</v>
      </c>
      <c r="K205" s="0" t="s">
        <v>93</v>
      </c>
      <c r="L205" s="0" t="s">
        <v>210</v>
      </c>
      <c r="M205" s="0" t="s">
        <v>211</v>
      </c>
      <c r="N205" s="0" t="n">
        <v>1</v>
      </c>
      <c r="P205" s="0" t="s">
        <v>73</v>
      </c>
      <c r="R205" s="0" t="s">
        <v>211</v>
      </c>
      <c r="V205" s="0" t="s">
        <v>939</v>
      </c>
      <c r="W205" s="12" t="n">
        <v>0</v>
      </c>
      <c r="Y205" s="12" t="s">
        <v>439</v>
      </c>
      <c r="AG205" s="0" t="s">
        <v>5</v>
      </c>
      <c r="AL205" s="13" t="n">
        <v>0</v>
      </c>
      <c r="AM205" s="14" t="n">
        <v>0</v>
      </c>
      <c r="AO205" s="13" t="n">
        <v>0</v>
      </c>
      <c r="AR205" s="0" t="s">
        <v>940</v>
      </c>
      <c r="AZ205" s="0" t="s">
        <v>89</v>
      </c>
      <c r="BA205" s="0" t="s">
        <v>89</v>
      </c>
      <c r="BB205" s="0" t="s">
        <v>90</v>
      </c>
      <c r="BC205" s="0" t="n">
        <v>0</v>
      </c>
      <c r="BD205" s="15" t="s">
        <v>941</v>
      </c>
      <c r="BE205" s="37" t="s">
        <v>461</v>
      </c>
    </row>
    <row r="206" customFormat="false" ht="16.4" hidden="false" customHeight="false" outlineLevel="0" collapsed="false">
      <c r="A206" s="36" t="n">
        <f aca="false">IF(B206=0,"",MAX($A$3:A205)+1)</f>
        <v>158</v>
      </c>
      <c r="B206" s="36" t="n">
        <f aca="false">IF(OR(M206="FLETE",M206="FLETE ENVIO GARANTIA",M206="FLETE RECOLECCION GARANTIA",M206="COMPENSACION"),0,1)</f>
        <v>1</v>
      </c>
      <c r="C206" s="0" t="s">
        <v>942</v>
      </c>
      <c r="D206" s="10" t="n">
        <v>13926021</v>
      </c>
      <c r="E206" s="11" t="n">
        <v>45704</v>
      </c>
      <c r="F206" s="11" t="n">
        <v>45717</v>
      </c>
      <c r="G206" s="11" t="n">
        <v>45719</v>
      </c>
      <c r="I206" s="11" t="n">
        <v>45719</v>
      </c>
      <c r="J206" s="0" t="s">
        <v>282</v>
      </c>
      <c r="K206" s="0" t="s">
        <v>943</v>
      </c>
      <c r="L206" s="0" t="s">
        <v>944</v>
      </c>
      <c r="M206" s="0" t="s">
        <v>945</v>
      </c>
      <c r="N206" s="0" t="n">
        <v>1</v>
      </c>
      <c r="P206" s="0" t="s">
        <v>195</v>
      </c>
      <c r="Q206" s="0" t="s">
        <v>196</v>
      </c>
      <c r="R206" s="0" t="s">
        <v>946</v>
      </c>
      <c r="T206" s="0" t="s">
        <v>198</v>
      </c>
      <c r="U206" s="0" t="s">
        <v>199</v>
      </c>
      <c r="V206" s="0" t="s">
        <v>947</v>
      </c>
      <c r="W206" s="12" t="n">
        <v>0</v>
      </c>
      <c r="Y206" s="0" t="s">
        <v>948</v>
      </c>
      <c r="Z206" s="0" t="s">
        <v>949</v>
      </c>
      <c r="AB206" s="0" t="n">
        <v>42883394</v>
      </c>
      <c r="AC206" s="0" t="s">
        <v>950</v>
      </c>
      <c r="AE206" s="0" t="n">
        <v>3117113971</v>
      </c>
      <c r="AF206" s="0" t="n">
        <v>553769</v>
      </c>
      <c r="AG206" s="0" t="s">
        <v>6</v>
      </c>
      <c r="AK206" s="0" t="s">
        <v>85</v>
      </c>
      <c r="AL206" s="13" t="n">
        <v>881900</v>
      </c>
      <c r="AM206" s="14" t="n">
        <v>18.3694</v>
      </c>
      <c r="AN206" s="13" t="n">
        <v>856681.31</v>
      </c>
      <c r="AO206" s="13" t="n">
        <v>136781.05</v>
      </c>
      <c r="AP206" s="0" t="s">
        <v>951</v>
      </c>
      <c r="AR206" s="0" t="s">
        <v>952</v>
      </c>
      <c r="AS206" s="0" t="n">
        <v>856681.31</v>
      </c>
      <c r="AT206" s="0" t="s">
        <v>441</v>
      </c>
      <c r="AU206" s="0" t="s">
        <v>444</v>
      </c>
      <c r="AV206" s="0" t="s">
        <v>445</v>
      </c>
      <c r="AX206" s="0" t="s">
        <v>438</v>
      </c>
      <c r="AY206" s="0" t="s">
        <v>440</v>
      </c>
      <c r="AZ206" s="0" t="s">
        <v>89</v>
      </c>
      <c r="BA206" s="0" t="s">
        <v>89</v>
      </c>
      <c r="BB206" s="0" t="s">
        <v>90</v>
      </c>
      <c r="BC206" s="0" t="n">
        <v>0</v>
      </c>
      <c r="BD206" s="15" t="s">
        <v>953</v>
      </c>
      <c r="BE206" s="37" t="s">
        <v>461</v>
      </c>
    </row>
    <row r="207" customFormat="false" ht="16.4" hidden="false" customHeight="false" outlineLevel="0" collapsed="false">
      <c r="A207" s="36" t="str">
        <f aca="false">IF(B207=0,"",MAX($A$3:A206)+1)</f>
        <v/>
      </c>
      <c r="B207" s="36" t="n">
        <f aca="false">IF(OR(M207="FLETE",M207="FLETE ENVIO GARANTIA",M207="FLETE RECOLECCION GARANTIA",M207="COMPENSACION"),0,1)</f>
        <v>0</v>
      </c>
      <c r="D207" s="10" t="n">
        <v>13926021</v>
      </c>
      <c r="J207" s="0" t="s">
        <v>282</v>
      </c>
      <c r="K207" s="0" t="s">
        <v>93</v>
      </c>
      <c r="L207" s="0" t="s">
        <v>210</v>
      </c>
      <c r="M207" s="0" t="s">
        <v>211</v>
      </c>
      <c r="N207" s="0" t="n">
        <v>1</v>
      </c>
      <c r="P207" s="0" t="s">
        <v>73</v>
      </c>
      <c r="R207" s="0" t="s">
        <v>211</v>
      </c>
      <c r="V207" s="0" t="s">
        <v>947</v>
      </c>
      <c r="W207" s="12" t="n">
        <v>0</v>
      </c>
      <c r="Y207" s="12" t="s">
        <v>948</v>
      </c>
      <c r="AG207" s="0" t="s">
        <v>6</v>
      </c>
      <c r="AL207" s="13" t="n">
        <v>0</v>
      </c>
      <c r="AM207" s="14" t="n">
        <v>0</v>
      </c>
      <c r="AO207" s="13" t="n">
        <v>0</v>
      </c>
      <c r="AR207" s="0" t="s">
        <v>952</v>
      </c>
      <c r="AZ207" s="0" t="s">
        <v>89</v>
      </c>
      <c r="BA207" s="0" t="s">
        <v>89</v>
      </c>
      <c r="BB207" s="0" t="s">
        <v>90</v>
      </c>
      <c r="BC207" s="0" t="n">
        <v>0</v>
      </c>
      <c r="BD207" s="15" t="s">
        <v>953</v>
      </c>
      <c r="BE207" s="37" t="s">
        <v>461</v>
      </c>
    </row>
    <row r="208" customFormat="false" ht="16.4" hidden="false" customHeight="false" outlineLevel="0" collapsed="false">
      <c r="A208" s="36" t="n">
        <f aca="false">IF(B208=0,"",MAX($A$3:A207)+1)</f>
        <v>159</v>
      </c>
      <c r="B208" s="36" t="n">
        <f aca="false">IF(OR(M208="FLETE",M208="FLETE ENVIO GARANTIA",M208="FLETE RECOLECCION GARANTIA",M208="COMPENSACION"),0,1)</f>
        <v>1</v>
      </c>
      <c r="C208" s="0" t="s">
        <v>954</v>
      </c>
      <c r="D208" s="10" t="n">
        <v>13925960</v>
      </c>
      <c r="E208" s="11" t="n">
        <v>45704</v>
      </c>
      <c r="F208" s="11" t="n">
        <v>45717</v>
      </c>
      <c r="G208" s="11" t="n">
        <v>45719</v>
      </c>
      <c r="I208" s="11" t="n">
        <v>45719</v>
      </c>
      <c r="J208" s="0" t="s">
        <v>282</v>
      </c>
      <c r="K208" s="0" t="s">
        <v>955</v>
      </c>
      <c r="L208" s="0" t="s">
        <v>956</v>
      </c>
      <c r="M208" s="0" t="s">
        <v>957</v>
      </c>
      <c r="N208" s="0" t="n">
        <v>1</v>
      </c>
      <c r="P208" s="0" t="s">
        <v>217</v>
      </c>
      <c r="Q208" s="0" t="s">
        <v>958</v>
      </c>
      <c r="R208" s="0" t="s">
        <v>959</v>
      </c>
      <c r="S208" s="0" t="s">
        <v>454</v>
      </c>
      <c r="T208" s="0" t="s">
        <v>449</v>
      </c>
      <c r="U208" s="0" t="s">
        <v>199</v>
      </c>
      <c r="V208" s="0" t="s">
        <v>960</v>
      </c>
      <c r="W208" s="12" t="n">
        <v>0</v>
      </c>
      <c r="Y208" s="0" t="s">
        <v>961</v>
      </c>
      <c r="Z208" s="0" t="s">
        <v>962</v>
      </c>
      <c r="AB208" s="0" t="n">
        <v>339964</v>
      </c>
      <c r="AC208" s="0" t="s">
        <v>963</v>
      </c>
      <c r="AE208" s="0" t="n">
        <v>3166637796</v>
      </c>
      <c r="AF208" s="0" t="n">
        <v>446452</v>
      </c>
      <c r="AG208" s="0" t="s">
        <v>6</v>
      </c>
      <c r="AK208" s="0" t="s">
        <v>85</v>
      </c>
      <c r="AL208" s="13" t="n">
        <v>704900</v>
      </c>
      <c r="AM208" s="14" t="n">
        <v>10.3561</v>
      </c>
      <c r="AN208" s="13" t="n">
        <v>751960.82</v>
      </c>
      <c r="AO208" s="13" t="n">
        <v>120060.97</v>
      </c>
      <c r="AP208" s="0" t="n">
        <v>0</v>
      </c>
      <c r="AR208" s="0" t="s">
        <v>964</v>
      </c>
      <c r="AS208" s="0" t="n">
        <v>751960.82</v>
      </c>
      <c r="AT208" s="0" t="s">
        <v>441</v>
      </c>
      <c r="AU208" s="0" t="s">
        <v>444</v>
      </c>
      <c r="AV208" s="0" t="s">
        <v>445</v>
      </c>
      <c r="AX208" s="0" t="s">
        <v>438</v>
      </c>
      <c r="AY208" s="0" t="s">
        <v>440</v>
      </c>
      <c r="AZ208" s="0" t="s">
        <v>89</v>
      </c>
      <c r="BA208" s="0" t="s">
        <v>89</v>
      </c>
      <c r="BB208" s="0" t="s">
        <v>90</v>
      </c>
      <c r="BC208" s="0" t="n">
        <v>0</v>
      </c>
      <c r="BD208" s="15" t="s">
        <v>965</v>
      </c>
      <c r="BE208" s="37" t="s">
        <v>461</v>
      </c>
    </row>
    <row r="209" customFormat="false" ht="16.4" hidden="false" customHeight="false" outlineLevel="0" collapsed="false">
      <c r="A209" s="36" t="str">
        <f aca="false">IF(B209=0,"",MAX($A$3:A208)+1)</f>
        <v/>
      </c>
      <c r="B209" s="36" t="n">
        <f aca="false">IF(OR(M209="FLETE",M209="FLETE ENVIO GARANTIA",M209="FLETE RECOLECCION GARANTIA",M209="COMPENSACION"),0,1)</f>
        <v>0</v>
      </c>
      <c r="D209" s="10" t="n">
        <v>13925960</v>
      </c>
      <c r="J209" s="0" t="s">
        <v>282</v>
      </c>
      <c r="K209" s="0" t="s">
        <v>93</v>
      </c>
      <c r="L209" s="0" t="s">
        <v>210</v>
      </c>
      <c r="M209" s="0" t="s">
        <v>211</v>
      </c>
      <c r="N209" s="0" t="n">
        <v>1</v>
      </c>
      <c r="P209" s="0" t="s">
        <v>73</v>
      </c>
      <c r="R209" s="0" t="s">
        <v>211</v>
      </c>
      <c r="V209" s="0" t="s">
        <v>960</v>
      </c>
      <c r="W209" s="12" t="n">
        <v>0</v>
      </c>
      <c r="Y209" s="12" t="s">
        <v>961</v>
      </c>
      <c r="AG209" s="0" t="s">
        <v>6</v>
      </c>
      <c r="AL209" s="13" t="n">
        <v>0</v>
      </c>
      <c r="AM209" s="14" t="n">
        <v>0</v>
      </c>
      <c r="AO209" s="13" t="n">
        <v>0</v>
      </c>
      <c r="AR209" s="0" t="s">
        <v>964</v>
      </c>
      <c r="AZ209" s="0" t="s">
        <v>89</v>
      </c>
      <c r="BA209" s="0" t="s">
        <v>89</v>
      </c>
      <c r="BB209" s="0" t="s">
        <v>90</v>
      </c>
      <c r="BC209" s="0" t="n">
        <v>0</v>
      </c>
      <c r="BD209" s="15" t="s">
        <v>965</v>
      </c>
      <c r="BE209" s="37" t="s">
        <v>461</v>
      </c>
    </row>
    <row r="210" customFormat="false" ht="16.4" hidden="false" customHeight="false" outlineLevel="0" collapsed="false">
      <c r="A210" s="36" t="n">
        <f aca="false">IF(B210=0,"",MAX($A$3:A209)+1)</f>
        <v>160</v>
      </c>
      <c r="B210" s="36" t="n">
        <f aca="false">IF(OR(M210="FLETE",M210="FLETE ENVIO GARANTIA",M210="FLETE RECOLECCION GARANTIA",M210="COMPENSACION"),0,1)</f>
        <v>1</v>
      </c>
      <c r="C210" s="0" t="s">
        <v>966</v>
      </c>
      <c r="D210" s="10" t="n">
        <v>13925897</v>
      </c>
      <c r="E210" s="11" t="n">
        <v>45704</v>
      </c>
      <c r="F210" s="11" t="n">
        <v>45717</v>
      </c>
      <c r="G210" s="11" t="n">
        <v>45719</v>
      </c>
      <c r="I210" s="11" t="n">
        <v>45719</v>
      </c>
      <c r="J210" s="0" t="s">
        <v>282</v>
      </c>
      <c r="K210" s="0" t="s">
        <v>943</v>
      </c>
      <c r="L210" s="0" t="s">
        <v>967</v>
      </c>
      <c r="M210" s="0" t="s">
        <v>968</v>
      </c>
      <c r="N210" s="0" t="n">
        <v>1</v>
      </c>
      <c r="P210" s="0" t="s">
        <v>195</v>
      </c>
      <c r="Q210" s="0" t="s">
        <v>893</v>
      </c>
      <c r="R210" s="0" t="s">
        <v>969</v>
      </c>
      <c r="S210" s="0" t="s">
        <v>158</v>
      </c>
      <c r="T210" s="0" t="s">
        <v>449</v>
      </c>
      <c r="V210" s="0" t="s">
        <v>970</v>
      </c>
      <c r="W210" s="12" t="n">
        <v>0</v>
      </c>
      <c r="Y210" s="0" t="s">
        <v>857</v>
      </c>
      <c r="Z210" s="0" t="s">
        <v>858</v>
      </c>
      <c r="AB210" s="0" t="n">
        <v>1019067088</v>
      </c>
      <c r="AC210" s="0" t="s">
        <v>971</v>
      </c>
      <c r="AE210" s="0" t="n">
        <v>3176586066</v>
      </c>
      <c r="AF210" s="0" t="n">
        <v>690051</v>
      </c>
      <c r="AG210" s="0" t="s">
        <v>6</v>
      </c>
      <c r="AK210" s="0" t="s">
        <v>85</v>
      </c>
      <c r="AL210" s="13" t="n">
        <v>1183200</v>
      </c>
      <c r="AM210" s="14" t="n">
        <v>18.1119</v>
      </c>
      <c r="AN210" s="13" t="n">
        <v>1152991</v>
      </c>
      <c r="AO210" s="13" t="n">
        <v>184091</v>
      </c>
      <c r="AP210" s="0" t="n">
        <v>0</v>
      </c>
      <c r="AR210" s="0" t="s">
        <v>972</v>
      </c>
      <c r="AS210" s="0" t="n">
        <v>1152991</v>
      </c>
      <c r="AT210" s="0" t="s">
        <v>441</v>
      </c>
      <c r="AU210" s="0" t="s">
        <v>444</v>
      </c>
      <c r="AV210" s="0" t="s">
        <v>445</v>
      </c>
      <c r="AX210" s="0" t="s">
        <v>438</v>
      </c>
      <c r="AY210" s="0" t="s">
        <v>440</v>
      </c>
      <c r="AZ210" s="0" t="s">
        <v>89</v>
      </c>
      <c r="BA210" s="0" t="s">
        <v>89</v>
      </c>
      <c r="BB210" s="0" t="s">
        <v>90</v>
      </c>
      <c r="BC210" s="0" t="n">
        <v>0</v>
      </c>
      <c r="BD210" s="15" t="s">
        <v>973</v>
      </c>
      <c r="BE210" s="37" t="s">
        <v>461</v>
      </c>
    </row>
    <row r="211" customFormat="false" ht="16.4" hidden="false" customHeight="false" outlineLevel="0" collapsed="false">
      <c r="A211" s="36" t="str">
        <f aca="false">IF(B211=0,"",MAX($A$3:A210)+1)</f>
        <v/>
      </c>
      <c r="B211" s="36" t="n">
        <f aca="false">IF(OR(M211="FLETE",M211="FLETE ENVIO GARANTIA",M211="FLETE RECOLECCION GARANTIA",M211="COMPENSACION"),0,1)</f>
        <v>0</v>
      </c>
      <c r="D211" s="10" t="n">
        <v>13925897</v>
      </c>
      <c r="J211" s="0" t="s">
        <v>282</v>
      </c>
      <c r="K211" s="0" t="s">
        <v>93</v>
      </c>
      <c r="L211" s="0" t="s">
        <v>210</v>
      </c>
      <c r="M211" s="0" t="s">
        <v>211</v>
      </c>
      <c r="N211" s="0" t="n">
        <v>1</v>
      </c>
      <c r="P211" s="0" t="s">
        <v>73</v>
      </c>
      <c r="R211" s="0" t="s">
        <v>211</v>
      </c>
      <c r="V211" s="0" t="s">
        <v>970</v>
      </c>
      <c r="W211" s="12" t="n">
        <v>0</v>
      </c>
      <c r="Y211" s="12" t="s">
        <v>857</v>
      </c>
      <c r="AG211" s="0" t="s">
        <v>6</v>
      </c>
      <c r="AL211" s="13" t="n">
        <v>0</v>
      </c>
      <c r="AM211" s="14" t="n">
        <v>0</v>
      </c>
      <c r="AO211" s="13" t="n">
        <v>0</v>
      </c>
      <c r="AR211" s="0" t="s">
        <v>972</v>
      </c>
      <c r="AZ211" s="0" t="s">
        <v>89</v>
      </c>
      <c r="BA211" s="0" t="s">
        <v>89</v>
      </c>
      <c r="BB211" s="0" t="s">
        <v>90</v>
      </c>
      <c r="BC211" s="0" t="n">
        <v>0</v>
      </c>
      <c r="BD211" s="15" t="s">
        <v>973</v>
      </c>
      <c r="BE211" s="37" t="s">
        <v>461</v>
      </c>
    </row>
    <row r="212" customFormat="false" ht="16.4" hidden="false" customHeight="false" outlineLevel="0" collapsed="false">
      <c r="A212" s="36" t="n">
        <f aca="false">IF(B212=0,"",MAX($A$3:A211)+1)</f>
        <v>161</v>
      </c>
      <c r="B212" s="36" t="n">
        <f aca="false">IF(OR(M212="FLETE",M212="FLETE ENVIO GARANTIA",M212="FLETE RECOLECCION GARANTIA",M212="COMPENSACION"),0,1)</f>
        <v>1</v>
      </c>
      <c r="C212" s="0" t="s">
        <v>974</v>
      </c>
      <c r="D212" s="10" t="n">
        <v>13925871</v>
      </c>
      <c r="E212" s="11" t="n">
        <v>45704</v>
      </c>
      <c r="F212" s="11" t="n">
        <v>45717</v>
      </c>
      <c r="G212" s="11" t="n">
        <v>45719</v>
      </c>
      <c r="I212" s="11" t="n">
        <v>45719</v>
      </c>
      <c r="J212" s="0" t="s">
        <v>282</v>
      </c>
      <c r="K212" s="0" t="s">
        <v>214</v>
      </c>
      <c r="L212" s="0" t="s">
        <v>975</v>
      </c>
      <c r="M212" s="0" t="s">
        <v>976</v>
      </c>
      <c r="N212" s="0" t="n">
        <v>1</v>
      </c>
      <c r="P212" s="0" t="s">
        <v>217</v>
      </c>
      <c r="Q212" s="0" t="s">
        <v>218</v>
      </c>
      <c r="R212" s="0" t="s">
        <v>542</v>
      </c>
      <c r="S212" s="0" t="s">
        <v>591</v>
      </c>
      <c r="T212" s="0" t="s">
        <v>719</v>
      </c>
      <c r="U212" s="0" t="s">
        <v>199</v>
      </c>
      <c r="V212" s="0" t="s">
        <v>977</v>
      </c>
      <c r="W212" s="12" t="n">
        <v>0</v>
      </c>
      <c r="Y212" s="12" t="s">
        <v>439</v>
      </c>
      <c r="Z212" s="0" t="s">
        <v>179</v>
      </c>
      <c r="AB212" s="0" t="n">
        <v>1033817566</v>
      </c>
      <c r="AC212" s="0" t="s">
        <v>458</v>
      </c>
      <c r="AE212" s="0" t="n">
        <v>3238159092</v>
      </c>
      <c r="AF212" s="0" t="n">
        <v>479777</v>
      </c>
      <c r="AG212" s="0" t="s">
        <v>5</v>
      </c>
      <c r="AK212" s="0" t="s">
        <v>85</v>
      </c>
      <c r="AL212" s="13" t="n">
        <v>1001900</v>
      </c>
      <c r="AM212" s="14" t="n">
        <v>25.4516</v>
      </c>
      <c r="AN212" s="13" t="n">
        <v>888811.5</v>
      </c>
      <c r="AO212" s="13" t="n">
        <v>141911.08</v>
      </c>
      <c r="AP212" s="0" t="s">
        <v>978</v>
      </c>
      <c r="AR212" s="0" t="s">
        <v>979</v>
      </c>
      <c r="AS212" s="0" t="n">
        <v>888811.5</v>
      </c>
      <c r="AT212" s="0" t="s">
        <v>441</v>
      </c>
      <c r="AU212" s="0" t="s">
        <v>444</v>
      </c>
      <c r="AV212" s="0" t="s">
        <v>445</v>
      </c>
      <c r="AX212" s="0" t="s">
        <v>438</v>
      </c>
      <c r="AY212" s="0" t="s">
        <v>440</v>
      </c>
      <c r="AZ212" s="0" t="s">
        <v>89</v>
      </c>
      <c r="BA212" s="0" t="s">
        <v>89</v>
      </c>
      <c r="BB212" s="0" t="s">
        <v>90</v>
      </c>
      <c r="BC212" s="0" t="n">
        <v>0</v>
      </c>
      <c r="BD212" s="15" t="s">
        <v>980</v>
      </c>
      <c r="BE212" s="37" t="s">
        <v>461</v>
      </c>
    </row>
    <row r="213" customFormat="false" ht="16.4" hidden="false" customHeight="false" outlineLevel="0" collapsed="false">
      <c r="A213" s="36" t="str">
        <f aca="false">IF(B213=0,"",MAX($A$3:A212)+1)</f>
        <v/>
      </c>
      <c r="B213" s="36" t="n">
        <f aca="false">IF(OR(M213="FLETE",M213="FLETE ENVIO GARANTIA",M213="FLETE RECOLECCION GARANTIA",M213="COMPENSACION"),0,1)</f>
        <v>0</v>
      </c>
      <c r="D213" s="10" t="n">
        <v>13925871</v>
      </c>
      <c r="J213" s="0" t="s">
        <v>282</v>
      </c>
      <c r="K213" s="0" t="s">
        <v>93</v>
      </c>
      <c r="L213" s="0" t="s">
        <v>210</v>
      </c>
      <c r="M213" s="0" t="s">
        <v>211</v>
      </c>
      <c r="N213" s="0" t="n">
        <v>1</v>
      </c>
      <c r="P213" s="0" t="s">
        <v>73</v>
      </c>
      <c r="R213" s="0" t="s">
        <v>211</v>
      </c>
      <c r="V213" s="0" t="s">
        <v>977</v>
      </c>
      <c r="W213" s="12" t="n">
        <v>0</v>
      </c>
      <c r="Y213" s="0" t="s">
        <v>439</v>
      </c>
      <c r="AG213" s="0" t="s">
        <v>5</v>
      </c>
      <c r="AL213" s="13" t="n">
        <v>0</v>
      </c>
      <c r="AM213" s="14" t="n">
        <v>0</v>
      </c>
      <c r="AO213" s="13" t="n">
        <v>0</v>
      </c>
      <c r="AR213" s="0" t="s">
        <v>979</v>
      </c>
      <c r="AZ213" s="0" t="s">
        <v>89</v>
      </c>
      <c r="BA213" s="0" t="s">
        <v>89</v>
      </c>
      <c r="BB213" s="0" t="s">
        <v>90</v>
      </c>
      <c r="BC213" s="0" t="n">
        <v>0</v>
      </c>
      <c r="BD213" s="15" t="s">
        <v>980</v>
      </c>
      <c r="BE213" s="37" t="s">
        <v>461</v>
      </c>
    </row>
    <row r="214" customFormat="false" ht="16.4" hidden="false" customHeight="false" outlineLevel="0" collapsed="false">
      <c r="A214" s="36" t="n">
        <f aca="false">IF(B214=0,"",MAX($A$3:A213)+1)</f>
        <v>162</v>
      </c>
      <c r="B214" s="36" t="n">
        <f aca="false">IF(OR(M214="FLETE",M214="FLETE ENVIO GARANTIA",M214="FLETE RECOLECCION GARANTIA",M214="COMPENSACION"),0,1)</f>
        <v>1</v>
      </c>
      <c r="C214" s="0" t="s">
        <v>981</v>
      </c>
      <c r="D214" s="10" t="n">
        <v>7423292</v>
      </c>
      <c r="E214" s="11" t="n">
        <v>45703</v>
      </c>
      <c r="F214" s="11" t="n">
        <v>45717</v>
      </c>
      <c r="G214" s="11" t="n">
        <v>45719</v>
      </c>
      <c r="I214" s="11" t="n">
        <v>45722</v>
      </c>
      <c r="J214" s="0" t="s">
        <v>816</v>
      </c>
      <c r="K214" s="0" t="s">
        <v>214</v>
      </c>
      <c r="L214" s="0" t="s">
        <v>982</v>
      </c>
      <c r="M214" s="0" t="s">
        <v>983</v>
      </c>
      <c r="N214" s="0" t="n">
        <v>1</v>
      </c>
      <c r="P214" s="0" t="s">
        <v>217</v>
      </c>
      <c r="Q214" s="0" t="s">
        <v>218</v>
      </c>
      <c r="R214" s="0" t="s">
        <v>984</v>
      </c>
      <c r="S214" s="0" t="s">
        <v>435</v>
      </c>
      <c r="T214" s="0" t="s">
        <v>513</v>
      </c>
      <c r="U214" s="0" t="s">
        <v>199</v>
      </c>
      <c r="V214" s="0" t="s">
        <v>985</v>
      </c>
      <c r="W214" s="12" t="n">
        <v>0</v>
      </c>
      <c r="Y214" s="12" t="s">
        <v>986</v>
      </c>
      <c r="Z214" s="0" t="s">
        <v>202</v>
      </c>
      <c r="AA214" s="12" t="n">
        <v>12763278657</v>
      </c>
      <c r="AB214" s="0" t="n">
        <v>79465233</v>
      </c>
      <c r="AC214" s="0" t="s">
        <v>987</v>
      </c>
      <c r="AE214" s="0" t="n">
        <v>3168770510</v>
      </c>
      <c r="AF214" s="0" t="n">
        <v>34671148</v>
      </c>
      <c r="AG214" s="0" t="s">
        <v>10</v>
      </c>
      <c r="AK214" s="0" t="s">
        <v>85</v>
      </c>
      <c r="AL214" s="13" t="n">
        <v>798900</v>
      </c>
      <c r="AM214" s="14" t="n">
        <v>-4.0055</v>
      </c>
      <c r="AN214" s="13" t="n">
        <v>988770.93</v>
      </c>
      <c r="AO214" s="13" t="n">
        <v>157870.99</v>
      </c>
      <c r="AP214" s="0" t="n">
        <v>0</v>
      </c>
      <c r="AR214" s="0" t="s">
        <v>988</v>
      </c>
      <c r="AS214" s="0" t="n">
        <v>988770.93</v>
      </c>
      <c r="AT214" s="0" t="s">
        <v>824</v>
      </c>
      <c r="AU214" s="0" t="s">
        <v>444</v>
      </c>
      <c r="AW214" s="0" t="s">
        <v>825</v>
      </c>
      <c r="AX214" s="0" t="s">
        <v>826</v>
      </c>
      <c r="AY214" s="0" t="s">
        <v>827</v>
      </c>
      <c r="AZ214" s="0" t="s">
        <v>89</v>
      </c>
      <c r="BA214" s="0" t="s">
        <v>89</v>
      </c>
      <c r="BB214" s="0" t="s">
        <v>90</v>
      </c>
      <c r="BC214" s="0" t="n">
        <v>0</v>
      </c>
      <c r="BD214" s="15" t="s">
        <v>989</v>
      </c>
      <c r="BE214" s="37" t="s">
        <v>829</v>
      </c>
    </row>
    <row r="215" customFormat="false" ht="16.4" hidden="false" customHeight="false" outlineLevel="0" collapsed="false">
      <c r="A215" s="36" t="str">
        <f aca="false">IF(B215=0,"",MAX($A$3:A214)+1)</f>
        <v/>
      </c>
      <c r="B215" s="36" t="n">
        <f aca="false">IF(OR(M215="FLETE",M215="FLETE ENVIO GARANTIA",M215="FLETE RECOLECCION GARANTIA",M215="COMPENSACION"),0,1)</f>
        <v>0</v>
      </c>
      <c r="D215" s="10" t="n">
        <v>7423292</v>
      </c>
      <c r="J215" s="0" t="s">
        <v>816</v>
      </c>
      <c r="K215" s="0" t="s">
        <v>93</v>
      </c>
      <c r="L215" s="0" t="s">
        <v>210</v>
      </c>
      <c r="M215" s="0" t="s">
        <v>211</v>
      </c>
      <c r="N215" s="0" t="n">
        <v>1</v>
      </c>
      <c r="P215" s="0" t="s">
        <v>73</v>
      </c>
      <c r="R215" s="0" t="s">
        <v>211</v>
      </c>
      <c r="V215" s="0" t="s">
        <v>985</v>
      </c>
      <c r="W215" s="12" t="n">
        <v>0</v>
      </c>
      <c r="Y215" s="0" t="s">
        <v>986</v>
      </c>
      <c r="AG215" s="0" t="s">
        <v>10</v>
      </c>
      <c r="AL215" s="13" t="n">
        <v>0</v>
      </c>
      <c r="AM215" s="14" t="n">
        <v>0</v>
      </c>
      <c r="AO215" s="13" t="n">
        <v>0</v>
      </c>
      <c r="AR215" s="0" t="s">
        <v>988</v>
      </c>
      <c r="AZ215" s="0" t="s">
        <v>89</v>
      </c>
      <c r="BA215" s="0" t="s">
        <v>89</v>
      </c>
      <c r="BB215" s="0" t="s">
        <v>90</v>
      </c>
      <c r="BC215" s="0" t="n">
        <v>0</v>
      </c>
      <c r="BD215" s="15" t="s">
        <v>989</v>
      </c>
      <c r="BE215" s="37" t="s">
        <v>829</v>
      </c>
    </row>
    <row r="216" customFormat="false" ht="16.4" hidden="false" customHeight="false" outlineLevel="0" collapsed="false">
      <c r="A216" s="36" t="n">
        <f aca="false">IF(B216=0,"",MAX($A$3:A215)+1)</f>
        <v>163</v>
      </c>
      <c r="B216" s="36" t="n">
        <f aca="false">IF(OR(M216="FLETE",M216="FLETE ENVIO GARANTIA",M216="FLETE RECOLECCION GARANTIA",M216="COMPENSACION"),0,1)</f>
        <v>1</v>
      </c>
      <c r="C216" s="0" t="s">
        <v>990</v>
      </c>
      <c r="D216" s="10" t="n">
        <v>13925521</v>
      </c>
      <c r="E216" s="11" t="n">
        <v>45703</v>
      </c>
      <c r="F216" s="11" t="n">
        <v>45717</v>
      </c>
      <c r="G216" s="11" t="n">
        <v>45719</v>
      </c>
      <c r="I216" s="11" t="n">
        <v>45719</v>
      </c>
      <c r="J216" s="0" t="s">
        <v>282</v>
      </c>
      <c r="K216" s="0" t="s">
        <v>214</v>
      </c>
      <c r="L216" s="0" t="s">
        <v>991</v>
      </c>
      <c r="M216" s="0" t="s">
        <v>992</v>
      </c>
      <c r="N216" s="0" t="n">
        <v>1</v>
      </c>
      <c r="P216" s="0" t="s">
        <v>217</v>
      </c>
      <c r="Q216" s="0" t="s">
        <v>218</v>
      </c>
      <c r="R216" s="0" t="s">
        <v>993</v>
      </c>
      <c r="S216" s="0" t="s">
        <v>435</v>
      </c>
      <c r="T216" s="0" t="s">
        <v>455</v>
      </c>
      <c r="U216" s="0" t="s">
        <v>994</v>
      </c>
      <c r="V216" s="0" t="s">
        <v>995</v>
      </c>
      <c r="W216" s="12" t="n">
        <v>0</v>
      </c>
      <c r="Y216" s="12" t="s">
        <v>439</v>
      </c>
      <c r="Z216" s="0" t="s">
        <v>179</v>
      </c>
      <c r="AB216" s="0" t="n">
        <v>15518880</v>
      </c>
      <c r="AC216" s="0" t="s">
        <v>458</v>
      </c>
      <c r="AE216" s="0" t="n">
        <v>3116043318</v>
      </c>
      <c r="AF216" s="0" t="n">
        <v>663533</v>
      </c>
      <c r="AG216" s="0" t="s">
        <v>5</v>
      </c>
      <c r="AK216" s="0" t="s">
        <v>85</v>
      </c>
      <c r="AL216" s="13" t="n">
        <v>1437900</v>
      </c>
      <c r="AM216" s="14" t="n">
        <v>15.7174</v>
      </c>
      <c r="AN216" s="13" t="n">
        <v>1442160.42</v>
      </c>
      <c r="AO216" s="13" t="n">
        <v>230260.91</v>
      </c>
      <c r="AP216" s="0" t="n">
        <v>0</v>
      </c>
      <c r="AR216" s="0" t="s">
        <v>996</v>
      </c>
      <c r="AS216" s="0" t="n">
        <v>1442160.42</v>
      </c>
      <c r="AT216" s="0" t="s">
        <v>441</v>
      </c>
      <c r="AU216" s="0" t="s">
        <v>444</v>
      </c>
      <c r="AV216" s="0" t="s">
        <v>445</v>
      </c>
      <c r="AX216" s="0" t="s">
        <v>438</v>
      </c>
      <c r="AY216" s="0" t="s">
        <v>440</v>
      </c>
      <c r="AZ216" s="0" t="s">
        <v>89</v>
      </c>
      <c r="BA216" s="0" t="s">
        <v>89</v>
      </c>
      <c r="BB216" s="0" t="s">
        <v>90</v>
      </c>
      <c r="BC216" s="0" t="s">
        <v>241</v>
      </c>
      <c r="BD216" s="15" t="s">
        <v>997</v>
      </c>
      <c r="BE216" s="37" t="s">
        <v>461</v>
      </c>
    </row>
    <row r="217" customFormat="false" ht="16.4" hidden="false" customHeight="false" outlineLevel="0" collapsed="false">
      <c r="A217" s="36" t="str">
        <f aca="false">IF(B217=0,"",MAX($A$3:A216)+1)</f>
        <v/>
      </c>
      <c r="B217" s="36" t="n">
        <f aca="false">IF(OR(M217="FLETE",M217="FLETE ENVIO GARANTIA",M217="FLETE RECOLECCION GARANTIA",M217="COMPENSACION"),0,1)</f>
        <v>0</v>
      </c>
      <c r="D217" s="10" t="n">
        <v>13925521</v>
      </c>
      <c r="J217" s="0" t="s">
        <v>282</v>
      </c>
      <c r="K217" s="0" t="s">
        <v>93</v>
      </c>
      <c r="L217" s="0" t="s">
        <v>210</v>
      </c>
      <c r="M217" s="0" t="s">
        <v>211</v>
      </c>
      <c r="N217" s="0" t="n">
        <v>1</v>
      </c>
      <c r="P217" s="0" t="s">
        <v>73</v>
      </c>
      <c r="R217" s="0" t="s">
        <v>211</v>
      </c>
      <c r="V217" s="0" t="s">
        <v>995</v>
      </c>
      <c r="W217" s="12" t="n">
        <v>0</v>
      </c>
      <c r="Y217" s="0" t="s">
        <v>439</v>
      </c>
      <c r="AG217" s="0" t="s">
        <v>5</v>
      </c>
      <c r="AL217" s="13" t="n">
        <v>0</v>
      </c>
      <c r="AM217" s="14" t="n">
        <v>0</v>
      </c>
      <c r="AO217" s="13" t="n">
        <v>0</v>
      </c>
      <c r="AR217" s="0" t="s">
        <v>996</v>
      </c>
      <c r="AZ217" s="0" t="s">
        <v>89</v>
      </c>
      <c r="BA217" s="0" t="s">
        <v>89</v>
      </c>
      <c r="BB217" s="0" t="s">
        <v>90</v>
      </c>
      <c r="BC217" s="0" t="s">
        <v>241</v>
      </c>
      <c r="BD217" s="15" t="s">
        <v>997</v>
      </c>
      <c r="BE217" s="37" t="s">
        <v>461</v>
      </c>
    </row>
    <row r="218" customFormat="false" ht="16.4" hidden="false" customHeight="false" outlineLevel="0" collapsed="false">
      <c r="A218" s="36" t="n">
        <f aca="false">IF(B218=0,"",MAX($A$3:A217)+1)</f>
        <v>164</v>
      </c>
      <c r="B218" s="36" t="n">
        <f aca="false">IF(OR(M218="FLETE",M218="FLETE ENVIO GARANTIA",M218="FLETE RECOLECCION GARANTIA",M218="COMPENSACION"),0,1)</f>
        <v>1</v>
      </c>
      <c r="C218" s="0" t="s">
        <v>998</v>
      </c>
      <c r="D218" s="10" t="n">
        <v>13924861</v>
      </c>
      <c r="E218" s="11" t="n">
        <v>45703</v>
      </c>
      <c r="F218" s="11" t="n">
        <v>45717</v>
      </c>
      <c r="G218" s="11" t="n">
        <v>45719</v>
      </c>
      <c r="I218" s="11" t="n">
        <v>45719</v>
      </c>
      <c r="J218" s="0" t="s">
        <v>282</v>
      </c>
      <c r="K218" s="0" t="s">
        <v>135</v>
      </c>
      <c r="L218" s="0" t="s">
        <v>830</v>
      </c>
      <c r="M218" s="0" t="s">
        <v>831</v>
      </c>
      <c r="N218" s="0" t="n">
        <v>3</v>
      </c>
      <c r="P218" s="0" t="s">
        <v>138</v>
      </c>
      <c r="Q218" s="0" t="s">
        <v>139</v>
      </c>
      <c r="R218" s="0" t="s">
        <v>832</v>
      </c>
      <c r="T218" s="0" t="s">
        <v>198</v>
      </c>
      <c r="U218" s="0" t="s">
        <v>199</v>
      </c>
      <c r="V218" s="0" t="s">
        <v>999</v>
      </c>
      <c r="W218" s="12" t="n">
        <v>0</v>
      </c>
      <c r="Y218" s="12" t="s">
        <v>439</v>
      </c>
      <c r="Z218" s="0" t="s">
        <v>179</v>
      </c>
      <c r="AB218" s="0" t="n">
        <v>901260067</v>
      </c>
      <c r="AC218" s="0" t="s">
        <v>458</v>
      </c>
      <c r="AE218" s="0" t="n">
        <v>3148588077</v>
      </c>
      <c r="AF218" s="0" t="n">
        <v>341493</v>
      </c>
      <c r="AG218" s="0" t="s">
        <v>5</v>
      </c>
      <c r="AK218" s="0" t="s">
        <v>85</v>
      </c>
      <c r="AL218" s="13" t="n">
        <v>324900</v>
      </c>
      <c r="AM218" s="14" t="n">
        <v>-9.5414</v>
      </c>
      <c r="AN218" s="13" t="n">
        <v>1270563.04</v>
      </c>
      <c r="AO218" s="13" t="n">
        <v>202863.01</v>
      </c>
      <c r="AP218" s="0" t="n">
        <v>0</v>
      </c>
      <c r="AR218" s="0" t="s">
        <v>1000</v>
      </c>
      <c r="AS218" s="0" t="n">
        <v>1270563.04</v>
      </c>
      <c r="AT218" s="0" t="s">
        <v>441</v>
      </c>
      <c r="AU218" s="0" t="s">
        <v>444</v>
      </c>
      <c r="AV218" s="0" t="s">
        <v>445</v>
      </c>
      <c r="AX218" s="0" t="s">
        <v>438</v>
      </c>
      <c r="AY218" s="0" t="s">
        <v>440</v>
      </c>
      <c r="AZ218" s="0" t="s">
        <v>89</v>
      </c>
      <c r="BA218" s="0" t="s">
        <v>89</v>
      </c>
      <c r="BB218" s="0" t="s">
        <v>90</v>
      </c>
      <c r="BC218" s="0" t="s">
        <v>241</v>
      </c>
      <c r="BD218" s="15" t="s">
        <v>1001</v>
      </c>
      <c r="BE218" s="37" t="s">
        <v>461</v>
      </c>
    </row>
    <row r="219" customFormat="false" ht="16.4" hidden="false" customHeight="false" outlineLevel="0" collapsed="false">
      <c r="A219" s="36" t="str">
        <f aca="false">IF(B219=0,"",MAX($A$3:A218)+1)</f>
        <v/>
      </c>
      <c r="B219" s="36" t="n">
        <f aca="false">IF(OR(M219="FLETE",M219="FLETE ENVIO GARANTIA",M219="FLETE RECOLECCION GARANTIA",M219="COMPENSACION"),0,1)</f>
        <v>0</v>
      </c>
      <c r="D219" s="10" t="n">
        <v>13924861</v>
      </c>
      <c r="J219" s="0" t="s">
        <v>282</v>
      </c>
      <c r="K219" s="0" t="s">
        <v>93</v>
      </c>
      <c r="L219" s="0" t="s">
        <v>210</v>
      </c>
      <c r="M219" s="0" t="s">
        <v>211</v>
      </c>
      <c r="N219" s="0" t="n">
        <v>1</v>
      </c>
      <c r="P219" s="0" t="s">
        <v>73</v>
      </c>
      <c r="R219" s="0" t="s">
        <v>211</v>
      </c>
      <c r="V219" s="0" t="s">
        <v>999</v>
      </c>
      <c r="W219" s="12" t="n">
        <v>0</v>
      </c>
      <c r="Y219" s="0" t="s">
        <v>439</v>
      </c>
      <c r="AG219" s="0" t="s">
        <v>5</v>
      </c>
      <c r="AL219" s="13" t="n">
        <v>0</v>
      </c>
      <c r="AM219" s="14" t="n">
        <v>0</v>
      </c>
      <c r="AO219" s="13" t="n">
        <v>0</v>
      </c>
      <c r="AR219" s="0" t="s">
        <v>1000</v>
      </c>
      <c r="AZ219" s="0" t="s">
        <v>89</v>
      </c>
      <c r="BA219" s="0" t="s">
        <v>89</v>
      </c>
      <c r="BB219" s="0" t="s">
        <v>90</v>
      </c>
      <c r="BC219" s="0" t="s">
        <v>241</v>
      </c>
      <c r="BD219" s="15" t="s">
        <v>1001</v>
      </c>
      <c r="BE219" s="37" t="s">
        <v>461</v>
      </c>
    </row>
    <row r="220" customFormat="false" ht="16.4" hidden="false" customHeight="false" outlineLevel="0" collapsed="false">
      <c r="A220" s="36" t="n">
        <f aca="false">IF(B220=0,"",MAX($A$3:A219)+1)</f>
        <v>165</v>
      </c>
      <c r="B220" s="36" t="n">
        <f aca="false">IF(OR(M220="FLETE",M220="FLETE ENVIO GARANTIA",M220="FLETE RECOLECCION GARANTIA",M220="COMPENSACION"),0,1)</f>
        <v>1</v>
      </c>
      <c r="C220" s="0" t="s">
        <v>1002</v>
      </c>
      <c r="D220" s="10" t="n">
        <v>13921680</v>
      </c>
      <c r="E220" s="11" t="n">
        <v>45702</v>
      </c>
      <c r="F220" s="11" t="n">
        <v>45717</v>
      </c>
      <c r="G220" s="11" t="n">
        <v>45719</v>
      </c>
      <c r="I220" s="11" t="n">
        <v>45719</v>
      </c>
      <c r="J220" s="0" t="s">
        <v>282</v>
      </c>
      <c r="K220" s="0" t="s">
        <v>214</v>
      </c>
      <c r="L220" s="0" t="s">
        <v>1003</v>
      </c>
      <c r="M220" s="0" t="s">
        <v>1004</v>
      </c>
      <c r="N220" s="0" t="n">
        <v>1</v>
      </c>
      <c r="P220" s="0" t="s">
        <v>217</v>
      </c>
      <c r="Q220" s="0" t="s">
        <v>218</v>
      </c>
      <c r="R220" s="0" t="s">
        <v>1005</v>
      </c>
      <c r="S220" s="0" t="s">
        <v>591</v>
      </c>
      <c r="T220" s="0" t="s">
        <v>221</v>
      </c>
      <c r="V220" s="0" t="s">
        <v>1006</v>
      </c>
      <c r="W220" s="12" t="n">
        <v>0</v>
      </c>
      <c r="Y220" s="12" t="s">
        <v>1007</v>
      </c>
      <c r="Z220" s="0" t="s">
        <v>949</v>
      </c>
      <c r="AB220" s="0" t="n">
        <v>70567389</v>
      </c>
      <c r="AC220" s="0" t="s">
        <v>1008</v>
      </c>
      <c r="AE220" s="0" t="n">
        <v>3116191763</v>
      </c>
      <c r="AF220" s="0" t="n">
        <v>629186</v>
      </c>
      <c r="AG220" s="0" t="s">
        <v>6</v>
      </c>
      <c r="AK220" s="0" t="s">
        <v>85</v>
      </c>
      <c r="AL220" s="13" t="n">
        <v>560900</v>
      </c>
      <c r="AM220" s="14" t="n">
        <v>-12.8365</v>
      </c>
      <c r="AN220" s="13" t="n">
        <v>753150.92</v>
      </c>
      <c r="AO220" s="13" t="n">
        <v>120250.99</v>
      </c>
      <c r="AP220" s="0" t="s">
        <v>1009</v>
      </c>
      <c r="AR220" s="0" t="s">
        <v>1010</v>
      </c>
      <c r="AS220" s="0" t="n">
        <v>753150.92</v>
      </c>
      <c r="AT220" s="0" t="s">
        <v>441</v>
      </c>
      <c r="AU220" s="0" t="s">
        <v>444</v>
      </c>
      <c r="AV220" s="0" t="s">
        <v>445</v>
      </c>
      <c r="AX220" s="0" t="s">
        <v>438</v>
      </c>
      <c r="AY220" s="0" t="s">
        <v>440</v>
      </c>
      <c r="AZ220" s="0" t="s">
        <v>89</v>
      </c>
      <c r="BA220" s="0" t="s">
        <v>89</v>
      </c>
      <c r="BB220" s="0" t="s">
        <v>90</v>
      </c>
      <c r="BC220" s="0" t="s">
        <v>241</v>
      </c>
      <c r="BD220" s="15" t="s">
        <v>1011</v>
      </c>
      <c r="BE220" s="37" t="s">
        <v>461</v>
      </c>
    </row>
    <row r="221" customFormat="false" ht="16.4" hidden="false" customHeight="false" outlineLevel="0" collapsed="false">
      <c r="A221" s="36" t="str">
        <f aca="false">IF(B221=0,"",MAX($A$3:A220)+1)</f>
        <v/>
      </c>
      <c r="B221" s="36" t="n">
        <f aca="false">IF(OR(M221="FLETE",M221="FLETE ENVIO GARANTIA",M221="FLETE RECOLECCION GARANTIA",M221="COMPENSACION"),0,1)</f>
        <v>0</v>
      </c>
      <c r="D221" s="10" t="n">
        <v>13921680</v>
      </c>
      <c r="J221" s="0" t="s">
        <v>282</v>
      </c>
      <c r="K221" s="0" t="s">
        <v>93</v>
      </c>
      <c r="L221" s="0" t="s">
        <v>210</v>
      </c>
      <c r="M221" s="0" t="s">
        <v>211</v>
      </c>
      <c r="N221" s="0" t="n">
        <v>1</v>
      </c>
      <c r="P221" s="0" t="s">
        <v>73</v>
      </c>
      <c r="R221" s="0" t="s">
        <v>211</v>
      </c>
      <c r="V221" s="0" t="s">
        <v>1006</v>
      </c>
      <c r="W221" s="12" t="n">
        <v>0</v>
      </c>
      <c r="Y221" s="12" t="s">
        <v>1007</v>
      </c>
      <c r="AG221" s="0" t="s">
        <v>6</v>
      </c>
      <c r="AL221" s="13" t="n">
        <v>0</v>
      </c>
      <c r="AM221" s="14" t="n">
        <v>0</v>
      </c>
      <c r="AO221" s="13" t="n">
        <v>0</v>
      </c>
      <c r="AR221" s="0" t="s">
        <v>1010</v>
      </c>
      <c r="AZ221" s="0" t="s">
        <v>89</v>
      </c>
      <c r="BA221" s="0" t="s">
        <v>89</v>
      </c>
      <c r="BB221" s="0" t="s">
        <v>90</v>
      </c>
      <c r="BC221" s="0" t="s">
        <v>241</v>
      </c>
      <c r="BD221" s="15" t="s">
        <v>1011</v>
      </c>
      <c r="BE221" s="37" t="s">
        <v>461</v>
      </c>
    </row>
    <row r="222" customFormat="false" ht="16.4" hidden="false" customHeight="false" outlineLevel="0" collapsed="false">
      <c r="A222" s="36" t="n">
        <f aca="false">IF(B222=0,"",MAX($A$3:A221)+1)</f>
        <v>166</v>
      </c>
      <c r="B222" s="36" t="n">
        <f aca="false">IF(OR(M222="FLETE",M222="FLETE ENVIO GARANTIA",M222="FLETE RECOLECCION GARANTIA",M222="COMPENSACION"),0,1)</f>
        <v>1</v>
      </c>
      <c r="C222" s="0" t="s">
        <v>1012</v>
      </c>
      <c r="D222" s="10" t="s">
        <v>1013</v>
      </c>
      <c r="E222" s="11" t="n">
        <v>45701</v>
      </c>
      <c r="F222" s="11" t="n">
        <v>45714</v>
      </c>
      <c r="G222" s="11" t="n">
        <v>45719</v>
      </c>
      <c r="I222" s="11" t="n">
        <v>45717</v>
      </c>
      <c r="J222" s="0" t="s">
        <v>73</v>
      </c>
      <c r="K222" s="0" t="s">
        <v>93</v>
      </c>
      <c r="L222" s="0" t="s">
        <v>1014</v>
      </c>
      <c r="M222" s="0" t="s">
        <v>1015</v>
      </c>
      <c r="N222" s="0" t="n">
        <v>1</v>
      </c>
      <c r="P222" s="0" t="s">
        <v>217</v>
      </c>
      <c r="Q222" s="0" t="s">
        <v>218</v>
      </c>
      <c r="R222" s="0" t="s">
        <v>744</v>
      </c>
      <c r="S222" s="0" t="s">
        <v>591</v>
      </c>
      <c r="T222" s="0" t="s">
        <v>518</v>
      </c>
      <c r="U222" s="0" t="s">
        <v>199</v>
      </c>
      <c r="V222" s="0" t="s">
        <v>1016</v>
      </c>
      <c r="W222" s="12" t="n">
        <v>0</v>
      </c>
      <c r="Y222" s="0" t="s">
        <v>1017</v>
      </c>
      <c r="Z222" s="0" t="s">
        <v>179</v>
      </c>
      <c r="AB222" s="0" t="n">
        <v>347667</v>
      </c>
      <c r="AC222" s="0" t="s">
        <v>1018</v>
      </c>
      <c r="AD222" s="0" t="s">
        <v>1019</v>
      </c>
      <c r="AE222" s="0" t="s">
        <v>1019</v>
      </c>
      <c r="AG222" s="0" t="s">
        <v>11</v>
      </c>
      <c r="AH222" s="0" t="n">
        <v>1</v>
      </c>
      <c r="AK222" s="0" t="s">
        <v>85</v>
      </c>
      <c r="AL222" s="13" t="n">
        <v>443983.4424</v>
      </c>
      <c r="AM222" s="14" t="n">
        <v>50</v>
      </c>
      <c r="AN222" s="13" t="n">
        <v>221991.72</v>
      </c>
      <c r="AO222" s="13" t="n">
        <v>0</v>
      </c>
      <c r="AP222" s="0" t="s">
        <v>1020</v>
      </c>
      <c r="AQ222" s="0" t="s">
        <v>87</v>
      </c>
      <c r="AR222" s="0" t="s">
        <v>1021</v>
      </c>
      <c r="AS222" s="0" t="n">
        <v>346991.72</v>
      </c>
      <c r="AT222" s="0" t="s">
        <v>1018</v>
      </c>
      <c r="AU222" s="0" t="s">
        <v>1017</v>
      </c>
      <c r="AV222" s="0" t="s">
        <v>1019</v>
      </c>
      <c r="AW222" s="0" t="s">
        <v>1019</v>
      </c>
      <c r="AX222" s="0" t="s">
        <v>1016</v>
      </c>
      <c r="AY222" s="0" t="n">
        <v>347667</v>
      </c>
      <c r="AZ222" s="0" t="s">
        <v>89</v>
      </c>
      <c r="BA222" s="0" t="s">
        <v>89</v>
      </c>
      <c r="BB222" s="0" t="s">
        <v>90</v>
      </c>
      <c r="BC222" s="0" t="s">
        <v>150</v>
      </c>
      <c r="BD222" s="15" t="s">
        <v>1022</v>
      </c>
      <c r="BE222" s="37" t="s">
        <v>186</v>
      </c>
    </row>
    <row r="223" customFormat="false" ht="16.4" hidden="false" customHeight="false" outlineLevel="0" collapsed="false">
      <c r="A223" s="36" t="str">
        <f aca="false">IF(B223=0,"",MAX($A$3:A222)+1)</f>
        <v/>
      </c>
      <c r="B223" s="36" t="n">
        <f aca="false">IF(OR(M223="FLETE",M223="FLETE ENVIO GARANTIA",M223="FLETE RECOLECCION GARANTIA",M223="COMPENSACION"),0,1)</f>
        <v>0</v>
      </c>
      <c r="D223" s="10" t="s">
        <v>1013</v>
      </c>
      <c r="J223" s="0" t="s">
        <v>73</v>
      </c>
      <c r="K223" s="0" t="s">
        <v>93</v>
      </c>
      <c r="L223" s="0" t="s">
        <v>94</v>
      </c>
      <c r="M223" s="0" t="s">
        <v>95</v>
      </c>
      <c r="N223" s="0" t="n">
        <v>1</v>
      </c>
      <c r="V223" s="0" t="s">
        <v>1016</v>
      </c>
      <c r="W223" s="12" t="n">
        <v>0</v>
      </c>
      <c r="Y223" s="12" t="s">
        <v>1017</v>
      </c>
      <c r="AG223" s="0" t="s">
        <v>11</v>
      </c>
      <c r="AL223" s="13" t="n">
        <v>0</v>
      </c>
      <c r="AM223" s="14" t="n">
        <v>0</v>
      </c>
      <c r="AO223" s="13" t="n">
        <v>0</v>
      </c>
      <c r="AR223" s="0" t="s">
        <v>1023</v>
      </c>
      <c r="AZ223" s="0" t="s">
        <v>89</v>
      </c>
      <c r="BA223" s="0" t="s">
        <v>89</v>
      </c>
      <c r="BB223" s="0" t="s">
        <v>90</v>
      </c>
      <c r="BC223" s="0" t="s">
        <v>150</v>
      </c>
      <c r="BD223" s="15" t="s">
        <v>1022</v>
      </c>
      <c r="BE223" s="37" t="s">
        <v>186</v>
      </c>
    </row>
    <row r="224" customFormat="false" ht="16.4" hidden="false" customHeight="false" outlineLevel="0" collapsed="false">
      <c r="A224" s="36" t="str">
        <f aca="false">IF(B224=0,"",MAX($A$3:A223)+1)</f>
        <v/>
      </c>
      <c r="B224" s="36" t="n">
        <f aca="false">IF(OR(M224="FLETE",M224="FLETE ENVIO GARANTIA",M224="FLETE RECOLECCION GARANTIA",M224="COMPENSACION"),0,1)</f>
        <v>0</v>
      </c>
      <c r="D224" s="10" t="s">
        <v>1013</v>
      </c>
      <c r="J224" s="0" t="s">
        <v>73</v>
      </c>
      <c r="K224" s="0" t="s">
        <v>93</v>
      </c>
      <c r="L224" s="0" t="s">
        <v>166</v>
      </c>
      <c r="M224" s="0" t="s">
        <v>167</v>
      </c>
      <c r="N224" s="0" t="n">
        <v>1</v>
      </c>
      <c r="P224" s="0" t="s">
        <v>73</v>
      </c>
      <c r="R224" s="0" t="s">
        <v>168</v>
      </c>
      <c r="V224" s="0" t="s">
        <v>1016</v>
      </c>
      <c r="W224" s="12" t="n">
        <v>0</v>
      </c>
      <c r="Y224" s="0" t="s">
        <v>1017</v>
      </c>
      <c r="AG224" s="0" t="s">
        <v>11</v>
      </c>
      <c r="AL224" s="13" t="n">
        <v>125000</v>
      </c>
      <c r="AM224" s="14" t="n">
        <v>0</v>
      </c>
      <c r="AN224" s="13" t="n">
        <v>125000</v>
      </c>
      <c r="AO224" s="13" t="n">
        <v>0</v>
      </c>
      <c r="AR224" s="0" t="s">
        <v>1024</v>
      </c>
      <c r="AZ224" s="0" t="s">
        <v>89</v>
      </c>
      <c r="BA224" s="0" t="s">
        <v>89</v>
      </c>
      <c r="BB224" s="0" t="s">
        <v>90</v>
      </c>
      <c r="BC224" s="0" t="s">
        <v>150</v>
      </c>
      <c r="BD224" s="15" t="s">
        <v>1022</v>
      </c>
      <c r="BE224" s="37" t="s">
        <v>186</v>
      </c>
    </row>
    <row r="225" customFormat="false" ht="16.4" hidden="false" customHeight="false" outlineLevel="0" collapsed="false">
      <c r="A225" s="36" t="n">
        <f aca="false">IF(B225=0,"",MAX($A$3:A224)+1)</f>
        <v>167</v>
      </c>
      <c r="B225" s="36" t="n">
        <f aca="false">IF(OR(M225="FLETE",M225="FLETE ENVIO GARANTIA",M225="FLETE RECOLECCION GARANTIA",M225="COMPENSACION"),0,1)</f>
        <v>1</v>
      </c>
      <c r="C225" s="0" t="s">
        <v>1025</v>
      </c>
      <c r="D225" s="10" t="s">
        <v>1026</v>
      </c>
      <c r="E225" s="11" t="n">
        <v>45700</v>
      </c>
      <c r="F225" s="11" t="n">
        <v>45715</v>
      </c>
      <c r="G225" s="11" t="n">
        <v>45719</v>
      </c>
      <c r="H225" s="11" t="n">
        <v>45716</v>
      </c>
      <c r="I225" s="11" t="n">
        <v>45719</v>
      </c>
      <c r="J225" s="0" t="s">
        <v>1027</v>
      </c>
      <c r="K225" s="0" t="s">
        <v>135</v>
      </c>
      <c r="L225" s="0" t="s">
        <v>682</v>
      </c>
      <c r="M225" s="0" t="s">
        <v>683</v>
      </c>
      <c r="N225" s="0" t="n">
        <v>1</v>
      </c>
      <c r="P225" s="0" t="s">
        <v>138</v>
      </c>
      <c r="Q225" s="0" t="s">
        <v>139</v>
      </c>
      <c r="R225" s="0" t="s">
        <v>684</v>
      </c>
      <c r="T225" s="0" t="s">
        <v>198</v>
      </c>
      <c r="U225" s="0" t="s">
        <v>199</v>
      </c>
      <c r="V225" s="0" t="s">
        <v>1028</v>
      </c>
      <c r="W225" s="12" t="s">
        <v>1029</v>
      </c>
      <c r="Y225" s="12" t="s">
        <v>143</v>
      </c>
      <c r="Z225" s="0" t="s">
        <v>144</v>
      </c>
      <c r="AB225" s="0" t="n">
        <v>1049626695</v>
      </c>
      <c r="AC225" s="0" t="s">
        <v>1030</v>
      </c>
      <c r="AD225" s="0" t="s">
        <v>1031</v>
      </c>
      <c r="AG225" s="0" t="s">
        <v>8</v>
      </c>
      <c r="AH225" s="0" t="n">
        <v>2</v>
      </c>
      <c r="AI225" s="0" t="s">
        <v>1032</v>
      </c>
      <c r="AJ225" s="0" t="n">
        <v>479400</v>
      </c>
      <c r="AK225" s="0" t="s">
        <v>85</v>
      </c>
      <c r="AL225" s="13" t="n">
        <v>220924.3697</v>
      </c>
      <c r="AM225" s="14" t="n">
        <v>0</v>
      </c>
      <c r="AN225" s="13" t="n">
        <v>262900</v>
      </c>
      <c r="AO225" s="13" t="n">
        <v>41975.63</v>
      </c>
      <c r="AR225" s="0" t="s">
        <v>1033</v>
      </c>
      <c r="AS225" s="0" t="n">
        <v>1479400</v>
      </c>
      <c r="AT225" s="0" t="s">
        <v>1030</v>
      </c>
      <c r="AU225" s="0" t="s">
        <v>143</v>
      </c>
      <c r="AW225" s="0" t="s">
        <v>1031</v>
      </c>
      <c r="AX225" s="0" t="s">
        <v>1028</v>
      </c>
      <c r="AY225" s="0" t="n">
        <v>1049626695</v>
      </c>
      <c r="AZ225" s="0" t="s">
        <v>89</v>
      </c>
      <c r="BA225" s="0" t="s">
        <v>89</v>
      </c>
      <c r="BB225" s="0" t="s">
        <v>90</v>
      </c>
      <c r="BC225" s="0" t="s">
        <v>150</v>
      </c>
      <c r="BD225" s="15" t="s">
        <v>1034</v>
      </c>
      <c r="BE225" s="37" t="s">
        <v>152</v>
      </c>
    </row>
    <row r="226" customFormat="false" ht="16.4" hidden="false" customHeight="false" outlineLevel="0" collapsed="false">
      <c r="A226" s="36" t="n">
        <f aca="false">IF(B226=0,"",MAX($A$3:A225)+1)</f>
        <v>168</v>
      </c>
      <c r="B226" s="36" t="n">
        <f aca="false">IF(OR(M226="FLETE",M226="FLETE ENVIO GARANTIA",M226="FLETE RECOLECCION GARANTIA",M226="COMPENSACION"),0,1)</f>
        <v>1</v>
      </c>
      <c r="D226" s="10" t="s">
        <v>1026</v>
      </c>
      <c r="J226" s="0" t="s">
        <v>1027</v>
      </c>
      <c r="K226" s="0" t="s">
        <v>493</v>
      </c>
      <c r="L226" s="0" t="s">
        <v>1035</v>
      </c>
      <c r="M226" s="0" t="s">
        <v>1036</v>
      </c>
      <c r="N226" s="0" t="n">
        <v>2</v>
      </c>
      <c r="P226" s="0" t="s">
        <v>138</v>
      </c>
      <c r="Q226" s="0" t="s">
        <v>496</v>
      </c>
      <c r="R226" s="0" t="s">
        <v>1037</v>
      </c>
      <c r="S226" s="0" t="s">
        <v>158</v>
      </c>
      <c r="T226" s="0" t="s">
        <v>513</v>
      </c>
      <c r="V226" s="0" t="s">
        <v>1028</v>
      </c>
      <c r="W226" s="12" t="s">
        <v>1029</v>
      </c>
      <c r="Y226" s="12" t="s">
        <v>143</v>
      </c>
      <c r="AG226" s="0" t="s">
        <v>8</v>
      </c>
      <c r="AL226" s="13" t="n">
        <v>129327.7311</v>
      </c>
      <c r="AM226" s="14" t="n">
        <v>0</v>
      </c>
      <c r="AN226" s="13" t="n">
        <v>307800</v>
      </c>
      <c r="AO226" s="13" t="n">
        <v>49144.54</v>
      </c>
      <c r="AR226" s="0" t="s">
        <v>1038</v>
      </c>
      <c r="AZ226" s="0" t="s">
        <v>89</v>
      </c>
      <c r="BA226" s="0" t="s">
        <v>89</v>
      </c>
      <c r="BB226" s="0" t="s">
        <v>90</v>
      </c>
      <c r="BC226" s="0" t="s">
        <v>150</v>
      </c>
      <c r="BD226" s="15" t="s">
        <v>1034</v>
      </c>
      <c r="BE226" s="37" t="s">
        <v>152</v>
      </c>
    </row>
    <row r="227" customFormat="false" ht="16.4" hidden="false" customHeight="false" outlineLevel="0" collapsed="false">
      <c r="A227" s="36" t="n">
        <f aca="false">IF(B227=0,"",MAX($A$3:A226)+1)</f>
        <v>169</v>
      </c>
      <c r="B227" s="36" t="n">
        <f aca="false">IF(OR(M227="FLETE",M227="FLETE ENVIO GARANTIA",M227="FLETE RECOLECCION GARANTIA",M227="COMPENSACION"),0,1)</f>
        <v>1</v>
      </c>
      <c r="D227" s="10" t="s">
        <v>1026</v>
      </c>
      <c r="J227" s="0" t="s">
        <v>1027</v>
      </c>
      <c r="K227" s="0" t="s">
        <v>493</v>
      </c>
      <c r="L227" s="0" t="s">
        <v>1039</v>
      </c>
      <c r="M227" s="0" t="s">
        <v>1040</v>
      </c>
      <c r="N227" s="0" t="n">
        <v>2</v>
      </c>
      <c r="P227" s="0" t="s">
        <v>138</v>
      </c>
      <c r="Q227" s="0" t="s">
        <v>496</v>
      </c>
      <c r="R227" s="0" t="s">
        <v>1037</v>
      </c>
      <c r="S227" s="0" t="s">
        <v>158</v>
      </c>
      <c r="T227" s="0" t="s">
        <v>518</v>
      </c>
      <c r="V227" s="0" t="s">
        <v>1028</v>
      </c>
      <c r="W227" s="12" t="s">
        <v>1029</v>
      </c>
      <c r="Y227" s="12" t="s">
        <v>143</v>
      </c>
      <c r="AG227" s="0" t="s">
        <v>8</v>
      </c>
      <c r="AL227" s="13" t="n">
        <v>129327.7311</v>
      </c>
      <c r="AM227" s="14" t="n">
        <v>0</v>
      </c>
      <c r="AN227" s="13" t="n">
        <v>307800</v>
      </c>
      <c r="AO227" s="13" t="n">
        <v>49144.54</v>
      </c>
      <c r="AR227" s="0" t="s">
        <v>1041</v>
      </c>
      <c r="AZ227" s="0" t="s">
        <v>89</v>
      </c>
      <c r="BA227" s="0" t="s">
        <v>89</v>
      </c>
      <c r="BB227" s="0" t="s">
        <v>90</v>
      </c>
      <c r="BC227" s="0" t="s">
        <v>150</v>
      </c>
      <c r="BD227" s="15" t="s">
        <v>1034</v>
      </c>
      <c r="BE227" s="37" t="s">
        <v>152</v>
      </c>
    </row>
    <row r="228" customFormat="false" ht="16.4" hidden="false" customHeight="false" outlineLevel="0" collapsed="false">
      <c r="A228" s="36" t="n">
        <f aca="false">IF(B228=0,"",MAX($A$3:A227)+1)</f>
        <v>170</v>
      </c>
      <c r="B228" s="36" t="n">
        <f aca="false">IF(OR(M228="FLETE",M228="FLETE ENVIO GARANTIA",M228="FLETE RECOLECCION GARANTIA",M228="COMPENSACION"),0,1)</f>
        <v>1</v>
      </c>
      <c r="D228" s="10" t="s">
        <v>1026</v>
      </c>
      <c r="J228" s="0" t="s">
        <v>1027</v>
      </c>
      <c r="K228" s="0" t="s">
        <v>214</v>
      </c>
      <c r="L228" s="0" t="s">
        <v>1042</v>
      </c>
      <c r="M228" s="0" t="s">
        <v>1043</v>
      </c>
      <c r="N228" s="0" t="n">
        <v>1</v>
      </c>
      <c r="P228" s="0" t="s">
        <v>217</v>
      </c>
      <c r="Q228" s="0" t="s">
        <v>218</v>
      </c>
      <c r="R228" s="0" t="s">
        <v>855</v>
      </c>
      <c r="S228" s="0" t="s">
        <v>158</v>
      </c>
      <c r="T228" s="0" t="s">
        <v>513</v>
      </c>
      <c r="U228" s="0" t="s">
        <v>199</v>
      </c>
      <c r="V228" s="0" t="s">
        <v>1028</v>
      </c>
      <c r="W228" s="12" t="s">
        <v>1029</v>
      </c>
      <c r="Y228" s="12" t="s">
        <v>143</v>
      </c>
      <c r="AG228" s="0" t="s">
        <v>8</v>
      </c>
      <c r="AL228" s="13" t="n">
        <v>504957.9832</v>
      </c>
      <c r="AM228" s="14" t="n">
        <v>0</v>
      </c>
      <c r="AN228" s="13" t="n">
        <v>600900</v>
      </c>
      <c r="AO228" s="13" t="n">
        <v>95942.02</v>
      </c>
      <c r="AR228" s="0" t="s">
        <v>1044</v>
      </c>
      <c r="AZ228" s="0" t="s">
        <v>89</v>
      </c>
      <c r="BA228" s="0" t="s">
        <v>89</v>
      </c>
      <c r="BB228" s="0" t="s">
        <v>90</v>
      </c>
      <c r="BC228" s="0" t="s">
        <v>150</v>
      </c>
      <c r="BD228" s="15" t="s">
        <v>1034</v>
      </c>
      <c r="BE228" s="37" t="s">
        <v>152</v>
      </c>
    </row>
    <row r="229" customFormat="false" ht="16.4" hidden="false" customHeight="false" outlineLevel="0" collapsed="false">
      <c r="A229" s="36" t="n">
        <f aca="false">IF(B229=0,"",MAX($A$3:A228)+1)</f>
        <v>171</v>
      </c>
      <c r="B229" s="36" t="n">
        <f aca="false">IF(OR(M229="FLETE",M229="FLETE ENVIO GARANTIA",M229="FLETE RECOLECCION GARANTIA",M229="COMPENSACION"),0,1)</f>
        <v>1</v>
      </c>
      <c r="C229" s="0" t="s">
        <v>1045</v>
      </c>
      <c r="D229" s="10" t="n">
        <v>1510498070900</v>
      </c>
      <c r="E229" s="11" t="n">
        <v>45701</v>
      </c>
      <c r="F229" s="11" t="n">
        <v>45717</v>
      </c>
      <c r="G229" s="11" t="n">
        <v>45719</v>
      </c>
      <c r="I229" s="11" t="n">
        <v>45723</v>
      </c>
      <c r="J229" s="0" t="s">
        <v>1046</v>
      </c>
      <c r="K229" s="0" t="s">
        <v>934</v>
      </c>
      <c r="L229" s="0" t="s">
        <v>1047</v>
      </c>
      <c r="M229" s="0" t="s">
        <v>1048</v>
      </c>
      <c r="N229" s="0" t="n">
        <v>1</v>
      </c>
      <c r="P229" s="0" t="s">
        <v>195</v>
      </c>
      <c r="Q229" s="0" t="s">
        <v>937</v>
      </c>
      <c r="R229" s="0" t="s">
        <v>938</v>
      </c>
      <c r="S229" s="0" t="s">
        <v>435</v>
      </c>
      <c r="T229" s="0" t="s">
        <v>449</v>
      </c>
      <c r="U229" s="0" t="s">
        <v>199</v>
      </c>
      <c r="V229" s="0" t="s">
        <v>1049</v>
      </c>
      <c r="W229" s="12" t="n">
        <v>0</v>
      </c>
      <c r="Y229" s="12" t="s">
        <v>1050</v>
      </c>
      <c r="Z229" s="0" t="s">
        <v>179</v>
      </c>
      <c r="AB229" s="0" t="n">
        <v>52871361</v>
      </c>
      <c r="AC229" s="0" t="s">
        <v>1051</v>
      </c>
      <c r="AE229" s="0" t="n">
        <v>3002689795</v>
      </c>
      <c r="AF229" s="0" t="n">
        <v>2210000920965</v>
      </c>
      <c r="AG229" s="0" t="s">
        <v>10</v>
      </c>
      <c r="AK229" s="0" t="s">
        <v>85</v>
      </c>
      <c r="AL229" s="13" t="n">
        <v>242900</v>
      </c>
      <c r="AM229" s="14" t="n">
        <v>10.5375</v>
      </c>
      <c r="AN229" s="13" t="n">
        <v>258592.25</v>
      </c>
      <c r="AO229" s="13" t="n">
        <v>41287.84</v>
      </c>
      <c r="AP229" s="0" t="n">
        <v>0</v>
      </c>
      <c r="AR229" s="0" t="s">
        <v>1052</v>
      </c>
      <c r="AS229" s="0" t="n">
        <v>298492.25</v>
      </c>
      <c r="AT229" s="0" t="s">
        <v>1051</v>
      </c>
      <c r="AU229" s="0" t="s">
        <v>1050</v>
      </c>
      <c r="AV229" s="0" t="n">
        <v>3002689795</v>
      </c>
      <c r="AX229" s="0" t="s">
        <v>1049</v>
      </c>
      <c r="AY229" s="0" t="n">
        <v>52871361</v>
      </c>
      <c r="AZ229" s="0" t="s">
        <v>89</v>
      </c>
      <c r="BA229" s="0" t="s">
        <v>89</v>
      </c>
      <c r="BB229" s="0" t="s">
        <v>1053</v>
      </c>
      <c r="BC229" s="0" t="n">
        <v>0</v>
      </c>
      <c r="BD229" s="15" t="s">
        <v>1054</v>
      </c>
      <c r="BE229" s="37" t="s">
        <v>92</v>
      </c>
    </row>
    <row r="230" customFormat="false" ht="16.4" hidden="false" customHeight="false" outlineLevel="0" collapsed="false">
      <c r="A230" s="36" t="str">
        <f aca="false">IF(B230=0,"",MAX($A$3:A229)+1)</f>
        <v/>
      </c>
      <c r="B230" s="36" t="n">
        <f aca="false">IF(OR(M230="FLETE",M230="FLETE ENVIO GARANTIA",M230="FLETE RECOLECCION GARANTIA",M230="COMPENSACION"),0,1)</f>
        <v>0</v>
      </c>
      <c r="D230" s="10" t="n">
        <v>1510498070900</v>
      </c>
      <c r="J230" s="0" t="s">
        <v>1046</v>
      </c>
      <c r="K230" s="0" t="s">
        <v>93</v>
      </c>
      <c r="L230" s="0" t="s">
        <v>210</v>
      </c>
      <c r="M230" s="0" t="s">
        <v>211</v>
      </c>
      <c r="N230" s="0" t="n">
        <v>1</v>
      </c>
      <c r="P230" s="0" t="s">
        <v>73</v>
      </c>
      <c r="R230" s="0" t="s">
        <v>211</v>
      </c>
      <c r="V230" s="0" t="s">
        <v>1049</v>
      </c>
      <c r="W230" s="12" t="n">
        <v>0</v>
      </c>
      <c r="Y230" s="12" t="s">
        <v>1050</v>
      </c>
      <c r="AG230" s="0" t="s">
        <v>10</v>
      </c>
      <c r="AL230" s="13" t="n">
        <v>39900</v>
      </c>
      <c r="AM230" s="14" t="n">
        <v>0</v>
      </c>
      <c r="AN230" s="13" t="n">
        <v>39900</v>
      </c>
      <c r="AO230" s="13" t="n">
        <v>0</v>
      </c>
      <c r="AR230" s="0" t="s">
        <v>1052</v>
      </c>
      <c r="AZ230" s="0" t="s">
        <v>89</v>
      </c>
      <c r="BA230" s="0" t="s">
        <v>89</v>
      </c>
      <c r="BB230" s="0" t="s">
        <v>1053</v>
      </c>
      <c r="BC230" s="0" t="n">
        <v>0</v>
      </c>
      <c r="BD230" s="15" t="s">
        <v>1054</v>
      </c>
      <c r="BE230" s="37" t="s">
        <v>92</v>
      </c>
    </row>
    <row r="231" customFormat="false" ht="16.4" hidden="false" customHeight="false" outlineLevel="0" collapsed="false">
      <c r="A231" s="36" t="n">
        <f aca="false">IF(B231=0,"",MAX($A$3:A230)+1)</f>
        <v>172</v>
      </c>
      <c r="B231" s="36" t="n">
        <f aca="false">IF(OR(M231="FLETE",M231="FLETE ENVIO GARANTIA",M231="FLETE RECOLECCION GARANTIA",M231="COMPENSACION"),0,1)</f>
        <v>1</v>
      </c>
      <c r="C231" s="0" t="s">
        <v>1055</v>
      </c>
      <c r="D231" s="10" t="n">
        <v>13919180</v>
      </c>
      <c r="E231" s="11" t="n">
        <v>45701</v>
      </c>
      <c r="F231" s="11" t="n">
        <v>45717</v>
      </c>
      <c r="G231" s="11" t="n">
        <v>45719</v>
      </c>
      <c r="I231" s="11" t="n">
        <v>45719</v>
      </c>
      <c r="J231" s="0" t="s">
        <v>282</v>
      </c>
      <c r="K231" s="0" t="s">
        <v>135</v>
      </c>
      <c r="L231" s="0" t="s">
        <v>1056</v>
      </c>
      <c r="M231" s="0" t="s">
        <v>1057</v>
      </c>
      <c r="N231" s="0" t="n">
        <v>1</v>
      </c>
      <c r="P231" s="0" t="s">
        <v>138</v>
      </c>
      <c r="Q231" s="0" t="s">
        <v>139</v>
      </c>
      <c r="R231" s="0" t="s">
        <v>1058</v>
      </c>
      <c r="T231" s="0" t="s">
        <v>199</v>
      </c>
      <c r="V231" s="0" t="s">
        <v>1059</v>
      </c>
      <c r="W231" s="12" t="n">
        <v>0</v>
      </c>
      <c r="Y231" s="12" t="s">
        <v>439</v>
      </c>
      <c r="Z231" s="0" t="s">
        <v>179</v>
      </c>
      <c r="AB231" s="0" t="n">
        <v>800151049</v>
      </c>
      <c r="AC231" s="0" t="s">
        <v>458</v>
      </c>
      <c r="AE231" s="0" t="n">
        <v>3178169864</v>
      </c>
      <c r="AF231" s="0" t="n">
        <v>524349</v>
      </c>
      <c r="AG231" s="0" t="s">
        <v>5</v>
      </c>
      <c r="AK231" s="0" t="s">
        <v>85</v>
      </c>
      <c r="AL231" s="13" t="n">
        <v>492900</v>
      </c>
      <c r="AM231" s="14" t="n">
        <v>-2.0872</v>
      </c>
      <c r="AN231" s="13" t="n">
        <v>598793.49</v>
      </c>
      <c r="AO231" s="13" t="n">
        <v>95605.68</v>
      </c>
      <c r="AP231" s="0" t="s">
        <v>1060</v>
      </c>
      <c r="AR231" s="0" t="s">
        <v>1061</v>
      </c>
      <c r="AS231" s="0" t="n">
        <v>1769411.08</v>
      </c>
      <c r="AT231" s="0" t="s">
        <v>441</v>
      </c>
      <c r="AU231" s="0" t="s">
        <v>444</v>
      </c>
      <c r="AV231" s="0" t="s">
        <v>445</v>
      </c>
      <c r="AX231" s="0" t="s">
        <v>438</v>
      </c>
      <c r="AY231" s="0" t="s">
        <v>440</v>
      </c>
      <c r="AZ231" s="0" t="s">
        <v>89</v>
      </c>
      <c r="BA231" s="0" t="s">
        <v>89</v>
      </c>
      <c r="BB231" s="0" t="s">
        <v>90</v>
      </c>
      <c r="BC231" s="0" t="s">
        <v>241</v>
      </c>
      <c r="BD231" s="15" t="s">
        <v>1062</v>
      </c>
      <c r="BE231" s="37" t="s">
        <v>461</v>
      </c>
    </row>
    <row r="232" customFormat="false" ht="16.4" hidden="false" customHeight="false" outlineLevel="0" collapsed="false">
      <c r="A232" s="36" t="n">
        <f aca="false">IF(B232=0,"",MAX($A$3:A231)+1)</f>
        <v>173</v>
      </c>
      <c r="B232" s="36" t="n">
        <f aca="false">IF(OR(M232="FLETE",M232="FLETE ENVIO GARANTIA",M232="FLETE RECOLECCION GARANTIA",M232="COMPENSACION"),0,1)</f>
        <v>1</v>
      </c>
      <c r="D232" s="10" t="n">
        <v>13919180</v>
      </c>
      <c r="J232" s="0" t="s">
        <v>282</v>
      </c>
      <c r="K232" s="0" t="s">
        <v>493</v>
      </c>
      <c r="L232" s="0" t="s">
        <v>1063</v>
      </c>
      <c r="M232" s="0" t="s">
        <v>1064</v>
      </c>
      <c r="N232" s="0" t="n">
        <v>4</v>
      </c>
      <c r="P232" s="0" t="s">
        <v>138</v>
      </c>
      <c r="Q232" s="0" t="s">
        <v>496</v>
      </c>
      <c r="R232" s="0" t="s">
        <v>501</v>
      </c>
      <c r="S232" s="0" t="s">
        <v>591</v>
      </c>
      <c r="T232" s="0" t="s">
        <v>719</v>
      </c>
      <c r="U232" s="0" t="s">
        <v>176</v>
      </c>
      <c r="V232" s="0" t="s">
        <v>1059</v>
      </c>
      <c r="W232" s="12" t="n">
        <v>0</v>
      </c>
      <c r="Y232" s="12" t="s">
        <v>439</v>
      </c>
      <c r="AG232" s="0" t="s">
        <v>5</v>
      </c>
      <c r="AL232" s="13" t="n">
        <v>240900</v>
      </c>
      <c r="AM232" s="14" t="n">
        <v>-2.0872</v>
      </c>
      <c r="AN232" s="13" t="n">
        <v>1170617.59</v>
      </c>
      <c r="AO232" s="13" t="n">
        <v>186905.33</v>
      </c>
      <c r="AR232" s="0" t="s">
        <v>1061</v>
      </c>
      <c r="AZ232" s="0" t="s">
        <v>89</v>
      </c>
      <c r="BA232" s="0" t="s">
        <v>89</v>
      </c>
      <c r="BB232" s="0" t="s">
        <v>90</v>
      </c>
      <c r="BC232" s="0" t="s">
        <v>241</v>
      </c>
      <c r="BD232" s="15" t="s">
        <v>1062</v>
      </c>
      <c r="BE232" s="37" t="s">
        <v>461</v>
      </c>
    </row>
    <row r="233" customFormat="false" ht="16.4" hidden="false" customHeight="false" outlineLevel="0" collapsed="false">
      <c r="A233" s="36" t="str">
        <f aca="false">IF(B233=0,"",MAX($A$3:A232)+1)</f>
        <v/>
      </c>
      <c r="B233" s="36" t="n">
        <f aca="false">IF(OR(M233="FLETE",M233="FLETE ENVIO GARANTIA",M233="FLETE RECOLECCION GARANTIA",M233="COMPENSACION"),0,1)</f>
        <v>0</v>
      </c>
      <c r="D233" s="10" t="n">
        <v>13919180</v>
      </c>
      <c r="J233" s="0" t="s">
        <v>282</v>
      </c>
      <c r="K233" s="0" t="s">
        <v>93</v>
      </c>
      <c r="L233" s="0" t="s">
        <v>210</v>
      </c>
      <c r="M233" s="0" t="s">
        <v>211</v>
      </c>
      <c r="N233" s="0" t="n">
        <v>1</v>
      </c>
      <c r="P233" s="0" t="s">
        <v>73</v>
      </c>
      <c r="R233" s="0" t="s">
        <v>211</v>
      </c>
      <c r="V233" s="0" t="s">
        <v>1059</v>
      </c>
      <c r="W233" s="12" t="n">
        <v>0</v>
      </c>
      <c r="Y233" s="12" t="s">
        <v>439</v>
      </c>
      <c r="AG233" s="0" t="s">
        <v>5</v>
      </c>
      <c r="AL233" s="13" t="n">
        <v>0</v>
      </c>
      <c r="AM233" s="14" t="n">
        <v>0</v>
      </c>
      <c r="AO233" s="13" t="n">
        <v>0</v>
      </c>
      <c r="AR233" s="0" t="s">
        <v>1061</v>
      </c>
      <c r="AZ233" s="0" t="s">
        <v>89</v>
      </c>
      <c r="BA233" s="0" t="s">
        <v>89</v>
      </c>
      <c r="BB233" s="0" t="s">
        <v>90</v>
      </c>
      <c r="BC233" s="0" t="s">
        <v>241</v>
      </c>
      <c r="BD233" s="15" t="s">
        <v>1062</v>
      </c>
      <c r="BE233" s="37" t="s">
        <v>461</v>
      </c>
    </row>
    <row r="234" customFormat="false" ht="16.4" hidden="false" customHeight="false" outlineLevel="0" collapsed="false">
      <c r="A234" s="36" t="n">
        <f aca="false">IF(B234=0,"",MAX($A$3:A233)+1)</f>
        <v>174</v>
      </c>
      <c r="B234" s="36" t="n">
        <f aca="false">IF(OR(M234="FLETE",M234="FLETE ENVIO GARANTIA",M234="FLETE RECOLECCION GARANTIA",M234="COMPENSACION"),0,1)</f>
        <v>1</v>
      </c>
      <c r="C234" s="0" t="s">
        <v>1065</v>
      </c>
      <c r="D234" s="10" t="n">
        <v>13918783</v>
      </c>
      <c r="E234" s="11" t="n">
        <v>45701</v>
      </c>
      <c r="F234" s="11" t="n">
        <v>45717</v>
      </c>
      <c r="G234" s="11" t="n">
        <v>45719</v>
      </c>
      <c r="I234" s="11" t="n">
        <v>45721</v>
      </c>
      <c r="J234" s="0" t="s">
        <v>282</v>
      </c>
      <c r="K234" s="0" t="s">
        <v>214</v>
      </c>
      <c r="L234" s="0" t="s">
        <v>1066</v>
      </c>
      <c r="M234" s="0" t="s">
        <v>1067</v>
      </c>
      <c r="N234" s="0" t="n">
        <v>1</v>
      </c>
      <c r="P234" s="0" t="s">
        <v>217</v>
      </c>
      <c r="Q234" s="0" t="s">
        <v>218</v>
      </c>
      <c r="R234" s="0" t="s">
        <v>1068</v>
      </c>
      <c r="S234" s="0" t="s">
        <v>158</v>
      </c>
      <c r="T234" s="0" t="s">
        <v>513</v>
      </c>
      <c r="U234" s="0" t="s">
        <v>456</v>
      </c>
      <c r="V234" s="0" t="s">
        <v>1069</v>
      </c>
      <c r="W234" s="12" t="n">
        <v>0</v>
      </c>
      <c r="Y234" s="12" t="s">
        <v>948</v>
      </c>
      <c r="Z234" s="0" t="s">
        <v>949</v>
      </c>
      <c r="AB234" s="0" t="n">
        <v>1128464807</v>
      </c>
      <c r="AC234" s="0" t="s">
        <v>1070</v>
      </c>
      <c r="AE234" s="0" t="n">
        <v>3007711741</v>
      </c>
      <c r="AF234" s="0" t="n">
        <v>739120</v>
      </c>
      <c r="AG234" s="0" t="s">
        <v>754</v>
      </c>
      <c r="AK234" s="0" t="s">
        <v>85</v>
      </c>
      <c r="AL234" s="13" t="n">
        <v>499243.7</v>
      </c>
      <c r="AM234" s="14" t="n">
        <v>32.6081</v>
      </c>
      <c r="AN234" s="13" t="n">
        <v>400375.29</v>
      </c>
      <c r="AO234" s="13" t="n">
        <v>63925.47</v>
      </c>
      <c r="AP234" s="0" t="n">
        <v>0</v>
      </c>
      <c r="AR234" s="0" t="s">
        <v>1071</v>
      </c>
      <c r="AS234" s="0" t="n">
        <v>800750.58</v>
      </c>
      <c r="AT234" s="0" t="s">
        <v>441</v>
      </c>
      <c r="AU234" s="0" t="s">
        <v>444</v>
      </c>
      <c r="AV234" s="0" t="s">
        <v>445</v>
      </c>
      <c r="AX234" s="0" t="s">
        <v>438</v>
      </c>
      <c r="AY234" s="0" t="s">
        <v>440</v>
      </c>
      <c r="AZ234" s="0" t="s">
        <v>89</v>
      </c>
      <c r="BA234" s="0" t="s">
        <v>89</v>
      </c>
      <c r="BB234" s="0" t="s">
        <v>90</v>
      </c>
      <c r="BC234" s="0" t="n">
        <v>0</v>
      </c>
      <c r="BD234" s="15" t="s">
        <v>1072</v>
      </c>
      <c r="BE234" s="37" t="s">
        <v>461</v>
      </c>
    </row>
    <row r="235" customFormat="false" ht="16.4" hidden="false" customHeight="false" outlineLevel="0" collapsed="false">
      <c r="A235" s="36" t="n">
        <f aca="false">IF(B235=0,"",MAX($A$3:A234)+1)</f>
        <v>175</v>
      </c>
      <c r="B235" s="36" t="n">
        <f aca="false">IF(OR(M235="FLETE",M235="FLETE ENVIO GARANTIA",M235="FLETE RECOLECCION GARANTIA",M235="COMPENSACION"),0,1)</f>
        <v>1</v>
      </c>
      <c r="D235" s="10" t="n">
        <v>13918783</v>
      </c>
      <c r="J235" s="0" t="s">
        <v>282</v>
      </c>
      <c r="K235" s="0" t="s">
        <v>663</v>
      </c>
      <c r="L235" s="0" t="s">
        <v>1073</v>
      </c>
      <c r="M235" s="0" t="s">
        <v>1074</v>
      </c>
      <c r="N235" s="0" t="n">
        <v>1</v>
      </c>
      <c r="P235" s="0" t="s">
        <v>217</v>
      </c>
      <c r="Q235" s="0" t="s">
        <v>640</v>
      </c>
      <c r="R235" s="0" t="s">
        <v>1068</v>
      </c>
      <c r="S235" s="0" t="s">
        <v>158</v>
      </c>
      <c r="T235" s="0" t="s">
        <v>513</v>
      </c>
      <c r="U235" s="0" t="s">
        <v>456</v>
      </c>
      <c r="V235" s="0" t="s">
        <v>1069</v>
      </c>
      <c r="W235" s="12" t="n">
        <v>0</v>
      </c>
      <c r="Y235" s="0" t="s">
        <v>948</v>
      </c>
      <c r="AG235" s="0" t="s">
        <v>754</v>
      </c>
      <c r="AL235" s="13" t="n">
        <v>499243.7</v>
      </c>
      <c r="AM235" s="14" t="n">
        <v>32.6081</v>
      </c>
      <c r="AN235" s="13" t="n">
        <v>400375.29</v>
      </c>
      <c r="AO235" s="13" t="n">
        <v>63925.47</v>
      </c>
      <c r="AR235" s="0" t="s">
        <v>1071</v>
      </c>
      <c r="AZ235" s="0" t="s">
        <v>89</v>
      </c>
      <c r="BA235" s="0" t="s">
        <v>89</v>
      </c>
      <c r="BB235" s="0" t="s">
        <v>90</v>
      </c>
      <c r="BC235" s="0" t="n">
        <v>0</v>
      </c>
      <c r="BD235" s="15" t="s">
        <v>1072</v>
      </c>
      <c r="BE235" s="37" t="s">
        <v>461</v>
      </c>
    </row>
    <row r="236" customFormat="false" ht="16.4" hidden="false" customHeight="false" outlineLevel="0" collapsed="false">
      <c r="A236" s="36" t="str">
        <f aca="false">IF(B236=0,"",MAX($A$3:A235)+1)</f>
        <v/>
      </c>
      <c r="B236" s="36" t="n">
        <f aca="false">IF(OR(M236="FLETE",M236="FLETE ENVIO GARANTIA",M236="FLETE RECOLECCION GARANTIA",M236="COMPENSACION"),0,1)</f>
        <v>0</v>
      </c>
      <c r="D236" s="10" t="n">
        <v>13918783</v>
      </c>
      <c r="J236" s="0" t="s">
        <v>282</v>
      </c>
      <c r="K236" s="0" t="s">
        <v>93</v>
      </c>
      <c r="L236" s="0" t="s">
        <v>210</v>
      </c>
      <c r="M236" s="0" t="s">
        <v>211</v>
      </c>
      <c r="N236" s="0" t="n">
        <v>1</v>
      </c>
      <c r="P236" s="0" t="s">
        <v>73</v>
      </c>
      <c r="R236" s="0" t="s">
        <v>211</v>
      </c>
      <c r="V236" s="0" t="s">
        <v>1069</v>
      </c>
      <c r="W236" s="12" t="n">
        <v>0</v>
      </c>
      <c r="Y236" s="12" t="s">
        <v>948</v>
      </c>
      <c r="AG236" s="0" t="s">
        <v>754</v>
      </c>
      <c r="AL236" s="13" t="n">
        <v>0</v>
      </c>
      <c r="AM236" s="14" t="n">
        <v>0</v>
      </c>
      <c r="AO236" s="13" t="n">
        <v>0</v>
      </c>
      <c r="AR236" s="0" t="s">
        <v>1071</v>
      </c>
      <c r="AZ236" s="0" t="s">
        <v>89</v>
      </c>
      <c r="BA236" s="0" t="s">
        <v>89</v>
      </c>
      <c r="BB236" s="0" t="s">
        <v>90</v>
      </c>
      <c r="BC236" s="0" t="n">
        <v>0</v>
      </c>
      <c r="BD236" s="15" t="s">
        <v>1072</v>
      </c>
      <c r="BE236" s="37" t="s">
        <v>461</v>
      </c>
    </row>
    <row r="237" customFormat="false" ht="16.4" hidden="false" customHeight="false" outlineLevel="0" collapsed="false">
      <c r="A237" s="36" t="n">
        <f aca="false">IF(B237=0,"",MAX($A$3:A236)+1)</f>
        <v>176</v>
      </c>
      <c r="B237" s="36" t="n">
        <f aca="false">IF(OR(M237="FLETE",M237="FLETE ENVIO GARANTIA",M237="FLETE RECOLECCION GARANTIA",M237="COMPENSACION"),0,1)</f>
        <v>1</v>
      </c>
      <c r="C237" s="0" t="s">
        <v>1075</v>
      </c>
      <c r="D237" s="10" t="n">
        <v>13918120</v>
      </c>
      <c r="E237" s="11" t="n">
        <v>45701</v>
      </c>
      <c r="F237" s="11" t="n">
        <v>45717</v>
      </c>
      <c r="G237" s="11" t="n">
        <v>45719</v>
      </c>
      <c r="I237" s="11" t="n">
        <v>45721</v>
      </c>
      <c r="J237" s="0" t="s">
        <v>282</v>
      </c>
      <c r="K237" s="0" t="s">
        <v>214</v>
      </c>
      <c r="L237" s="0" t="s">
        <v>1076</v>
      </c>
      <c r="M237" s="0" t="s">
        <v>1077</v>
      </c>
      <c r="N237" s="0" t="n">
        <v>4</v>
      </c>
      <c r="P237" s="0" t="s">
        <v>217</v>
      </c>
      <c r="Q237" s="0" t="s">
        <v>218</v>
      </c>
      <c r="R237" s="0" t="s">
        <v>761</v>
      </c>
      <c r="S237" s="0" t="s">
        <v>454</v>
      </c>
      <c r="T237" s="0" t="s">
        <v>513</v>
      </c>
      <c r="U237" s="0" t="s">
        <v>199</v>
      </c>
      <c r="V237" s="0" t="s">
        <v>1078</v>
      </c>
      <c r="W237" s="12" t="n">
        <v>0</v>
      </c>
      <c r="Y237" s="0" t="s">
        <v>746</v>
      </c>
      <c r="Z237" s="0" t="s">
        <v>747</v>
      </c>
      <c r="AB237" s="0" t="n">
        <v>1193575997</v>
      </c>
      <c r="AC237" s="0" t="s">
        <v>1079</v>
      </c>
      <c r="AE237" s="0" t="n">
        <v>3135218341</v>
      </c>
      <c r="AF237" s="0" t="n">
        <v>483409</v>
      </c>
      <c r="AG237" s="0" t="s">
        <v>754</v>
      </c>
      <c r="AK237" s="0" t="s">
        <v>85</v>
      </c>
      <c r="AL237" s="13" t="n">
        <v>575900</v>
      </c>
      <c r="AM237" s="14" t="n">
        <v>6.772</v>
      </c>
      <c r="AN237" s="13" t="n">
        <v>2555644.25</v>
      </c>
      <c r="AO237" s="13" t="n">
        <v>408044.04</v>
      </c>
      <c r="AP237" s="0" t="s">
        <v>1080</v>
      </c>
      <c r="AR237" s="0" t="s">
        <v>1081</v>
      </c>
      <c r="AS237" s="0" t="n">
        <v>2555644.25</v>
      </c>
      <c r="AT237" s="0" t="s">
        <v>441</v>
      </c>
      <c r="AU237" s="0" t="s">
        <v>444</v>
      </c>
      <c r="AV237" s="0" t="s">
        <v>445</v>
      </c>
      <c r="AX237" s="0" t="s">
        <v>438</v>
      </c>
      <c r="AY237" s="0" t="s">
        <v>440</v>
      </c>
      <c r="AZ237" s="0" t="s">
        <v>89</v>
      </c>
      <c r="BA237" s="0" t="s">
        <v>89</v>
      </c>
      <c r="BB237" s="0" t="s">
        <v>90</v>
      </c>
      <c r="BC237" s="0" t="n">
        <v>0</v>
      </c>
      <c r="BD237" s="15" t="s">
        <v>1082</v>
      </c>
      <c r="BE237" s="37" t="s">
        <v>461</v>
      </c>
    </row>
    <row r="238" customFormat="false" ht="16.4" hidden="false" customHeight="false" outlineLevel="0" collapsed="false">
      <c r="A238" s="36" t="str">
        <f aca="false">IF(B238=0,"",MAX($A$3:A237)+1)</f>
        <v/>
      </c>
      <c r="B238" s="36" t="n">
        <f aca="false">IF(OR(M238="FLETE",M238="FLETE ENVIO GARANTIA",M238="FLETE RECOLECCION GARANTIA",M238="COMPENSACION"),0,1)</f>
        <v>0</v>
      </c>
      <c r="D238" s="10" t="n">
        <v>13918120</v>
      </c>
      <c r="J238" s="0" t="s">
        <v>282</v>
      </c>
      <c r="K238" s="0" t="s">
        <v>93</v>
      </c>
      <c r="L238" s="0" t="s">
        <v>210</v>
      </c>
      <c r="M238" s="0" t="s">
        <v>211</v>
      </c>
      <c r="N238" s="0" t="n">
        <v>1</v>
      </c>
      <c r="P238" s="0" t="s">
        <v>73</v>
      </c>
      <c r="R238" s="0" t="s">
        <v>211</v>
      </c>
      <c r="V238" s="0" t="s">
        <v>1078</v>
      </c>
      <c r="W238" s="12" t="n">
        <v>0</v>
      </c>
      <c r="Y238" s="12" t="s">
        <v>746</v>
      </c>
      <c r="AG238" s="0" t="s">
        <v>754</v>
      </c>
      <c r="AL238" s="13" t="n">
        <v>0</v>
      </c>
      <c r="AM238" s="14" t="n">
        <v>0</v>
      </c>
      <c r="AO238" s="13" t="n">
        <v>0</v>
      </c>
      <c r="AR238" s="0" t="s">
        <v>1081</v>
      </c>
      <c r="AZ238" s="0" t="s">
        <v>89</v>
      </c>
      <c r="BA238" s="0" t="s">
        <v>89</v>
      </c>
      <c r="BB238" s="0" t="s">
        <v>90</v>
      </c>
      <c r="BC238" s="0" t="n">
        <v>0</v>
      </c>
      <c r="BD238" s="15" t="s">
        <v>1082</v>
      </c>
      <c r="BE238" s="37" t="s">
        <v>461</v>
      </c>
    </row>
    <row r="239" customFormat="false" ht="16.4" hidden="false" customHeight="false" outlineLevel="0" collapsed="false">
      <c r="A239" s="36" t="n">
        <f aca="false">IF(B239=0,"",MAX($A$3:A238)+1)</f>
        <v>177</v>
      </c>
      <c r="B239" s="36" t="n">
        <f aca="false">IF(OR(M239="FLETE",M239="FLETE ENVIO GARANTIA",M239="FLETE RECOLECCION GARANTIA",M239="COMPENSACION"),0,1)</f>
        <v>1</v>
      </c>
      <c r="C239" s="0" t="s">
        <v>1083</v>
      </c>
      <c r="D239" s="10" t="s">
        <v>1084</v>
      </c>
      <c r="E239" s="11" t="n">
        <v>45700</v>
      </c>
      <c r="F239" s="11" t="n">
        <v>45717</v>
      </c>
      <c r="G239" s="11" t="n">
        <v>45719</v>
      </c>
      <c r="J239" s="0" t="s">
        <v>1085</v>
      </c>
      <c r="K239" s="0" t="s">
        <v>93</v>
      </c>
      <c r="L239" s="0" t="s">
        <v>1086</v>
      </c>
      <c r="M239" s="0" t="s">
        <v>1087</v>
      </c>
      <c r="N239" s="0" t="n">
        <v>1</v>
      </c>
      <c r="P239" s="0" t="s">
        <v>217</v>
      </c>
      <c r="Q239" s="0" t="s">
        <v>218</v>
      </c>
      <c r="R239" s="0" t="s">
        <v>744</v>
      </c>
      <c r="S239" s="0" t="s">
        <v>435</v>
      </c>
      <c r="T239" s="0" t="s">
        <v>449</v>
      </c>
      <c r="U239" s="0" t="s">
        <v>199</v>
      </c>
      <c r="V239" s="0" t="s">
        <v>1085</v>
      </c>
      <c r="W239" s="12" t="n">
        <v>0</v>
      </c>
      <c r="Y239" s="12" t="s">
        <v>746</v>
      </c>
      <c r="AA239" s="12" t="s">
        <v>1087</v>
      </c>
      <c r="AF239" s="0" t="s">
        <v>1088</v>
      </c>
      <c r="AG239" s="0" t="s">
        <v>10</v>
      </c>
      <c r="AH239" s="0" t="n">
        <v>1</v>
      </c>
      <c r="AK239" s="0" t="s">
        <v>85</v>
      </c>
      <c r="AL239" s="13" t="n">
        <v>1463900</v>
      </c>
      <c r="AM239" s="14" t="n">
        <v>0</v>
      </c>
      <c r="AN239" s="13" t="n">
        <v>1742041</v>
      </c>
      <c r="AO239" s="13" t="n">
        <v>278141</v>
      </c>
      <c r="AR239" s="0" t="s">
        <v>1089</v>
      </c>
      <c r="AS239" s="0" t="n">
        <v>1742041</v>
      </c>
      <c r="AX239" s="0" t="s">
        <v>1085</v>
      </c>
      <c r="AZ239" s="0" t="s">
        <v>89</v>
      </c>
      <c r="BA239" s="0" t="s">
        <v>89</v>
      </c>
      <c r="BB239" s="0" t="s">
        <v>90</v>
      </c>
      <c r="BC239" s="0" t="n">
        <v>0</v>
      </c>
      <c r="BD239" s="15" t="s">
        <v>1090</v>
      </c>
      <c r="BE239" s="37" t="s">
        <v>1091</v>
      </c>
    </row>
    <row r="240" customFormat="false" ht="16.4" hidden="false" customHeight="false" outlineLevel="0" collapsed="false">
      <c r="A240" s="36" t="n">
        <f aca="false">IF(B240=0,"",MAX($A$3:A239)+1)</f>
        <v>178</v>
      </c>
      <c r="B240" s="36" t="n">
        <f aca="false">IF(OR(M240="FLETE",M240="FLETE ENVIO GARANTIA",M240="FLETE RECOLECCION GARANTIA",M240="COMPENSACION"),0,1)</f>
        <v>1</v>
      </c>
      <c r="C240" s="0" t="s">
        <v>1092</v>
      </c>
      <c r="D240" s="10" t="s">
        <v>1093</v>
      </c>
      <c r="E240" s="11" t="n">
        <v>45700</v>
      </c>
      <c r="F240" s="11" t="n">
        <v>45717</v>
      </c>
      <c r="G240" s="11" t="n">
        <v>45719</v>
      </c>
      <c r="J240" s="0" t="s">
        <v>1085</v>
      </c>
      <c r="K240" s="0" t="s">
        <v>93</v>
      </c>
      <c r="L240" s="0" t="s">
        <v>1086</v>
      </c>
      <c r="M240" s="0" t="s">
        <v>1087</v>
      </c>
      <c r="N240" s="0" t="n">
        <v>1</v>
      </c>
      <c r="P240" s="0" t="s">
        <v>217</v>
      </c>
      <c r="Q240" s="0" t="s">
        <v>218</v>
      </c>
      <c r="R240" s="0" t="s">
        <v>744</v>
      </c>
      <c r="S240" s="0" t="s">
        <v>435</v>
      </c>
      <c r="T240" s="0" t="s">
        <v>449</v>
      </c>
      <c r="U240" s="0" t="s">
        <v>199</v>
      </c>
      <c r="V240" s="0" t="s">
        <v>1085</v>
      </c>
      <c r="W240" s="12" t="n">
        <v>0</v>
      </c>
      <c r="Y240" s="12" t="s">
        <v>746</v>
      </c>
      <c r="AA240" s="12" t="s">
        <v>1087</v>
      </c>
      <c r="AF240" s="0" t="s">
        <v>1088</v>
      </c>
      <c r="AG240" s="0" t="s">
        <v>10</v>
      </c>
      <c r="AH240" s="0" t="n">
        <v>1</v>
      </c>
      <c r="AK240" s="0" t="s">
        <v>85</v>
      </c>
      <c r="AL240" s="13" t="n">
        <v>1463900</v>
      </c>
      <c r="AM240" s="14" t="n">
        <v>0</v>
      </c>
      <c r="AN240" s="13" t="n">
        <v>1742041</v>
      </c>
      <c r="AO240" s="13" t="n">
        <v>278141</v>
      </c>
      <c r="AR240" s="0" t="s">
        <v>1094</v>
      </c>
      <c r="AS240" s="0" t="n">
        <v>1742041</v>
      </c>
      <c r="AX240" s="0" t="s">
        <v>1085</v>
      </c>
      <c r="AZ240" s="0" t="s">
        <v>89</v>
      </c>
      <c r="BA240" s="0" t="s">
        <v>89</v>
      </c>
      <c r="BB240" s="0" t="s">
        <v>90</v>
      </c>
      <c r="BC240" s="0" t="n">
        <v>0</v>
      </c>
      <c r="BD240" s="15" t="s">
        <v>1095</v>
      </c>
      <c r="BE240" s="37" t="s">
        <v>1091</v>
      </c>
    </row>
    <row r="241" customFormat="false" ht="16.4" hidden="false" customHeight="false" outlineLevel="0" collapsed="false">
      <c r="A241" s="36" t="n">
        <f aca="false">IF(B241=0,"",MAX($A$3:A240)+1)</f>
        <v>179</v>
      </c>
      <c r="B241" s="36" t="n">
        <f aca="false">IF(OR(M241="FLETE",M241="FLETE ENVIO GARANTIA",M241="FLETE RECOLECCION GARANTIA",M241="COMPENSACION"),0,1)</f>
        <v>1</v>
      </c>
      <c r="C241" s="0" t="s">
        <v>1096</v>
      </c>
      <c r="D241" s="10" t="n">
        <v>13914949</v>
      </c>
      <c r="E241" s="11" t="n">
        <v>45700</v>
      </c>
      <c r="F241" s="11" t="n">
        <v>45717</v>
      </c>
      <c r="G241" s="11" t="n">
        <v>45719</v>
      </c>
      <c r="I241" s="11" t="n">
        <v>45721</v>
      </c>
      <c r="J241" s="0" t="s">
        <v>282</v>
      </c>
      <c r="K241" s="0" t="s">
        <v>214</v>
      </c>
      <c r="L241" s="0" t="s">
        <v>1097</v>
      </c>
      <c r="M241" s="0" t="s">
        <v>1098</v>
      </c>
      <c r="N241" s="0" t="n">
        <v>2</v>
      </c>
      <c r="P241" s="0" t="s">
        <v>217</v>
      </c>
      <c r="Q241" s="0" t="s">
        <v>482</v>
      </c>
      <c r="R241" s="0" t="s">
        <v>1099</v>
      </c>
      <c r="S241" s="0" t="s">
        <v>591</v>
      </c>
      <c r="T241" s="0" t="s">
        <v>159</v>
      </c>
      <c r="U241" s="0" t="s">
        <v>199</v>
      </c>
      <c r="V241" s="0" t="s">
        <v>1100</v>
      </c>
      <c r="W241" s="12" t="n">
        <v>0</v>
      </c>
      <c r="Y241" s="12" t="s">
        <v>1101</v>
      </c>
      <c r="Z241" s="0" t="s">
        <v>949</v>
      </c>
      <c r="AB241" s="0" t="n">
        <v>1130613511</v>
      </c>
      <c r="AC241" s="0" t="s">
        <v>1102</v>
      </c>
      <c r="AE241" s="0" t="n">
        <v>3172204519</v>
      </c>
      <c r="AF241" s="0" t="n">
        <v>582515</v>
      </c>
      <c r="AG241" s="0" t="s">
        <v>6</v>
      </c>
      <c r="AK241" s="0" t="s">
        <v>85</v>
      </c>
      <c r="AL241" s="13" t="n">
        <v>283900</v>
      </c>
      <c r="AM241" s="14" t="n">
        <v>-13.0328</v>
      </c>
      <c r="AN241" s="13" t="n">
        <v>763742.29</v>
      </c>
      <c r="AO241" s="13" t="n">
        <v>121942.05</v>
      </c>
      <c r="AP241" s="0" t="s">
        <v>1103</v>
      </c>
      <c r="AR241" s="0" t="s">
        <v>1104</v>
      </c>
      <c r="AS241" s="0" t="n">
        <v>763742.29</v>
      </c>
      <c r="AT241" s="0" t="s">
        <v>441</v>
      </c>
      <c r="AU241" s="0" t="s">
        <v>444</v>
      </c>
      <c r="AV241" s="0" t="s">
        <v>445</v>
      </c>
      <c r="AX241" s="0" t="s">
        <v>438</v>
      </c>
      <c r="AY241" s="0" t="s">
        <v>440</v>
      </c>
      <c r="AZ241" s="0" t="s">
        <v>89</v>
      </c>
      <c r="BA241" s="0" t="s">
        <v>89</v>
      </c>
      <c r="BB241" s="0" t="s">
        <v>130</v>
      </c>
      <c r="BC241" s="0" t="n">
        <v>0</v>
      </c>
      <c r="BD241" s="15" t="s">
        <v>1105</v>
      </c>
      <c r="BE241" s="37" t="s">
        <v>1106</v>
      </c>
    </row>
    <row r="242" customFormat="false" ht="16.4" hidden="false" customHeight="false" outlineLevel="0" collapsed="false">
      <c r="A242" s="36" t="str">
        <f aca="false">IF(B242=0,"",MAX($A$3:A241)+1)</f>
        <v/>
      </c>
      <c r="B242" s="36" t="n">
        <f aca="false">IF(OR(M242="FLETE",M242="FLETE ENVIO GARANTIA",M242="FLETE RECOLECCION GARANTIA",M242="COMPENSACION"),0,1)</f>
        <v>0</v>
      </c>
      <c r="D242" s="10" t="n">
        <v>13914949</v>
      </c>
      <c r="J242" s="0" t="s">
        <v>282</v>
      </c>
      <c r="K242" s="0" t="s">
        <v>93</v>
      </c>
      <c r="L242" s="0" t="s">
        <v>210</v>
      </c>
      <c r="M242" s="0" t="s">
        <v>211</v>
      </c>
      <c r="N242" s="0" t="n">
        <v>1</v>
      </c>
      <c r="P242" s="0" t="s">
        <v>73</v>
      </c>
      <c r="R242" s="0" t="s">
        <v>211</v>
      </c>
      <c r="V242" s="0" t="s">
        <v>1100</v>
      </c>
      <c r="W242" s="12" t="n">
        <v>0</v>
      </c>
      <c r="Y242" s="0" t="s">
        <v>1101</v>
      </c>
      <c r="AG242" s="0" t="s">
        <v>6</v>
      </c>
      <c r="AL242" s="13" t="n">
        <v>0</v>
      </c>
      <c r="AM242" s="14" t="n">
        <v>0</v>
      </c>
      <c r="AO242" s="13" t="n">
        <v>0</v>
      </c>
      <c r="AR242" s="0" t="s">
        <v>1104</v>
      </c>
      <c r="AZ242" s="0" t="s">
        <v>89</v>
      </c>
      <c r="BA242" s="0" t="s">
        <v>89</v>
      </c>
      <c r="BB242" s="0" t="s">
        <v>130</v>
      </c>
      <c r="BC242" s="0" t="n">
        <v>0</v>
      </c>
      <c r="BD242" s="15" t="s">
        <v>1105</v>
      </c>
      <c r="BE242" s="37" t="s">
        <v>1106</v>
      </c>
    </row>
    <row r="243" customFormat="false" ht="16.4" hidden="false" customHeight="false" outlineLevel="0" collapsed="false">
      <c r="A243" s="36" t="n">
        <f aca="false">IF(B243=0,"",MAX($A$3:A242)+1)</f>
        <v>180</v>
      </c>
      <c r="B243" s="36" t="n">
        <f aca="false">IF(OR(M243="FLETE",M243="FLETE ENVIO GARANTIA",M243="FLETE RECOLECCION GARANTIA",M243="COMPENSACION"),0,1)</f>
        <v>1</v>
      </c>
      <c r="C243" s="0" t="s">
        <v>1107</v>
      </c>
      <c r="D243" s="10" t="n">
        <v>7421281</v>
      </c>
      <c r="E243" s="11" t="n">
        <v>45700</v>
      </c>
      <c r="F243" s="11" t="n">
        <v>45717</v>
      </c>
      <c r="G243" s="11" t="n">
        <v>45719</v>
      </c>
      <c r="I243" s="11" t="n">
        <v>45721</v>
      </c>
      <c r="J243" s="0" t="s">
        <v>816</v>
      </c>
      <c r="K243" s="0" t="s">
        <v>943</v>
      </c>
      <c r="L243" s="0" t="s">
        <v>1108</v>
      </c>
      <c r="M243" s="0" t="s">
        <v>1109</v>
      </c>
      <c r="N243" s="0" t="n">
        <v>1</v>
      </c>
      <c r="P243" s="0" t="s">
        <v>195</v>
      </c>
      <c r="Q243" s="0" t="s">
        <v>196</v>
      </c>
      <c r="R243" s="0" t="s">
        <v>1110</v>
      </c>
      <c r="T243" s="0" t="s">
        <v>198</v>
      </c>
      <c r="U243" s="0" t="s">
        <v>199</v>
      </c>
      <c r="V243" s="0" t="s">
        <v>1111</v>
      </c>
      <c r="W243" s="12" t="n">
        <v>0</v>
      </c>
      <c r="Y243" s="12" t="s">
        <v>1112</v>
      </c>
      <c r="Z243" s="0" t="s">
        <v>1113</v>
      </c>
      <c r="AA243" s="12" t="n">
        <v>12763148660</v>
      </c>
      <c r="AB243" s="0" t="n">
        <v>1047507785</v>
      </c>
      <c r="AC243" s="0" t="s">
        <v>1114</v>
      </c>
      <c r="AE243" s="0" t="n">
        <v>3242740977</v>
      </c>
      <c r="AF243" s="0" t="n">
        <v>24630124</v>
      </c>
      <c r="AG243" s="0" t="s">
        <v>10</v>
      </c>
      <c r="AK243" s="0" t="s">
        <v>85</v>
      </c>
      <c r="AL243" s="13" t="n">
        <v>913900</v>
      </c>
      <c r="AM243" s="14" t="n">
        <v>-24.7292</v>
      </c>
      <c r="AN243" s="13" t="n">
        <v>1356481.19</v>
      </c>
      <c r="AO243" s="13" t="n">
        <v>216581.03</v>
      </c>
      <c r="AR243" s="0" t="s">
        <v>1115</v>
      </c>
      <c r="AS243" s="0" t="n">
        <v>1356481.19</v>
      </c>
      <c r="AT243" s="0" t="s">
        <v>824</v>
      </c>
      <c r="AU243" s="0" t="s">
        <v>444</v>
      </c>
      <c r="AW243" s="0" t="s">
        <v>825</v>
      </c>
      <c r="AX243" s="0" t="s">
        <v>826</v>
      </c>
      <c r="AY243" s="0" t="s">
        <v>827</v>
      </c>
      <c r="AZ243" s="0" t="s">
        <v>89</v>
      </c>
      <c r="BA243" s="0" t="s">
        <v>89</v>
      </c>
      <c r="BB243" s="0" t="s">
        <v>90</v>
      </c>
      <c r="BC243" s="0" t="n">
        <v>0</v>
      </c>
      <c r="BD243" s="15" t="s">
        <v>1116</v>
      </c>
      <c r="BE243" s="37" t="s">
        <v>829</v>
      </c>
    </row>
    <row r="244" customFormat="false" ht="16.4" hidden="false" customHeight="false" outlineLevel="0" collapsed="false">
      <c r="A244" s="36" t="str">
        <f aca="false">IF(B244=0,"",MAX($A$3:A243)+1)</f>
        <v/>
      </c>
      <c r="B244" s="36" t="n">
        <f aca="false">IF(OR(M244="FLETE",M244="FLETE ENVIO GARANTIA",M244="FLETE RECOLECCION GARANTIA",M244="COMPENSACION"),0,1)</f>
        <v>0</v>
      </c>
      <c r="D244" s="10" t="n">
        <v>7421281</v>
      </c>
      <c r="J244" s="0" t="s">
        <v>816</v>
      </c>
      <c r="K244" s="0" t="s">
        <v>93</v>
      </c>
      <c r="L244" s="0" t="s">
        <v>210</v>
      </c>
      <c r="M244" s="0" t="s">
        <v>211</v>
      </c>
      <c r="N244" s="0" t="n">
        <v>1</v>
      </c>
      <c r="P244" s="0" t="s">
        <v>73</v>
      </c>
      <c r="R244" s="0" t="s">
        <v>211</v>
      </c>
      <c r="V244" s="0" t="s">
        <v>1111</v>
      </c>
      <c r="W244" s="12" t="n">
        <v>0</v>
      </c>
      <c r="Y244" s="12" t="s">
        <v>1112</v>
      </c>
      <c r="AG244" s="0" t="s">
        <v>10</v>
      </c>
      <c r="AL244" s="13" t="n">
        <v>0</v>
      </c>
      <c r="AM244" s="14" t="n">
        <v>0</v>
      </c>
      <c r="AO244" s="13" t="n">
        <v>0</v>
      </c>
      <c r="AR244" s="0" t="s">
        <v>1115</v>
      </c>
      <c r="AZ244" s="0" t="s">
        <v>89</v>
      </c>
      <c r="BA244" s="0" t="s">
        <v>89</v>
      </c>
      <c r="BB244" s="0" t="s">
        <v>90</v>
      </c>
      <c r="BC244" s="0" t="n">
        <v>0</v>
      </c>
      <c r="BD244" s="15" t="s">
        <v>1116</v>
      </c>
      <c r="BE244" s="37" t="s">
        <v>829</v>
      </c>
    </row>
    <row r="245" customFormat="false" ht="16.4" hidden="false" customHeight="false" outlineLevel="0" collapsed="false">
      <c r="A245" s="36" t="n">
        <f aca="false">IF(B245=0,"",MAX($A$3:A244)+1)</f>
        <v>181</v>
      </c>
      <c r="B245" s="36" t="n">
        <f aca="false">IF(OR(M245="FLETE",M245="FLETE ENVIO GARANTIA",M245="FLETE RECOLECCION GARANTIA",M245="COMPENSACION"),0,1)</f>
        <v>1</v>
      </c>
      <c r="C245" s="0" t="s">
        <v>1117</v>
      </c>
      <c r="D245" s="10" t="n">
        <v>7421283</v>
      </c>
      <c r="E245" s="11" t="n">
        <v>45700</v>
      </c>
      <c r="F245" s="11" t="n">
        <v>45717</v>
      </c>
      <c r="G245" s="11" t="n">
        <v>45719</v>
      </c>
      <c r="I245" s="11" t="n">
        <v>45721</v>
      </c>
      <c r="J245" s="0" t="s">
        <v>816</v>
      </c>
      <c r="K245" s="0" t="s">
        <v>479</v>
      </c>
      <c r="L245" s="0" t="s">
        <v>1118</v>
      </c>
      <c r="M245" s="0" t="s">
        <v>1119</v>
      </c>
      <c r="N245" s="0" t="n">
        <v>1</v>
      </c>
      <c r="P245" s="0" t="s">
        <v>217</v>
      </c>
      <c r="Q245" s="0" t="s">
        <v>482</v>
      </c>
      <c r="R245" s="0" t="s">
        <v>785</v>
      </c>
      <c r="S245" s="0" t="s">
        <v>591</v>
      </c>
      <c r="T245" s="0" t="s">
        <v>719</v>
      </c>
      <c r="U245" s="0" t="s">
        <v>199</v>
      </c>
      <c r="V245" s="0" t="s">
        <v>1120</v>
      </c>
      <c r="W245" s="12" t="n">
        <v>0</v>
      </c>
      <c r="Y245" s="12" t="s">
        <v>1121</v>
      </c>
      <c r="Z245" s="0" t="s">
        <v>179</v>
      </c>
      <c r="AA245" s="12" t="n">
        <v>12763148950</v>
      </c>
      <c r="AB245" s="0" t="n">
        <v>98712242</v>
      </c>
      <c r="AC245" s="0" t="s">
        <v>1122</v>
      </c>
      <c r="AE245" s="0" t="n">
        <v>3186614457</v>
      </c>
      <c r="AF245" s="0" t="n">
        <v>5993439</v>
      </c>
      <c r="AG245" s="0" t="s">
        <v>10</v>
      </c>
      <c r="AK245" s="0" t="s">
        <v>85</v>
      </c>
      <c r="AL245" s="13" t="n">
        <v>455900</v>
      </c>
      <c r="AM245" s="14" t="n">
        <v>-23.4701</v>
      </c>
      <c r="AN245" s="13" t="n">
        <v>669851.23</v>
      </c>
      <c r="AO245" s="13" t="n">
        <v>106951.04</v>
      </c>
      <c r="AR245" s="0" t="s">
        <v>1123</v>
      </c>
      <c r="AS245" s="0" t="n">
        <v>669851.23</v>
      </c>
      <c r="AT245" s="0" t="s">
        <v>824</v>
      </c>
      <c r="AU245" s="0" t="s">
        <v>444</v>
      </c>
      <c r="AW245" s="0" t="s">
        <v>825</v>
      </c>
      <c r="AX245" s="0" t="s">
        <v>826</v>
      </c>
      <c r="AY245" s="0" t="s">
        <v>827</v>
      </c>
      <c r="AZ245" s="0" t="s">
        <v>89</v>
      </c>
      <c r="BA245" s="0" t="s">
        <v>89</v>
      </c>
      <c r="BB245" s="0" t="s">
        <v>90</v>
      </c>
      <c r="BC245" s="0" t="n">
        <v>0</v>
      </c>
      <c r="BD245" s="15" t="s">
        <v>1124</v>
      </c>
      <c r="BE245" s="37" t="s">
        <v>829</v>
      </c>
    </row>
    <row r="246" customFormat="false" ht="16.4" hidden="false" customHeight="false" outlineLevel="0" collapsed="false">
      <c r="A246" s="36" t="str">
        <f aca="false">IF(B246=0,"",MAX($A$3:A245)+1)</f>
        <v/>
      </c>
      <c r="B246" s="36" t="n">
        <f aca="false">IF(OR(M246="FLETE",M246="FLETE ENVIO GARANTIA",M246="FLETE RECOLECCION GARANTIA",M246="COMPENSACION"),0,1)</f>
        <v>0</v>
      </c>
      <c r="D246" s="10" t="n">
        <v>7421283</v>
      </c>
      <c r="J246" s="0" t="s">
        <v>816</v>
      </c>
      <c r="K246" s="0" t="s">
        <v>93</v>
      </c>
      <c r="L246" s="0" t="s">
        <v>210</v>
      </c>
      <c r="M246" s="0" t="s">
        <v>211</v>
      </c>
      <c r="N246" s="0" t="n">
        <v>1</v>
      </c>
      <c r="P246" s="0" t="s">
        <v>73</v>
      </c>
      <c r="R246" s="0" t="s">
        <v>211</v>
      </c>
      <c r="V246" s="0" t="s">
        <v>1120</v>
      </c>
      <c r="W246" s="12" t="n">
        <v>0</v>
      </c>
      <c r="Y246" s="12" t="s">
        <v>1121</v>
      </c>
      <c r="AG246" s="0" t="s">
        <v>10</v>
      </c>
      <c r="AL246" s="13" t="n">
        <v>0</v>
      </c>
      <c r="AM246" s="14" t="n">
        <v>0</v>
      </c>
      <c r="AO246" s="13" t="n">
        <v>0</v>
      </c>
      <c r="AR246" s="0" t="s">
        <v>1123</v>
      </c>
      <c r="AZ246" s="0" t="s">
        <v>89</v>
      </c>
      <c r="BA246" s="0" t="s">
        <v>89</v>
      </c>
      <c r="BB246" s="0" t="s">
        <v>90</v>
      </c>
      <c r="BC246" s="0" t="n">
        <v>0</v>
      </c>
      <c r="BD246" s="15" t="s">
        <v>1124</v>
      </c>
      <c r="BE246" s="37" t="s">
        <v>829</v>
      </c>
    </row>
    <row r="247" customFormat="false" ht="16.4" hidden="false" customHeight="false" outlineLevel="0" collapsed="false">
      <c r="A247" s="36" t="n">
        <f aca="false">IF(B247=0,"",MAX($A$3:A246)+1)</f>
        <v>182</v>
      </c>
      <c r="B247" s="36" t="n">
        <f aca="false">IF(OR(M247="FLETE",M247="FLETE ENVIO GARANTIA",M247="FLETE RECOLECCION GARANTIA",M247="COMPENSACION"),0,1)</f>
        <v>1</v>
      </c>
      <c r="C247" s="0" t="s">
        <v>1125</v>
      </c>
      <c r="D247" s="10" t="n">
        <v>7420940</v>
      </c>
      <c r="E247" s="11" t="n">
        <v>45700</v>
      </c>
      <c r="F247" s="11" t="n">
        <v>45717</v>
      </c>
      <c r="G247" s="11" t="n">
        <v>45719</v>
      </c>
      <c r="I247" s="11" t="n">
        <v>45720</v>
      </c>
      <c r="J247" s="0" t="s">
        <v>816</v>
      </c>
      <c r="K247" s="0" t="s">
        <v>214</v>
      </c>
      <c r="L247" s="0" t="s">
        <v>1126</v>
      </c>
      <c r="M247" s="0" t="s">
        <v>1127</v>
      </c>
      <c r="N247" s="0" t="n">
        <v>1</v>
      </c>
      <c r="P247" s="0" t="s">
        <v>217</v>
      </c>
      <c r="Q247" s="0" t="s">
        <v>218</v>
      </c>
      <c r="R247" s="0" t="s">
        <v>1128</v>
      </c>
      <c r="S247" s="0" t="s">
        <v>435</v>
      </c>
      <c r="T247" s="0" t="s">
        <v>513</v>
      </c>
      <c r="U247" s="0" t="s">
        <v>160</v>
      </c>
      <c r="V247" s="0" t="s">
        <v>1129</v>
      </c>
      <c r="W247" s="12" t="n">
        <v>0</v>
      </c>
      <c r="Y247" s="12" t="s">
        <v>1130</v>
      </c>
      <c r="Z247" s="0" t="s">
        <v>949</v>
      </c>
      <c r="AA247" s="12" t="n">
        <v>12763122998</v>
      </c>
      <c r="AB247" s="0" t="n">
        <v>1152451184</v>
      </c>
      <c r="AC247" s="0" t="s">
        <v>1131</v>
      </c>
      <c r="AE247" s="0" t="n">
        <v>3218985959</v>
      </c>
      <c r="AF247" s="0" t="n">
        <v>72748117</v>
      </c>
      <c r="AG247" s="0" t="s">
        <v>10</v>
      </c>
      <c r="AK247" s="0" t="s">
        <v>85</v>
      </c>
      <c r="AL247" s="13" t="n">
        <v>1382400</v>
      </c>
      <c r="AM247" s="14" t="n">
        <v>-16.3122</v>
      </c>
      <c r="AN247" s="13" t="n">
        <v>1913400.82</v>
      </c>
      <c r="AO247" s="13" t="n">
        <v>305500.97</v>
      </c>
      <c r="AR247" s="0" t="s">
        <v>1132</v>
      </c>
      <c r="AS247" s="0" t="n">
        <v>1913400.82</v>
      </c>
      <c r="AT247" s="0" t="s">
        <v>824</v>
      </c>
      <c r="AU247" s="0" t="s">
        <v>444</v>
      </c>
      <c r="AW247" s="0" t="s">
        <v>825</v>
      </c>
      <c r="AX247" s="0" t="s">
        <v>826</v>
      </c>
      <c r="AY247" s="0" t="s">
        <v>827</v>
      </c>
      <c r="AZ247" s="0" t="s">
        <v>89</v>
      </c>
      <c r="BA247" s="0" t="s">
        <v>89</v>
      </c>
      <c r="BB247" s="0" t="s">
        <v>90</v>
      </c>
      <c r="BC247" s="0" t="s">
        <v>241</v>
      </c>
      <c r="BD247" s="15" t="s">
        <v>1133</v>
      </c>
      <c r="BE247" s="37" t="s">
        <v>829</v>
      </c>
    </row>
    <row r="248" customFormat="false" ht="16.4" hidden="false" customHeight="false" outlineLevel="0" collapsed="false">
      <c r="A248" s="36" t="str">
        <f aca="false">IF(B248=0,"",MAX($A$3:A247)+1)</f>
        <v/>
      </c>
      <c r="B248" s="36" t="n">
        <f aca="false">IF(OR(M248="FLETE",M248="FLETE ENVIO GARANTIA",M248="FLETE RECOLECCION GARANTIA",M248="COMPENSACION"),0,1)</f>
        <v>0</v>
      </c>
      <c r="D248" s="10" t="n">
        <v>7420940</v>
      </c>
      <c r="J248" s="0" t="s">
        <v>816</v>
      </c>
      <c r="K248" s="0" t="s">
        <v>93</v>
      </c>
      <c r="L248" s="0" t="s">
        <v>210</v>
      </c>
      <c r="M248" s="0" t="s">
        <v>211</v>
      </c>
      <c r="N248" s="0" t="n">
        <v>1</v>
      </c>
      <c r="P248" s="0" t="s">
        <v>73</v>
      </c>
      <c r="R248" s="0" t="s">
        <v>211</v>
      </c>
      <c r="V248" s="0" t="s">
        <v>1129</v>
      </c>
      <c r="W248" s="12" t="n">
        <v>0</v>
      </c>
      <c r="Y248" s="12" t="s">
        <v>1130</v>
      </c>
      <c r="AG248" s="0" t="s">
        <v>10</v>
      </c>
      <c r="AL248" s="13" t="n">
        <v>0</v>
      </c>
      <c r="AM248" s="14" t="n">
        <v>0</v>
      </c>
      <c r="AO248" s="13" t="n">
        <v>0</v>
      </c>
      <c r="AR248" s="0" t="s">
        <v>1132</v>
      </c>
      <c r="AZ248" s="0" t="s">
        <v>89</v>
      </c>
      <c r="BA248" s="0" t="s">
        <v>89</v>
      </c>
      <c r="BB248" s="0" t="s">
        <v>90</v>
      </c>
      <c r="BC248" s="0" t="s">
        <v>241</v>
      </c>
      <c r="BD248" s="15" t="s">
        <v>1133</v>
      </c>
      <c r="BE248" s="37" t="s">
        <v>829</v>
      </c>
    </row>
    <row r="249" customFormat="false" ht="16.4" hidden="false" customHeight="false" outlineLevel="0" collapsed="false">
      <c r="A249" s="36" t="n">
        <f aca="false">IF(B249=0,"",MAX($A$3:A248)+1)</f>
        <v>183</v>
      </c>
      <c r="B249" s="36" t="n">
        <f aca="false">IF(OR(M249="FLETE",M249="FLETE ENVIO GARANTIA",M249="FLETE RECOLECCION GARANTIA",M249="COMPENSACION"),0,1)</f>
        <v>1</v>
      </c>
      <c r="C249" s="0" t="s">
        <v>1134</v>
      </c>
      <c r="D249" s="10" t="n">
        <v>7421082</v>
      </c>
      <c r="E249" s="11" t="n">
        <v>45700</v>
      </c>
      <c r="F249" s="11" t="n">
        <v>45717</v>
      </c>
      <c r="G249" s="11" t="n">
        <v>45719</v>
      </c>
      <c r="I249" s="11" t="n">
        <v>45721</v>
      </c>
      <c r="J249" s="0" t="s">
        <v>816</v>
      </c>
      <c r="K249" s="0" t="s">
        <v>93</v>
      </c>
      <c r="L249" s="0" t="s">
        <v>1135</v>
      </c>
      <c r="M249" s="0" t="s">
        <v>1136</v>
      </c>
      <c r="N249" s="0" t="n">
        <v>1</v>
      </c>
      <c r="P249" s="0" t="s">
        <v>217</v>
      </c>
      <c r="Q249" s="0" t="s">
        <v>218</v>
      </c>
      <c r="R249" s="0" t="s">
        <v>744</v>
      </c>
      <c r="S249" s="0" t="s">
        <v>435</v>
      </c>
      <c r="T249" s="0" t="s">
        <v>513</v>
      </c>
      <c r="U249" s="0" t="s">
        <v>199</v>
      </c>
      <c r="V249" s="0" t="s">
        <v>1137</v>
      </c>
      <c r="W249" s="12" t="n">
        <v>0</v>
      </c>
      <c r="Y249" s="12" t="s">
        <v>1112</v>
      </c>
      <c r="Z249" s="0" t="s">
        <v>1113</v>
      </c>
      <c r="AA249" s="12" t="n">
        <v>12763131990</v>
      </c>
      <c r="AB249" s="0" t="n">
        <v>31836256</v>
      </c>
      <c r="AC249" s="0" t="s">
        <v>1138</v>
      </c>
      <c r="AE249" s="0" t="n">
        <v>3155650669</v>
      </c>
      <c r="AF249" s="0" t="n">
        <v>21887549</v>
      </c>
      <c r="AG249" s="0" t="s">
        <v>10</v>
      </c>
      <c r="AK249" s="0" t="s">
        <v>85</v>
      </c>
      <c r="AL249" s="13" t="n">
        <v>894400</v>
      </c>
      <c r="AM249" s="14" t="n">
        <v>-38.5174</v>
      </c>
      <c r="AN249" s="13" t="n">
        <v>1474290.56</v>
      </c>
      <c r="AO249" s="13" t="n">
        <v>235390.93</v>
      </c>
      <c r="AR249" s="0" t="s">
        <v>1139</v>
      </c>
      <c r="AS249" s="0" t="n">
        <v>1474290.56</v>
      </c>
      <c r="AT249" s="0" t="s">
        <v>824</v>
      </c>
      <c r="AU249" s="0" t="s">
        <v>444</v>
      </c>
      <c r="AW249" s="0" t="s">
        <v>825</v>
      </c>
      <c r="AX249" s="0" t="s">
        <v>826</v>
      </c>
      <c r="AY249" s="0" t="s">
        <v>827</v>
      </c>
      <c r="AZ249" s="0" t="s">
        <v>89</v>
      </c>
      <c r="BA249" s="0" t="s">
        <v>89</v>
      </c>
      <c r="BB249" s="0" t="s">
        <v>90</v>
      </c>
      <c r="BC249" s="0" t="n">
        <v>0</v>
      </c>
      <c r="BD249" s="15" t="s">
        <v>1140</v>
      </c>
      <c r="BE249" s="37" t="s">
        <v>829</v>
      </c>
    </row>
    <row r="250" customFormat="false" ht="16.4" hidden="false" customHeight="false" outlineLevel="0" collapsed="false">
      <c r="A250" s="36" t="str">
        <f aca="false">IF(B250=0,"",MAX($A$3:A249)+1)</f>
        <v/>
      </c>
      <c r="B250" s="36" t="n">
        <f aca="false">IF(OR(M250="FLETE",M250="FLETE ENVIO GARANTIA",M250="FLETE RECOLECCION GARANTIA",M250="COMPENSACION"),0,1)</f>
        <v>0</v>
      </c>
      <c r="D250" s="10" t="n">
        <v>7421082</v>
      </c>
      <c r="J250" s="0" t="s">
        <v>816</v>
      </c>
      <c r="K250" s="0" t="s">
        <v>93</v>
      </c>
      <c r="L250" s="0" t="s">
        <v>210</v>
      </c>
      <c r="M250" s="0" t="s">
        <v>211</v>
      </c>
      <c r="N250" s="0" t="n">
        <v>1</v>
      </c>
      <c r="P250" s="0" t="s">
        <v>73</v>
      </c>
      <c r="R250" s="0" t="s">
        <v>211</v>
      </c>
      <c r="V250" s="0" t="s">
        <v>1137</v>
      </c>
      <c r="W250" s="12" t="n">
        <v>0</v>
      </c>
      <c r="Y250" s="12" t="s">
        <v>1112</v>
      </c>
      <c r="AG250" s="0" t="s">
        <v>10</v>
      </c>
      <c r="AL250" s="13" t="n">
        <v>0</v>
      </c>
      <c r="AM250" s="14" t="n">
        <v>0</v>
      </c>
      <c r="AO250" s="13" t="n">
        <v>0</v>
      </c>
      <c r="AR250" s="0" t="s">
        <v>1139</v>
      </c>
      <c r="AZ250" s="0" t="s">
        <v>89</v>
      </c>
      <c r="BA250" s="0" t="s">
        <v>89</v>
      </c>
      <c r="BB250" s="0" t="s">
        <v>90</v>
      </c>
      <c r="BC250" s="0" t="n">
        <v>0</v>
      </c>
      <c r="BD250" s="15" t="s">
        <v>1140</v>
      </c>
      <c r="BE250" s="37" t="s">
        <v>829</v>
      </c>
    </row>
    <row r="251" customFormat="false" ht="16.4" hidden="false" customHeight="false" outlineLevel="0" collapsed="false">
      <c r="A251" s="36" t="n">
        <f aca="false">IF(B251=0,"",MAX($A$3:A250)+1)</f>
        <v>184</v>
      </c>
      <c r="B251" s="36" t="n">
        <f aca="false">IF(OR(M251="FLETE",M251="FLETE ENVIO GARANTIA",M251="FLETE RECOLECCION GARANTIA",M251="COMPENSACION"),0,1)</f>
        <v>1</v>
      </c>
      <c r="C251" s="0" t="s">
        <v>1141</v>
      </c>
      <c r="D251" s="10" t="s">
        <v>1142</v>
      </c>
      <c r="E251" s="11" t="n">
        <v>45699</v>
      </c>
      <c r="F251" s="11" t="n">
        <v>45715</v>
      </c>
      <c r="G251" s="11" t="n">
        <v>45719</v>
      </c>
      <c r="H251" s="11" t="n">
        <v>45717</v>
      </c>
      <c r="I251" s="11" t="n">
        <v>45717</v>
      </c>
      <c r="J251" s="0" t="s">
        <v>1143</v>
      </c>
      <c r="K251" s="0" t="s">
        <v>93</v>
      </c>
      <c r="L251" s="0" t="s">
        <v>1144</v>
      </c>
      <c r="M251" s="0" t="s">
        <v>1145</v>
      </c>
      <c r="N251" s="0" t="n">
        <v>1</v>
      </c>
      <c r="P251" s="0" t="s">
        <v>217</v>
      </c>
      <c r="Q251" s="0" t="s">
        <v>218</v>
      </c>
      <c r="R251" s="0" t="s">
        <v>744</v>
      </c>
      <c r="S251" s="0" t="s">
        <v>158</v>
      </c>
      <c r="T251" s="0" t="s">
        <v>518</v>
      </c>
      <c r="U251" s="0" t="s">
        <v>160</v>
      </c>
      <c r="V251" s="0" t="s">
        <v>1146</v>
      </c>
      <c r="W251" s="12" t="n">
        <v>0</v>
      </c>
      <c r="Y251" s="12" t="s">
        <v>143</v>
      </c>
      <c r="Z251" s="0" t="s">
        <v>144</v>
      </c>
      <c r="AB251" s="0" t="s">
        <v>1147</v>
      </c>
      <c r="AC251" s="0" t="s">
        <v>1148</v>
      </c>
      <c r="AD251" s="0" t="s">
        <v>1149</v>
      </c>
      <c r="AG251" s="0" t="s">
        <v>3</v>
      </c>
      <c r="AH251" s="0" t="n">
        <v>6</v>
      </c>
      <c r="AI251" s="0" t="s">
        <v>1150</v>
      </c>
      <c r="AK251" s="0" t="s">
        <v>85</v>
      </c>
      <c r="AL251" s="13" t="n">
        <v>2039159.6638</v>
      </c>
      <c r="AM251" s="14" t="n">
        <v>48</v>
      </c>
      <c r="AN251" s="13" t="n">
        <v>1261832.01</v>
      </c>
      <c r="AO251" s="13" t="n">
        <v>201468.98</v>
      </c>
      <c r="AP251" s="0" t="s">
        <v>1151</v>
      </c>
      <c r="AQ251" s="0" t="s">
        <v>1152</v>
      </c>
      <c r="AR251" s="0" t="s">
        <v>1153</v>
      </c>
      <c r="AS251" s="0" t="n">
        <v>3552916.05</v>
      </c>
      <c r="AT251" s="0" t="s">
        <v>1148</v>
      </c>
      <c r="AU251" s="0" t="s">
        <v>143</v>
      </c>
      <c r="AW251" s="0" t="s">
        <v>1149</v>
      </c>
      <c r="AX251" s="0" t="s">
        <v>1146</v>
      </c>
      <c r="AY251" s="0" t="s">
        <v>1147</v>
      </c>
      <c r="AZ251" s="0" t="s">
        <v>89</v>
      </c>
      <c r="BA251" s="0" t="s">
        <v>89</v>
      </c>
      <c r="BB251" s="0" t="s">
        <v>90</v>
      </c>
      <c r="BC251" s="0" t="s">
        <v>150</v>
      </c>
      <c r="BD251" s="15" t="s">
        <v>1154</v>
      </c>
      <c r="BE251" s="37" t="s">
        <v>152</v>
      </c>
    </row>
    <row r="252" customFormat="false" ht="16.4" hidden="false" customHeight="false" outlineLevel="0" collapsed="false">
      <c r="A252" s="36" t="n">
        <f aca="false">IF(B252=0,"",MAX($A$3:A251)+1)</f>
        <v>185</v>
      </c>
      <c r="B252" s="36" t="n">
        <f aca="false">IF(OR(M252="FLETE",M252="FLETE ENVIO GARANTIA",M252="FLETE RECOLECCION GARANTIA",M252="COMPENSACION"),0,1)</f>
        <v>1</v>
      </c>
      <c r="D252" s="10" t="s">
        <v>1142</v>
      </c>
      <c r="J252" s="0" t="s">
        <v>1143</v>
      </c>
      <c r="K252" s="0" t="s">
        <v>93</v>
      </c>
      <c r="L252" s="0" t="s">
        <v>1155</v>
      </c>
      <c r="M252" s="0" t="s">
        <v>1156</v>
      </c>
      <c r="N252" s="0" t="n">
        <v>2</v>
      </c>
      <c r="P252" s="0" t="s">
        <v>217</v>
      </c>
      <c r="Q252" s="0" t="s">
        <v>482</v>
      </c>
      <c r="R252" s="0" t="s">
        <v>744</v>
      </c>
      <c r="S252" s="0" t="s">
        <v>158</v>
      </c>
      <c r="T252" s="0" t="s">
        <v>592</v>
      </c>
      <c r="U252" s="0" t="s">
        <v>160</v>
      </c>
      <c r="V252" s="0" t="s">
        <v>1146</v>
      </c>
      <c r="W252" s="12" t="n">
        <v>0</v>
      </c>
      <c r="Y252" s="0" t="s">
        <v>143</v>
      </c>
      <c r="AG252" s="0" t="s">
        <v>3</v>
      </c>
      <c r="AL252" s="13" t="n">
        <v>867502.8571</v>
      </c>
      <c r="AM252" s="14" t="n">
        <v>33</v>
      </c>
      <c r="AN252" s="13" t="n">
        <v>1383320.06</v>
      </c>
      <c r="AO252" s="13" t="n">
        <v>220866.23</v>
      </c>
      <c r="AR252" s="0" t="s">
        <v>1157</v>
      </c>
      <c r="AZ252" s="0" t="s">
        <v>89</v>
      </c>
      <c r="BA252" s="0" t="s">
        <v>89</v>
      </c>
      <c r="BB252" s="0" t="s">
        <v>90</v>
      </c>
      <c r="BC252" s="0" t="s">
        <v>150</v>
      </c>
      <c r="BD252" s="15" t="s">
        <v>1154</v>
      </c>
      <c r="BE252" s="37" t="s">
        <v>152</v>
      </c>
    </row>
    <row r="253" customFormat="false" ht="16.4" hidden="false" customHeight="false" outlineLevel="0" collapsed="false">
      <c r="A253" s="36" t="n">
        <f aca="false">IF(B253=0,"",MAX($A$3:A252)+1)</f>
        <v>186</v>
      </c>
      <c r="B253" s="36" t="n">
        <f aca="false">IF(OR(M253="FLETE",M253="FLETE ENVIO GARANTIA",M253="FLETE RECOLECCION GARANTIA",M253="COMPENSACION"),0,1)</f>
        <v>1</v>
      </c>
      <c r="D253" s="10" t="s">
        <v>1142</v>
      </c>
      <c r="J253" s="0" t="s">
        <v>1143</v>
      </c>
      <c r="K253" s="0" t="s">
        <v>529</v>
      </c>
      <c r="L253" s="0" t="s">
        <v>1158</v>
      </c>
      <c r="M253" s="0" t="s">
        <v>1159</v>
      </c>
      <c r="N253" s="0" t="n">
        <v>1</v>
      </c>
      <c r="P253" s="0" t="s">
        <v>217</v>
      </c>
      <c r="Q253" s="0" t="s">
        <v>532</v>
      </c>
      <c r="R253" s="0" t="s">
        <v>1160</v>
      </c>
      <c r="T253" s="0" t="s">
        <v>198</v>
      </c>
      <c r="U253" s="0" t="s">
        <v>1161</v>
      </c>
      <c r="V253" s="0" t="s">
        <v>1146</v>
      </c>
      <c r="W253" s="12" t="n">
        <v>0</v>
      </c>
      <c r="Y253" s="12" t="s">
        <v>143</v>
      </c>
      <c r="AG253" s="0" t="s">
        <v>3</v>
      </c>
      <c r="AL253" s="13" t="n">
        <v>304705.8823</v>
      </c>
      <c r="AM253" s="14" t="n">
        <v>25</v>
      </c>
      <c r="AN253" s="13" t="n">
        <v>271950</v>
      </c>
      <c r="AO253" s="13" t="n">
        <v>43420.59</v>
      </c>
      <c r="AR253" s="0" t="s">
        <v>1162</v>
      </c>
      <c r="AZ253" s="0" t="s">
        <v>89</v>
      </c>
      <c r="BA253" s="0" t="s">
        <v>89</v>
      </c>
      <c r="BB253" s="0" t="s">
        <v>90</v>
      </c>
      <c r="BC253" s="0" t="s">
        <v>150</v>
      </c>
      <c r="BD253" s="15" t="s">
        <v>1154</v>
      </c>
      <c r="BE253" s="37" t="s">
        <v>152</v>
      </c>
    </row>
    <row r="254" customFormat="false" ht="16.4" hidden="false" customHeight="false" outlineLevel="0" collapsed="false">
      <c r="A254" s="36" t="n">
        <f aca="false">IF(B254=0,"",MAX($A$3:A253)+1)</f>
        <v>187</v>
      </c>
      <c r="B254" s="36" t="n">
        <f aca="false">IF(OR(M254="FLETE",M254="FLETE ENVIO GARANTIA",M254="FLETE RECOLECCION GARANTIA",M254="COMPENSACION"),0,1)</f>
        <v>1</v>
      </c>
      <c r="D254" s="10" t="s">
        <v>1142</v>
      </c>
      <c r="J254" s="0" t="s">
        <v>1143</v>
      </c>
      <c r="K254" s="0" t="s">
        <v>529</v>
      </c>
      <c r="L254" s="0" t="s">
        <v>1163</v>
      </c>
      <c r="M254" s="0" t="s">
        <v>1164</v>
      </c>
      <c r="N254" s="0" t="n">
        <v>1</v>
      </c>
      <c r="P254" s="0" t="s">
        <v>217</v>
      </c>
      <c r="Q254" s="0" t="s">
        <v>532</v>
      </c>
      <c r="R254" s="0" t="s">
        <v>1165</v>
      </c>
      <c r="T254" s="0" t="s">
        <v>198</v>
      </c>
      <c r="U254" s="0" t="s">
        <v>1161</v>
      </c>
      <c r="V254" s="0" t="s">
        <v>1146</v>
      </c>
      <c r="W254" s="12" t="n">
        <v>0</v>
      </c>
      <c r="Y254" s="0" t="s">
        <v>143</v>
      </c>
      <c r="AG254" s="0" t="s">
        <v>3</v>
      </c>
      <c r="AL254" s="13" t="n">
        <v>225126.0504</v>
      </c>
      <c r="AM254" s="14" t="n">
        <v>25</v>
      </c>
      <c r="AN254" s="13" t="n">
        <v>200925</v>
      </c>
      <c r="AO254" s="13" t="n">
        <v>32080.46</v>
      </c>
      <c r="AR254" s="0" t="s">
        <v>1166</v>
      </c>
      <c r="AZ254" s="0" t="s">
        <v>89</v>
      </c>
      <c r="BA254" s="0" t="s">
        <v>89</v>
      </c>
      <c r="BB254" s="0" t="s">
        <v>90</v>
      </c>
      <c r="BC254" s="0" t="s">
        <v>150</v>
      </c>
      <c r="BD254" s="15" t="s">
        <v>1154</v>
      </c>
      <c r="BE254" s="37" t="s">
        <v>152</v>
      </c>
    </row>
    <row r="255" customFormat="false" ht="16.4" hidden="false" customHeight="false" outlineLevel="0" collapsed="false">
      <c r="A255" s="36" t="n">
        <f aca="false">IF(B255=0,"",MAX($A$3:A254)+1)</f>
        <v>188</v>
      </c>
      <c r="B255" s="36" t="n">
        <f aca="false">IF(OR(M255="FLETE",M255="FLETE ENVIO GARANTIA",M255="FLETE RECOLECCION GARANTIA",M255="COMPENSACION"),0,1)</f>
        <v>1</v>
      </c>
      <c r="D255" s="10" t="s">
        <v>1142</v>
      </c>
      <c r="J255" s="0" t="s">
        <v>1143</v>
      </c>
      <c r="K255" s="0" t="s">
        <v>246</v>
      </c>
      <c r="L255" s="0" t="s">
        <v>1167</v>
      </c>
      <c r="M255" s="0" t="s">
        <v>1168</v>
      </c>
      <c r="N255" s="0" t="n">
        <v>2</v>
      </c>
      <c r="P255" s="0" t="s">
        <v>249</v>
      </c>
      <c r="Q255" s="0" t="s">
        <v>250</v>
      </c>
      <c r="R255" s="0" t="s">
        <v>738</v>
      </c>
      <c r="S255" s="0" t="s">
        <v>158</v>
      </c>
      <c r="T255" s="0" t="s">
        <v>592</v>
      </c>
      <c r="V255" s="0" t="s">
        <v>1146</v>
      </c>
      <c r="W255" s="12" t="n">
        <v>0</v>
      </c>
      <c r="Y255" s="12" t="s">
        <v>143</v>
      </c>
      <c r="AG255" s="0" t="s">
        <v>3</v>
      </c>
      <c r="AL255" s="13" t="n">
        <v>53697.4789</v>
      </c>
      <c r="AM255" s="14" t="n">
        <v>25</v>
      </c>
      <c r="AN255" s="13" t="n">
        <v>95850</v>
      </c>
      <c r="AO255" s="13" t="n">
        <v>15303.78</v>
      </c>
      <c r="AR255" s="0" t="s">
        <v>1169</v>
      </c>
      <c r="AZ255" s="0" t="s">
        <v>89</v>
      </c>
      <c r="BA255" s="0" t="s">
        <v>89</v>
      </c>
      <c r="BB255" s="0" t="s">
        <v>90</v>
      </c>
      <c r="BC255" s="0" t="s">
        <v>150</v>
      </c>
      <c r="BD255" s="15" t="s">
        <v>1154</v>
      </c>
      <c r="BE255" s="37" t="s">
        <v>152</v>
      </c>
    </row>
    <row r="256" customFormat="false" ht="16.4" hidden="false" customHeight="false" outlineLevel="0" collapsed="false">
      <c r="A256" s="36" t="n">
        <f aca="false">IF(B256=0,"",MAX($A$3:A255)+1)</f>
        <v>189</v>
      </c>
      <c r="B256" s="36" t="n">
        <f aca="false">IF(OR(M256="FLETE",M256="FLETE ENVIO GARANTIA",M256="FLETE RECOLECCION GARANTIA",M256="COMPENSACION"),0,1)</f>
        <v>1</v>
      </c>
      <c r="D256" s="10" t="s">
        <v>1142</v>
      </c>
      <c r="J256" s="0" t="s">
        <v>1143</v>
      </c>
      <c r="K256" s="0" t="s">
        <v>292</v>
      </c>
      <c r="L256" s="0" t="s">
        <v>1170</v>
      </c>
      <c r="M256" s="0" t="s">
        <v>1171</v>
      </c>
      <c r="N256" s="0" t="n">
        <v>1</v>
      </c>
      <c r="P256" s="0" t="s">
        <v>249</v>
      </c>
      <c r="Q256" s="0" t="s">
        <v>295</v>
      </c>
      <c r="R256" s="0" t="s">
        <v>1172</v>
      </c>
      <c r="V256" s="0" t="s">
        <v>1146</v>
      </c>
      <c r="W256" s="12" t="n">
        <v>0</v>
      </c>
      <c r="Y256" s="12" t="s">
        <v>143</v>
      </c>
      <c r="AG256" s="0" t="s">
        <v>3</v>
      </c>
      <c r="AL256" s="13" t="n">
        <v>41344.5378</v>
      </c>
      <c r="AM256" s="14" t="n">
        <v>25</v>
      </c>
      <c r="AN256" s="13" t="n">
        <v>36900</v>
      </c>
      <c r="AO256" s="13" t="n">
        <v>5891.6</v>
      </c>
      <c r="AR256" s="0" t="s">
        <v>1173</v>
      </c>
      <c r="AZ256" s="0" t="s">
        <v>1174</v>
      </c>
      <c r="BA256" s="0" t="s">
        <v>1174</v>
      </c>
      <c r="BB256" s="0" t="s">
        <v>90</v>
      </c>
      <c r="BC256" s="0" t="s">
        <v>150</v>
      </c>
      <c r="BD256" s="15" t="s">
        <v>1154</v>
      </c>
      <c r="BE256" s="37" t="s">
        <v>152</v>
      </c>
    </row>
    <row r="257" customFormat="false" ht="16.4" hidden="false" customHeight="false" outlineLevel="0" collapsed="false">
      <c r="A257" s="36" t="n">
        <f aca="false">IF(B257=0,"",MAX($A$3:A256)+1)</f>
        <v>190</v>
      </c>
      <c r="B257" s="36" t="n">
        <f aca="false">IF(OR(M257="FLETE",M257="FLETE ENVIO GARANTIA",M257="FLETE RECOLECCION GARANTIA",M257="COMPENSACION"),0,1)</f>
        <v>1</v>
      </c>
      <c r="D257" s="10" t="s">
        <v>1142</v>
      </c>
      <c r="J257" s="0" t="s">
        <v>1143</v>
      </c>
      <c r="K257" s="0" t="s">
        <v>292</v>
      </c>
      <c r="L257" s="0" t="s">
        <v>300</v>
      </c>
      <c r="M257" s="0" t="s">
        <v>301</v>
      </c>
      <c r="N257" s="0" t="n">
        <v>1</v>
      </c>
      <c r="P257" s="0" t="s">
        <v>249</v>
      </c>
      <c r="Q257" s="0" t="s">
        <v>295</v>
      </c>
      <c r="R257" s="0" t="s">
        <v>302</v>
      </c>
      <c r="V257" s="0" t="s">
        <v>1146</v>
      </c>
      <c r="W257" s="12" t="n">
        <v>0</v>
      </c>
      <c r="Y257" s="12" t="s">
        <v>143</v>
      </c>
      <c r="AG257" s="0" t="s">
        <v>3</v>
      </c>
      <c r="AL257" s="13" t="n">
        <v>96302.521</v>
      </c>
      <c r="AM257" s="14" t="n">
        <v>25</v>
      </c>
      <c r="AN257" s="13" t="n">
        <v>85950</v>
      </c>
      <c r="AO257" s="13" t="n">
        <v>13723.11</v>
      </c>
      <c r="AR257" s="0" t="s">
        <v>1175</v>
      </c>
      <c r="AZ257" s="0" t="s">
        <v>257</v>
      </c>
      <c r="BA257" s="0" t="s">
        <v>257</v>
      </c>
      <c r="BB257" s="0" t="s">
        <v>90</v>
      </c>
      <c r="BC257" s="0" t="s">
        <v>150</v>
      </c>
      <c r="BD257" s="15" t="s">
        <v>1154</v>
      </c>
      <c r="BE257" s="37" t="s">
        <v>152</v>
      </c>
    </row>
    <row r="258" customFormat="false" ht="16.4" hidden="false" customHeight="false" outlineLevel="0" collapsed="false">
      <c r="A258" s="36" t="n">
        <f aca="false">IF(B258=0,"",MAX($A$3:A257)+1)</f>
        <v>191</v>
      </c>
      <c r="B258" s="36" t="n">
        <f aca="false">IF(OR(M258="FLETE",M258="FLETE ENVIO GARANTIA",M258="FLETE RECOLECCION GARANTIA",M258="COMPENSACION"),0,1)</f>
        <v>1</v>
      </c>
      <c r="D258" s="10" t="s">
        <v>1142</v>
      </c>
      <c r="J258" s="0" t="s">
        <v>1143</v>
      </c>
      <c r="K258" s="0" t="s">
        <v>246</v>
      </c>
      <c r="L258" s="0" t="s">
        <v>280</v>
      </c>
      <c r="M258" s="0" t="s">
        <v>281</v>
      </c>
      <c r="N258" s="0" t="n">
        <v>2</v>
      </c>
      <c r="P258" s="0" t="s">
        <v>249</v>
      </c>
      <c r="Q258" s="0" t="s">
        <v>250</v>
      </c>
      <c r="R258" s="0" t="s">
        <v>251</v>
      </c>
      <c r="T258" s="0" t="s">
        <v>282</v>
      </c>
      <c r="V258" s="0" t="s">
        <v>1146</v>
      </c>
      <c r="W258" s="12" t="n">
        <v>0</v>
      </c>
      <c r="Y258" s="12" t="s">
        <v>143</v>
      </c>
      <c r="AG258" s="0" t="s">
        <v>3</v>
      </c>
      <c r="AL258" s="13" t="n">
        <v>34621.8487</v>
      </c>
      <c r="AM258" s="14" t="n">
        <v>25</v>
      </c>
      <c r="AN258" s="13" t="n">
        <v>61800</v>
      </c>
      <c r="AO258" s="13" t="n">
        <v>9867.23</v>
      </c>
      <c r="AR258" s="0" t="s">
        <v>1176</v>
      </c>
      <c r="AZ258" s="0" t="s">
        <v>257</v>
      </c>
      <c r="BA258" s="0" t="s">
        <v>257</v>
      </c>
      <c r="BB258" s="0" t="s">
        <v>90</v>
      </c>
      <c r="BC258" s="0" t="s">
        <v>150</v>
      </c>
      <c r="BD258" s="15" t="s">
        <v>1154</v>
      </c>
      <c r="BE258" s="37" t="s">
        <v>152</v>
      </c>
    </row>
    <row r="259" customFormat="false" ht="16.4" hidden="false" customHeight="false" outlineLevel="0" collapsed="false">
      <c r="A259" s="36" t="n">
        <f aca="false">IF(B259=0,"",MAX($A$3:A258)+1)</f>
        <v>192</v>
      </c>
      <c r="B259" s="36" t="n">
        <f aca="false">IF(OR(M259="FLETE",M259="FLETE ENVIO GARANTIA",M259="FLETE RECOLECCION GARANTIA",M259="COMPENSACION"),0,1)</f>
        <v>1</v>
      </c>
      <c r="D259" s="10" t="s">
        <v>1142</v>
      </c>
      <c r="J259" s="0" t="s">
        <v>1143</v>
      </c>
      <c r="K259" s="0" t="s">
        <v>345</v>
      </c>
      <c r="L259" s="0" t="s">
        <v>425</v>
      </c>
      <c r="M259" s="0" t="s">
        <v>426</v>
      </c>
      <c r="N259" s="0" t="n">
        <v>1</v>
      </c>
      <c r="P259" s="0" t="s">
        <v>249</v>
      </c>
      <c r="Q259" s="0" t="s">
        <v>348</v>
      </c>
      <c r="R259" s="0" t="s">
        <v>356</v>
      </c>
      <c r="T259" s="0" t="s">
        <v>391</v>
      </c>
      <c r="V259" s="0" t="s">
        <v>1146</v>
      </c>
      <c r="W259" s="12" t="n">
        <v>0</v>
      </c>
      <c r="Y259" s="12" t="s">
        <v>143</v>
      </c>
      <c r="AG259" s="0" t="s">
        <v>3</v>
      </c>
      <c r="AL259" s="13" t="n">
        <v>46974.7899</v>
      </c>
      <c r="AM259" s="14" t="n">
        <v>25</v>
      </c>
      <c r="AN259" s="13" t="n">
        <v>41925</v>
      </c>
      <c r="AO259" s="13" t="n">
        <v>6693.91</v>
      </c>
      <c r="AR259" s="0" t="s">
        <v>1177</v>
      </c>
      <c r="AZ259" s="0" t="s">
        <v>257</v>
      </c>
      <c r="BA259" s="0" t="s">
        <v>257</v>
      </c>
      <c r="BB259" s="0" t="s">
        <v>90</v>
      </c>
      <c r="BC259" s="0" t="s">
        <v>150</v>
      </c>
      <c r="BD259" s="15" t="s">
        <v>1154</v>
      </c>
      <c r="BE259" s="37" t="s">
        <v>152</v>
      </c>
    </row>
    <row r="260" customFormat="false" ht="16.4" hidden="false" customHeight="false" outlineLevel="0" collapsed="false">
      <c r="A260" s="36" t="n">
        <f aca="false">IF(B260=0,"",MAX($A$3:A259)+1)</f>
        <v>193</v>
      </c>
      <c r="B260" s="36" t="n">
        <f aca="false">IF(OR(M260="FLETE",M260="FLETE ENVIO GARANTIA",M260="FLETE RECOLECCION GARANTIA",M260="COMPENSACION"),0,1)</f>
        <v>1</v>
      </c>
      <c r="D260" s="10" t="s">
        <v>1142</v>
      </c>
      <c r="J260" s="0" t="s">
        <v>1143</v>
      </c>
      <c r="K260" s="0" t="s">
        <v>345</v>
      </c>
      <c r="L260" s="0" t="s">
        <v>1178</v>
      </c>
      <c r="M260" s="0" t="s">
        <v>1179</v>
      </c>
      <c r="N260" s="0" t="n">
        <v>1</v>
      </c>
      <c r="P260" s="0" t="s">
        <v>249</v>
      </c>
      <c r="Q260" s="0" t="s">
        <v>348</v>
      </c>
      <c r="R260" s="0" t="s">
        <v>1180</v>
      </c>
      <c r="V260" s="0" t="s">
        <v>1146</v>
      </c>
      <c r="W260" s="12" t="n">
        <v>0</v>
      </c>
      <c r="Y260" s="0" t="s">
        <v>143</v>
      </c>
      <c r="AG260" s="0" t="s">
        <v>3</v>
      </c>
      <c r="AL260" s="13" t="n">
        <v>35798.3193</v>
      </c>
      <c r="AM260" s="14" t="n">
        <v>39</v>
      </c>
      <c r="AN260" s="13" t="n">
        <v>25985.99</v>
      </c>
      <c r="AO260" s="13" t="n">
        <v>4149.02</v>
      </c>
      <c r="AR260" s="0" t="s">
        <v>1181</v>
      </c>
      <c r="AZ260" s="0" t="s">
        <v>257</v>
      </c>
      <c r="BA260" s="0" t="s">
        <v>257</v>
      </c>
      <c r="BB260" s="0" t="s">
        <v>90</v>
      </c>
      <c r="BC260" s="0" t="s">
        <v>150</v>
      </c>
      <c r="BD260" s="15" t="s">
        <v>1154</v>
      </c>
      <c r="BE260" s="37" t="s">
        <v>152</v>
      </c>
    </row>
    <row r="261" customFormat="false" ht="16.4" hidden="false" customHeight="false" outlineLevel="0" collapsed="false">
      <c r="A261" s="36" t="n">
        <f aca="false">IF(B261=0,"",MAX($A$3:A260)+1)</f>
        <v>194</v>
      </c>
      <c r="B261" s="36" t="n">
        <f aca="false">IF(OR(M261="FLETE",M261="FLETE ENVIO GARANTIA",M261="FLETE RECOLECCION GARANTIA",M261="COMPENSACION"),0,1)</f>
        <v>1</v>
      </c>
      <c r="D261" s="10" t="s">
        <v>1142</v>
      </c>
      <c r="J261" s="0" t="s">
        <v>1143</v>
      </c>
      <c r="K261" s="0" t="s">
        <v>345</v>
      </c>
      <c r="L261" s="0" t="s">
        <v>1182</v>
      </c>
      <c r="M261" s="0" t="s">
        <v>1183</v>
      </c>
      <c r="N261" s="0" t="n">
        <v>1</v>
      </c>
      <c r="P261" s="0" t="s">
        <v>249</v>
      </c>
      <c r="Q261" s="0" t="s">
        <v>348</v>
      </c>
      <c r="R261" s="0" t="s">
        <v>1184</v>
      </c>
      <c r="V261" s="0" t="s">
        <v>1146</v>
      </c>
      <c r="W261" s="12" t="n">
        <v>0</v>
      </c>
      <c r="Y261" s="12" t="s">
        <v>143</v>
      </c>
      <c r="AG261" s="0" t="s">
        <v>3</v>
      </c>
      <c r="AL261" s="13" t="n">
        <v>29075.6302</v>
      </c>
      <c r="AM261" s="14" t="n">
        <v>39</v>
      </c>
      <c r="AN261" s="13" t="n">
        <v>21105.99</v>
      </c>
      <c r="AO261" s="13" t="n">
        <v>3369.86</v>
      </c>
      <c r="AR261" s="0" t="s">
        <v>1185</v>
      </c>
      <c r="AZ261" s="0" t="s">
        <v>257</v>
      </c>
      <c r="BA261" s="0" t="s">
        <v>257</v>
      </c>
      <c r="BB261" s="0" t="s">
        <v>90</v>
      </c>
      <c r="BC261" s="0" t="s">
        <v>150</v>
      </c>
      <c r="BD261" s="15" t="s">
        <v>1154</v>
      </c>
      <c r="BE261" s="37" t="s">
        <v>152</v>
      </c>
    </row>
    <row r="262" customFormat="false" ht="16.4" hidden="false" customHeight="false" outlineLevel="0" collapsed="false">
      <c r="A262" s="36" t="n">
        <f aca="false">IF(B262=0,"",MAX($A$3:A261)+1)</f>
        <v>195</v>
      </c>
      <c r="B262" s="36" t="n">
        <f aca="false">IF(OR(M262="FLETE",M262="FLETE ENVIO GARANTIA",M262="FLETE RECOLECCION GARANTIA",M262="COMPENSACION"),0,1)</f>
        <v>1</v>
      </c>
      <c r="D262" s="10" t="s">
        <v>1142</v>
      </c>
      <c r="J262" s="0" t="s">
        <v>1143</v>
      </c>
      <c r="K262" s="0" t="s">
        <v>345</v>
      </c>
      <c r="L262" s="0" t="s">
        <v>1186</v>
      </c>
      <c r="M262" s="0" t="s">
        <v>1187</v>
      </c>
      <c r="N262" s="0" t="n">
        <v>1</v>
      </c>
      <c r="P262" s="0" t="s">
        <v>249</v>
      </c>
      <c r="Q262" s="0" t="s">
        <v>348</v>
      </c>
      <c r="R262" s="0" t="s">
        <v>1188</v>
      </c>
      <c r="V262" s="0" t="s">
        <v>1146</v>
      </c>
      <c r="W262" s="12" t="n">
        <v>0</v>
      </c>
      <c r="Y262" s="12" t="s">
        <v>143</v>
      </c>
      <c r="AG262" s="0" t="s">
        <v>3</v>
      </c>
      <c r="AL262" s="13" t="n">
        <v>21176.4705</v>
      </c>
      <c r="AM262" s="14" t="n">
        <v>39</v>
      </c>
      <c r="AN262" s="13" t="n">
        <v>15372</v>
      </c>
      <c r="AO262" s="13" t="n">
        <v>2454.35</v>
      </c>
      <c r="AR262" s="0" t="s">
        <v>1189</v>
      </c>
      <c r="AZ262" s="0" t="s">
        <v>257</v>
      </c>
      <c r="BA262" s="0" t="s">
        <v>257</v>
      </c>
      <c r="BB262" s="0" t="s">
        <v>90</v>
      </c>
      <c r="BC262" s="0" t="s">
        <v>150</v>
      </c>
      <c r="BD262" s="15" t="s">
        <v>1154</v>
      </c>
      <c r="BE262" s="37" t="s">
        <v>152</v>
      </c>
    </row>
    <row r="263" customFormat="false" ht="16.4" hidden="false" customHeight="false" outlineLevel="0" collapsed="false">
      <c r="A263" s="36" t="str">
        <f aca="false">IF(B263=0,"",MAX($A$3:A262)+1)</f>
        <v/>
      </c>
      <c r="B263" s="36" t="n">
        <f aca="false">IF(OR(M263="FLETE",M263="FLETE ENVIO GARANTIA",M263="FLETE RECOLECCION GARANTIA",M263="COMPENSACION"),0,1)</f>
        <v>0</v>
      </c>
      <c r="D263" s="10" t="s">
        <v>1142</v>
      </c>
      <c r="J263" s="0" t="s">
        <v>1143</v>
      </c>
      <c r="K263" s="0" t="s">
        <v>93</v>
      </c>
      <c r="L263" s="0" t="s">
        <v>210</v>
      </c>
      <c r="M263" s="0" t="s">
        <v>211</v>
      </c>
      <c r="N263" s="0" t="n">
        <v>1</v>
      </c>
      <c r="P263" s="0" t="s">
        <v>73</v>
      </c>
      <c r="R263" s="0" t="s">
        <v>211</v>
      </c>
      <c r="V263" s="0" t="s">
        <v>1146</v>
      </c>
      <c r="W263" s="12" t="n">
        <v>0</v>
      </c>
      <c r="Y263" s="12" t="s">
        <v>143</v>
      </c>
      <c r="AG263" s="0" t="s">
        <v>3</v>
      </c>
      <c r="AL263" s="13" t="n">
        <v>50000</v>
      </c>
      <c r="AM263" s="14" t="n">
        <v>0</v>
      </c>
      <c r="AN263" s="13" t="n">
        <v>50000</v>
      </c>
      <c r="AO263" s="13" t="n">
        <v>0</v>
      </c>
      <c r="AR263" s="0" t="s">
        <v>1190</v>
      </c>
      <c r="AZ263" s="0" t="s">
        <v>89</v>
      </c>
      <c r="BA263" s="0" t="s">
        <v>89</v>
      </c>
      <c r="BB263" s="0" t="s">
        <v>90</v>
      </c>
      <c r="BC263" s="0" t="s">
        <v>150</v>
      </c>
      <c r="BD263" s="15" t="s">
        <v>1154</v>
      </c>
      <c r="BE263" s="37" t="s">
        <v>152</v>
      </c>
    </row>
    <row r="264" customFormat="false" ht="16.4" hidden="false" customHeight="false" outlineLevel="0" collapsed="false">
      <c r="A264" s="36" t="n">
        <f aca="false">IF(B264=0,"",MAX($A$3:A263)+1)</f>
        <v>196</v>
      </c>
      <c r="B264" s="36" t="n">
        <f aca="false">IF(OR(M264="FLETE",M264="FLETE ENVIO GARANTIA",M264="FLETE RECOLECCION GARANTIA",M264="COMPENSACION"),0,1)</f>
        <v>1</v>
      </c>
      <c r="C264" s="0" t="s">
        <v>1191</v>
      </c>
      <c r="D264" s="10" t="s">
        <v>1192</v>
      </c>
      <c r="E264" s="11" t="n">
        <v>45699</v>
      </c>
      <c r="F264" s="11" t="n">
        <v>45717</v>
      </c>
      <c r="G264" s="11" t="n">
        <v>45719</v>
      </c>
      <c r="H264" s="11" t="n">
        <v>45720</v>
      </c>
      <c r="I264" s="11" t="n">
        <v>45720</v>
      </c>
      <c r="J264" s="0" t="s">
        <v>1193</v>
      </c>
      <c r="K264" s="0" t="s">
        <v>214</v>
      </c>
      <c r="L264" s="0" t="s">
        <v>1194</v>
      </c>
      <c r="M264" s="0" t="s">
        <v>1195</v>
      </c>
      <c r="N264" s="0" t="n">
        <v>1</v>
      </c>
      <c r="P264" s="0" t="s">
        <v>217</v>
      </c>
      <c r="Q264" s="0" t="s">
        <v>218</v>
      </c>
      <c r="R264" s="0" t="s">
        <v>1196</v>
      </c>
      <c r="S264" s="0" t="s">
        <v>158</v>
      </c>
      <c r="T264" s="0" t="s">
        <v>719</v>
      </c>
      <c r="U264" s="0" t="s">
        <v>160</v>
      </c>
      <c r="V264" s="0" t="s">
        <v>1197</v>
      </c>
      <c r="W264" s="12" t="s">
        <v>1198</v>
      </c>
      <c r="Y264" s="12" t="s">
        <v>223</v>
      </c>
      <c r="Z264" s="0" t="s">
        <v>1199</v>
      </c>
      <c r="AA264" s="12" t="s">
        <v>1200</v>
      </c>
      <c r="AB264" s="0" t="n">
        <v>1049621288</v>
      </c>
      <c r="AC264" s="0" t="s">
        <v>1201</v>
      </c>
      <c r="AD264" s="0" t="s">
        <v>1202</v>
      </c>
      <c r="AG264" s="0" t="s">
        <v>4</v>
      </c>
      <c r="AH264" s="0" t="n">
        <v>1</v>
      </c>
      <c r="AI264" s="0" t="s">
        <v>1203</v>
      </c>
      <c r="AJ264" s="0" t="n">
        <v>524950</v>
      </c>
      <c r="AK264" s="0" t="s">
        <v>85</v>
      </c>
      <c r="AL264" s="13" t="n">
        <v>1304957.9832</v>
      </c>
      <c r="AM264" s="14" t="n">
        <v>32.391</v>
      </c>
      <c r="AN264" s="13" t="n">
        <v>1049900.16</v>
      </c>
      <c r="AO264" s="13" t="n">
        <v>167631.12</v>
      </c>
      <c r="AP264" s="0" t="s">
        <v>1204</v>
      </c>
      <c r="AQ264" s="0" t="s">
        <v>1205</v>
      </c>
      <c r="AR264" s="0" t="s">
        <v>1206</v>
      </c>
      <c r="AS264" s="0" t="n">
        <v>1049900.16</v>
      </c>
      <c r="AT264" s="0" t="s">
        <v>1201</v>
      </c>
      <c r="AU264" s="0" t="s">
        <v>223</v>
      </c>
      <c r="AW264" s="0" t="s">
        <v>1202</v>
      </c>
      <c r="AX264" s="0" t="s">
        <v>1197</v>
      </c>
      <c r="AY264" s="0" t="n">
        <v>1049621288</v>
      </c>
      <c r="AZ264" s="0" t="s">
        <v>89</v>
      </c>
      <c r="BA264" s="0" t="s">
        <v>89</v>
      </c>
      <c r="BB264" s="0" t="s">
        <v>90</v>
      </c>
      <c r="BC264" s="0" t="s">
        <v>241</v>
      </c>
      <c r="BD264" s="15" t="s">
        <v>1207</v>
      </c>
      <c r="BE264" s="37" t="s">
        <v>1208</v>
      </c>
    </row>
    <row r="265" customFormat="false" ht="16.4" hidden="false" customHeight="false" outlineLevel="0" collapsed="false">
      <c r="A265" s="36" t="str">
        <f aca="false">IF(B265=0,"",MAX($A$3:A264)+1)</f>
        <v/>
      </c>
      <c r="B265" s="36" t="n">
        <f aca="false">IF(OR(M265="FLETE",M265="FLETE ENVIO GARANTIA",M265="FLETE RECOLECCION GARANTIA",M265="COMPENSACION"),0,1)</f>
        <v>0</v>
      </c>
      <c r="D265" s="10" t="s">
        <v>1192</v>
      </c>
      <c r="J265" s="0" t="s">
        <v>1193</v>
      </c>
      <c r="K265" s="0" t="s">
        <v>93</v>
      </c>
      <c r="L265" s="0" t="s">
        <v>210</v>
      </c>
      <c r="M265" s="0" t="s">
        <v>211</v>
      </c>
      <c r="N265" s="0" t="n">
        <v>1</v>
      </c>
      <c r="P265" s="0" t="s">
        <v>73</v>
      </c>
      <c r="R265" s="0" t="s">
        <v>211</v>
      </c>
      <c r="V265" s="0" t="s">
        <v>1197</v>
      </c>
      <c r="W265" s="12" t="s">
        <v>1198</v>
      </c>
      <c r="Y265" s="12" t="s">
        <v>223</v>
      </c>
      <c r="AG265" s="0" t="s">
        <v>4</v>
      </c>
      <c r="AL265" s="13" t="n">
        <v>59000</v>
      </c>
      <c r="AM265" s="14" t="n">
        <v>100</v>
      </c>
      <c r="AO265" s="13" t="n">
        <v>0</v>
      </c>
      <c r="AR265" s="0" t="s">
        <v>1209</v>
      </c>
      <c r="AZ265" s="0" t="s">
        <v>89</v>
      </c>
      <c r="BA265" s="0" t="s">
        <v>89</v>
      </c>
      <c r="BB265" s="0" t="s">
        <v>90</v>
      </c>
      <c r="BC265" s="0" t="s">
        <v>241</v>
      </c>
      <c r="BD265" s="15" t="s">
        <v>1207</v>
      </c>
      <c r="BE265" s="37" t="s">
        <v>1208</v>
      </c>
    </row>
    <row r="266" customFormat="false" ht="16.4" hidden="false" customHeight="false" outlineLevel="0" collapsed="false">
      <c r="A266" s="36" t="n">
        <f aca="false">IF(B266=0,"",MAX($A$3:A265)+1)</f>
        <v>197</v>
      </c>
      <c r="B266" s="36" t="n">
        <f aca="false">IF(OR(M266="FLETE",M266="FLETE ENVIO GARANTIA",M266="FLETE RECOLECCION GARANTIA",M266="COMPENSACION"),0,1)</f>
        <v>1</v>
      </c>
      <c r="C266" s="0" t="s">
        <v>1210</v>
      </c>
      <c r="D266" s="10" t="s">
        <v>1211</v>
      </c>
      <c r="E266" s="11" t="n">
        <v>45699</v>
      </c>
      <c r="F266" s="11" t="n">
        <v>45717</v>
      </c>
      <c r="G266" s="11" t="n">
        <v>45719</v>
      </c>
      <c r="H266" s="11" t="n">
        <v>45720</v>
      </c>
      <c r="I266" s="11" t="n">
        <v>45720</v>
      </c>
      <c r="J266" s="0" t="s">
        <v>1212</v>
      </c>
      <c r="K266" s="0" t="s">
        <v>135</v>
      </c>
      <c r="L266" s="0" t="s">
        <v>1213</v>
      </c>
      <c r="M266" s="0" t="s">
        <v>1214</v>
      </c>
      <c r="N266" s="0" t="n">
        <v>1</v>
      </c>
      <c r="P266" s="0" t="s">
        <v>138</v>
      </c>
      <c r="Q266" s="0" t="s">
        <v>139</v>
      </c>
      <c r="R266" s="0" t="s">
        <v>506</v>
      </c>
      <c r="T266" s="0" t="s">
        <v>141</v>
      </c>
      <c r="U266" s="0" t="s">
        <v>508</v>
      </c>
      <c r="V266" s="0" t="s">
        <v>1215</v>
      </c>
      <c r="W266" s="12" t="n">
        <v>0</v>
      </c>
      <c r="Y266" s="12" t="s">
        <v>178</v>
      </c>
      <c r="Z266" s="0" t="s">
        <v>179</v>
      </c>
      <c r="AB266" s="0" t="n">
        <v>1019091376</v>
      </c>
      <c r="AC266" s="0" t="s">
        <v>1216</v>
      </c>
      <c r="AD266" s="0" t="s">
        <v>1217</v>
      </c>
      <c r="AG266" s="0" t="s">
        <v>10</v>
      </c>
      <c r="AH266" s="0" t="n">
        <v>3</v>
      </c>
      <c r="AI266" s="0" t="s">
        <v>1218</v>
      </c>
      <c r="AK266" s="0" t="s">
        <v>85</v>
      </c>
      <c r="AL266" s="13" t="n">
        <v>896554.6218</v>
      </c>
      <c r="AM266" s="14" t="n">
        <v>25</v>
      </c>
      <c r="AN266" s="13" t="n">
        <v>800175</v>
      </c>
      <c r="AO266" s="13" t="n">
        <v>127759.03</v>
      </c>
      <c r="AP266" s="0" t="s">
        <v>1219</v>
      </c>
      <c r="AQ266" s="0" t="s">
        <v>1220</v>
      </c>
      <c r="AR266" s="0" t="s">
        <v>1221</v>
      </c>
      <c r="AS266" s="0" t="n">
        <v>2624875</v>
      </c>
      <c r="AT266" s="0" t="s">
        <v>1216</v>
      </c>
      <c r="AU266" s="0" t="s">
        <v>178</v>
      </c>
      <c r="AW266" s="0" t="s">
        <v>1217</v>
      </c>
      <c r="AX266" s="0" t="s">
        <v>1215</v>
      </c>
      <c r="AY266" s="0" t="n">
        <v>1019091376</v>
      </c>
      <c r="AZ266" s="0" t="s">
        <v>89</v>
      </c>
      <c r="BA266" s="0" t="s">
        <v>89</v>
      </c>
      <c r="BB266" s="0" t="s">
        <v>90</v>
      </c>
      <c r="BC266" s="0" t="s">
        <v>241</v>
      </c>
      <c r="BD266" s="15" t="s">
        <v>1222</v>
      </c>
      <c r="BE266" s="37" t="s">
        <v>92</v>
      </c>
    </row>
    <row r="267" customFormat="false" ht="16.4" hidden="false" customHeight="false" outlineLevel="0" collapsed="false">
      <c r="A267" s="36" t="n">
        <f aca="false">IF(B267=0,"",MAX($A$3:A266)+1)</f>
        <v>198</v>
      </c>
      <c r="B267" s="36" t="n">
        <f aca="false">IF(OR(M267="FLETE",M267="FLETE ENVIO GARANTIA",M267="FLETE RECOLECCION GARANTIA",M267="COMPENSACION"),0,1)</f>
        <v>1</v>
      </c>
      <c r="D267" s="10" t="s">
        <v>1211</v>
      </c>
      <c r="J267" s="0" t="s">
        <v>1212</v>
      </c>
      <c r="K267" s="0" t="s">
        <v>493</v>
      </c>
      <c r="L267" s="0" t="s">
        <v>1223</v>
      </c>
      <c r="M267" s="0" t="s">
        <v>1224</v>
      </c>
      <c r="N267" s="0" t="n">
        <v>4</v>
      </c>
      <c r="P267" s="0" t="s">
        <v>138</v>
      </c>
      <c r="Q267" s="0" t="s">
        <v>496</v>
      </c>
      <c r="R267" s="0" t="s">
        <v>579</v>
      </c>
      <c r="S267" s="0" t="s">
        <v>435</v>
      </c>
      <c r="T267" s="0" t="s">
        <v>388</v>
      </c>
      <c r="U267" s="0" t="s">
        <v>160</v>
      </c>
      <c r="V267" s="0" t="s">
        <v>1215</v>
      </c>
      <c r="W267" s="12" t="n">
        <v>0</v>
      </c>
      <c r="Y267" s="12" t="s">
        <v>178</v>
      </c>
      <c r="AG267" s="0" t="s">
        <v>10</v>
      </c>
      <c r="AL267" s="13" t="n">
        <v>497394.958</v>
      </c>
      <c r="AM267" s="14" t="n">
        <v>25</v>
      </c>
      <c r="AN267" s="13" t="n">
        <v>1775700</v>
      </c>
      <c r="AO267" s="13" t="n">
        <v>283515.13</v>
      </c>
      <c r="AR267" s="0" t="s">
        <v>1225</v>
      </c>
      <c r="AZ267" s="0" t="s">
        <v>89</v>
      </c>
      <c r="BA267" s="0" t="s">
        <v>89</v>
      </c>
      <c r="BB267" s="0" t="s">
        <v>90</v>
      </c>
      <c r="BC267" s="0" t="s">
        <v>241</v>
      </c>
      <c r="BD267" s="15" t="s">
        <v>1222</v>
      </c>
      <c r="BE267" s="37" t="s">
        <v>92</v>
      </c>
    </row>
    <row r="268" customFormat="false" ht="16.4" hidden="false" customHeight="false" outlineLevel="0" collapsed="false">
      <c r="A268" s="36" t="str">
        <f aca="false">IF(B268=0,"",MAX($A$3:A267)+1)</f>
        <v/>
      </c>
      <c r="B268" s="36" t="n">
        <f aca="false">IF(OR(M268="FLETE",M268="FLETE ENVIO GARANTIA",M268="FLETE RECOLECCION GARANTIA",M268="COMPENSACION"),0,1)</f>
        <v>0</v>
      </c>
      <c r="D268" s="10" t="s">
        <v>1211</v>
      </c>
      <c r="J268" s="0" t="s">
        <v>1212</v>
      </c>
      <c r="K268" s="0" t="s">
        <v>93</v>
      </c>
      <c r="L268" s="0" t="s">
        <v>210</v>
      </c>
      <c r="M268" s="0" t="s">
        <v>211</v>
      </c>
      <c r="N268" s="0" t="n">
        <v>1</v>
      </c>
      <c r="P268" s="0" t="s">
        <v>73</v>
      </c>
      <c r="R268" s="0" t="s">
        <v>211</v>
      </c>
      <c r="V268" s="0" t="s">
        <v>1215</v>
      </c>
      <c r="W268" s="12" t="n">
        <v>0</v>
      </c>
      <c r="Y268" s="0" t="s">
        <v>178</v>
      </c>
      <c r="AG268" s="0" t="s">
        <v>10</v>
      </c>
      <c r="AL268" s="13" t="n">
        <v>49000</v>
      </c>
      <c r="AM268" s="14" t="n">
        <v>0</v>
      </c>
      <c r="AN268" s="13" t="n">
        <v>49000</v>
      </c>
      <c r="AO268" s="13" t="n">
        <v>0</v>
      </c>
      <c r="AR268" s="0" t="s">
        <v>1226</v>
      </c>
      <c r="AZ268" s="0" t="s">
        <v>89</v>
      </c>
      <c r="BA268" s="0" t="s">
        <v>89</v>
      </c>
      <c r="BB268" s="0" t="s">
        <v>90</v>
      </c>
      <c r="BC268" s="0" t="s">
        <v>241</v>
      </c>
      <c r="BD268" s="15" t="s">
        <v>1222</v>
      </c>
      <c r="BE268" s="37" t="s">
        <v>92</v>
      </c>
    </row>
    <row r="269" customFormat="false" ht="16.4" hidden="false" customHeight="false" outlineLevel="0" collapsed="false">
      <c r="A269" s="36" t="n">
        <f aca="false">IF(B269=0,"",MAX($A$3:A268)+1)</f>
        <v>199</v>
      </c>
      <c r="B269" s="36" t="n">
        <f aca="false">IF(OR(M269="FLETE",M269="FLETE ENVIO GARANTIA",M269="FLETE RECOLECCION GARANTIA",M269="COMPENSACION"),0,1)</f>
        <v>1</v>
      </c>
      <c r="C269" s="0" t="s">
        <v>1227</v>
      </c>
      <c r="D269" s="10" t="s">
        <v>1228</v>
      </c>
      <c r="E269" s="11" t="n">
        <v>45699</v>
      </c>
      <c r="F269" s="11" t="n">
        <v>45715</v>
      </c>
      <c r="G269" s="11" t="n">
        <v>45719</v>
      </c>
      <c r="H269" s="11" t="n">
        <v>45717</v>
      </c>
      <c r="I269" s="11" t="n">
        <v>45717</v>
      </c>
      <c r="J269" s="0" t="s">
        <v>1193</v>
      </c>
      <c r="K269" s="0" t="s">
        <v>135</v>
      </c>
      <c r="L269" s="0" t="s">
        <v>1229</v>
      </c>
      <c r="M269" s="0" t="s">
        <v>1230</v>
      </c>
      <c r="N269" s="0" t="n">
        <v>1</v>
      </c>
      <c r="P269" s="0" t="s">
        <v>138</v>
      </c>
      <c r="Q269" s="0" t="s">
        <v>139</v>
      </c>
      <c r="R269" s="0" t="s">
        <v>1231</v>
      </c>
      <c r="T269" s="0" t="s">
        <v>198</v>
      </c>
      <c r="U269" s="0" t="s">
        <v>199</v>
      </c>
      <c r="V269" s="0" t="s">
        <v>1232</v>
      </c>
      <c r="W269" s="12" t="n">
        <v>0</v>
      </c>
      <c r="Y269" s="0" t="s">
        <v>143</v>
      </c>
      <c r="Z269" s="0" t="s">
        <v>144</v>
      </c>
      <c r="AB269" s="0" t="n">
        <v>1193095390</v>
      </c>
      <c r="AC269" s="0" t="s">
        <v>1233</v>
      </c>
      <c r="AD269" s="0" t="s">
        <v>1234</v>
      </c>
      <c r="AG269" s="0" t="s">
        <v>2</v>
      </c>
      <c r="AH269" s="0" t="n">
        <v>4</v>
      </c>
      <c r="AI269" s="0" t="s">
        <v>1235</v>
      </c>
      <c r="AJ269" s="0" t="n">
        <v>847200</v>
      </c>
      <c r="AK269" s="0" t="s">
        <v>85</v>
      </c>
      <c r="AL269" s="13" t="n">
        <v>662100.8403</v>
      </c>
      <c r="AM269" s="14" t="n">
        <v>43</v>
      </c>
      <c r="AN269" s="13" t="n">
        <v>449103</v>
      </c>
      <c r="AO269" s="13" t="n">
        <v>71705.52</v>
      </c>
      <c r="AP269" s="0" t="s">
        <v>1236</v>
      </c>
      <c r="AQ269" s="0" t="s">
        <v>1152</v>
      </c>
      <c r="AR269" s="0" t="s">
        <v>1237</v>
      </c>
      <c r="AS269" s="0" t="n">
        <v>1647171</v>
      </c>
      <c r="AT269" s="0" t="s">
        <v>1233</v>
      </c>
      <c r="AU269" s="0" t="s">
        <v>143</v>
      </c>
      <c r="AW269" s="0" t="s">
        <v>1234</v>
      </c>
      <c r="AX269" s="0" t="s">
        <v>1232</v>
      </c>
      <c r="AY269" s="0" t="n">
        <v>1193095390</v>
      </c>
      <c r="AZ269" s="0" t="s">
        <v>89</v>
      </c>
      <c r="BA269" s="0" t="s">
        <v>89</v>
      </c>
      <c r="BB269" s="0" t="s">
        <v>90</v>
      </c>
      <c r="BC269" s="0" t="s">
        <v>150</v>
      </c>
      <c r="BD269" s="15" t="s">
        <v>1238</v>
      </c>
      <c r="BE269" s="37" t="s">
        <v>152</v>
      </c>
    </row>
    <row r="270" customFormat="false" ht="16.4" hidden="false" customHeight="false" outlineLevel="0" collapsed="false">
      <c r="A270" s="36" t="n">
        <f aca="false">IF(B270=0,"",MAX($A$3:A269)+1)</f>
        <v>200</v>
      </c>
      <c r="B270" s="36" t="n">
        <f aca="false">IF(OR(M270="FLETE",M270="FLETE ENVIO GARANTIA",M270="FLETE RECOLECCION GARANTIA",M270="COMPENSACION"),0,1)</f>
        <v>1</v>
      </c>
      <c r="D270" s="10" t="s">
        <v>1228</v>
      </c>
      <c r="J270" s="0" t="s">
        <v>1193</v>
      </c>
      <c r="K270" s="0" t="s">
        <v>493</v>
      </c>
      <c r="L270" s="0" t="s">
        <v>1239</v>
      </c>
      <c r="M270" s="0" t="s">
        <v>1240</v>
      </c>
      <c r="N270" s="0" t="n">
        <v>4</v>
      </c>
      <c r="P270" s="0" t="s">
        <v>138</v>
      </c>
      <c r="Q270" s="0" t="s">
        <v>496</v>
      </c>
      <c r="R270" s="0" t="s">
        <v>1241</v>
      </c>
      <c r="T270" s="0" t="s">
        <v>198</v>
      </c>
      <c r="U270" s="0" t="s">
        <v>199</v>
      </c>
      <c r="V270" s="0" t="s">
        <v>1232</v>
      </c>
      <c r="W270" s="12" t="n">
        <v>0</v>
      </c>
      <c r="Y270" s="12" t="s">
        <v>143</v>
      </c>
      <c r="AG270" s="0" t="s">
        <v>2</v>
      </c>
      <c r="AL270" s="13" t="n">
        <v>199915.9664</v>
      </c>
      <c r="AM270" s="14" t="n">
        <v>40</v>
      </c>
      <c r="AN270" s="13" t="n">
        <v>570960</v>
      </c>
      <c r="AO270" s="13" t="n">
        <v>91161.68</v>
      </c>
      <c r="AR270" s="0" t="s">
        <v>1242</v>
      </c>
      <c r="AZ270" s="0" t="s">
        <v>89</v>
      </c>
      <c r="BA270" s="0" t="s">
        <v>89</v>
      </c>
      <c r="BB270" s="0" t="s">
        <v>90</v>
      </c>
      <c r="BC270" s="0" t="s">
        <v>150</v>
      </c>
      <c r="BD270" s="15" t="s">
        <v>1238</v>
      </c>
      <c r="BE270" s="37" t="s">
        <v>152</v>
      </c>
    </row>
    <row r="271" customFormat="false" ht="16.4" hidden="false" customHeight="false" outlineLevel="0" collapsed="false">
      <c r="A271" s="36" t="n">
        <f aca="false">IF(B271=0,"",MAX($A$3:A270)+1)</f>
        <v>201</v>
      </c>
      <c r="B271" s="36" t="n">
        <f aca="false">IF(OR(M271="FLETE",M271="FLETE ENVIO GARANTIA",M271="FLETE RECOLECCION GARANTIA",M271="COMPENSACION"),0,1)</f>
        <v>1</v>
      </c>
      <c r="D271" s="10" t="s">
        <v>1228</v>
      </c>
      <c r="J271" s="0" t="s">
        <v>1193</v>
      </c>
      <c r="K271" s="0" t="s">
        <v>943</v>
      </c>
      <c r="L271" s="0" t="s">
        <v>1243</v>
      </c>
      <c r="M271" s="0" t="s">
        <v>1244</v>
      </c>
      <c r="N271" s="0" t="n">
        <v>1</v>
      </c>
      <c r="P271" s="0" t="s">
        <v>195</v>
      </c>
      <c r="Q271" s="0" t="s">
        <v>893</v>
      </c>
      <c r="R271" s="0" t="s">
        <v>1245</v>
      </c>
      <c r="S271" s="0" t="s">
        <v>435</v>
      </c>
      <c r="T271" s="0" t="s">
        <v>449</v>
      </c>
      <c r="U271" s="0" t="s">
        <v>199</v>
      </c>
      <c r="V271" s="0" t="s">
        <v>1232</v>
      </c>
      <c r="W271" s="12" t="n">
        <v>0</v>
      </c>
      <c r="Y271" s="0" t="s">
        <v>143</v>
      </c>
      <c r="AG271" s="0" t="s">
        <v>2</v>
      </c>
      <c r="AL271" s="13" t="n">
        <v>973025.2101</v>
      </c>
      <c r="AM271" s="14" t="n">
        <v>48</v>
      </c>
      <c r="AN271" s="13" t="n">
        <v>602108</v>
      </c>
      <c r="AO271" s="13" t="n">
        <v>96134.89</v>
      </c>
      <c r="AR271" s="0" t="s">
        <v>1246</v>
      </c>
      <c r="AZ271" s="0" t="s">
        <v>89</v>
      </c>
      <c r="BA271" s="0" t="s">
        <v>89</v>
      </c>
      <c r="BB271" s="0" t="s">
        <v>90</v>
      </c>
      <c r="BC271" s="0" t="s">
        <v>150</v>
      </c>
      <c r="BD271" s="15" t="s">
        <v>1238</v>
      </c>
      <c r="BE271" s="37" t="s">
        <v>152</v>
      </c>
    </row>
    <row r="272" customFormat="false" ht="16.4" hidden="false" customHeight="false" outlineLevel="0" collapsed="false">
      <c r="A272" s="36" t="str">
        <f aca="false">IF(B272=0,"",MAX($A$3:A271)+1)</f>
        <v/>
      </c>
      <c r="B272" s="36" t="n">
        <f aca="false">IF(OR(M272="FLETE",M272="FLETE ENVIO GARANTIA",M272="FLETE RECOLECCION GARANTIA",M272="COMPENSACION"),0,1)</f>
        <v>0</v>
      </c>
      <c r="D272" s="10" t="s">
        <v>1228</v>
      </c>
      <c r="J272" s="0" t="s">
        <v>1193</v>
      </c>
      <c r="K272" s="0" t="s">
        <v>93</v>
      </c>
      <c r="L272" s="0" t="s">
        <v>210</v>
      </c>
      <c r="M272" s="0" t="s">
        <v>211</v>
      </c>
      <c r="N272" s="0" t="n">
        <v>1</v>
      </c>
      <c r="P272" s="0" t="s">
        <v>73</v>
      </c>
      <c r="R272" s="0" t="s">
        <v>211</v>
      </c>
      <c r="V272" s="0" t="s">
        <v>1232</v>
      </c>
      <c r="W272" s="12" t="n">
        <v>0</v>
      </c>
      <c r="Y272" s="12" t="s">
        <v>143</v>
      </c>
      <c r="AG272" s="0" t="s">
        <v>2</v>
      </c>
      <c r="AL272" s="13" t="n">
        <v>25000</v>
      </c>
      <c r="AM272" s="14" t="n">
        <v>0</v>
      </c>
      <c r="AN272" s="13" t="n">
        <v>25000</v>
      </c>
      <c r="AO272" s="13" t="n">
        <v>0</v>
      </c>
      <c r="AR272" s="0" t="s">
        <v>1247</v>
      </c>
      <c r="AZ272" s="0" t="s">
        <v>89</v>
      </c>
      <c r="BA272" s="0" t="s">
        <v>89</v>
      </c>
      <c r="BB272" s="0" t="s">
        <v>90</v>
      </c>
      <c r="BC272" s="0" t="s">
        <v>150</v>
      </c>
      <c r="BD272" s="15" t="s">
        <v>1238</v>
      </c>
      <c r="BE272" s="37" t="s">
        <v>152</v>
      </c>
    </row>
    <row r="273" customFormat="false" ht="16.4" hidden="false" customHeight="false" outlineLevel="0" collapsed="false">
      <c r="A273" s="36" t="n">
        <f aca="false">IF(B273=0,"",MAX($A$3:A272)+1)</f>
        <v>202</v>
      </c>
      <c r="B273" s="36" t="n">
        <f aca="false">IF(OR(M273="FLETE",M273="FLETE ENVIO GARANTIA",M273="FLETE RECOLECCION GARANTIA",M273="COMPENSACION"),0,1)</f>
        <v>1</v>
      </c>
      <c r="C273" s="0" t="s">
        <v>1248</v>
      </c>
      <c r="D273" s="10" t="s">
        <v>1249</v>
      </c>
      <c r="E273" s="11" t="n">
        <v>45699</v>
      </c>
      <c r="F273" s="11" t="n">
        <v>45716</v>
      </c>
      <c r="G273" s="11" t="n">
        <v>45719</v>
      </c>
      <c r="H273" s="11" t="n">
        <v>45720</v>
      </c>
      <c r="I273" s="11" t="n">
        <v>45720</v>
      </c>
      <c r="J273" s="0" t="s">
        <v>1250</v>
      </c>
      <c r="K273" s="0" t="s">
        <v>214</v>
      </c>
      <c r="L273" s="0" t="s">
        <v>1251</v>
      </c>
      <c r="M273" s="0" t="s">
        <v>1252</v>
      </c>
      <c r="N273" s="0" t="n">
        <v>1</v>
      </c>
      <c r="P273" s="0" t="s">
        <v>217</v>
      </c>
      <c r="Q273" s="0" t="s">
        <v>218</v>
      </c>
      <c r="R273" s="0" t="s">
        <v>984</v>
      </c>
      <c r="S273" s="0" t="s">
        <v>220</v>
      </c>
      <c r="T273" s="0" t="s">
        <v>518</v>
      </c>
      <c r="U273" s="0" t="s">
        <v>437</v>
      </c>
      <c r="V273" s="0" t="s">
        <v>1253</v>
      </c>
      <c r="W273" s="12" t="n">
        <v>0</v>
      </c>
      <c r="Y273" s="0" t="s">
        <v>1254</v>
      </c>
      <c r="Z273" s="0" t="s">
        <v>144</v>
      </c>
      <c r="AB273" s="0" t="n">
        <v>4172975</v>
      </c>
      <c r="AC273" s="0" t="s">
        <v>1255</v>
      </c>
      <c r="AD273" s="0" t="s">
        <v>1256</v>
      </c>
      <c r="AE273" s="0" t="s">
        <v>1257</v>
      </c>
      <c r="AG273" s="0" t="s">
        <v>7</v>
      </c>
      <c r="AH273" s="0" t="n">
        <v>3</v>
      </c>
      <c r="AI273" s="0" t="s">
        <v>1258</v>
      </c>
      <c r="AK273" s="0" t="s">
        <v>85</v>
      </c>
      <c r="AL273" s="13" t="n">
        <v>1385630.2521</v>
      </c>
      <c r="AM273" s="14" t="n">
        <v>33</v>
      </c>
      <c r="AN273" s="13" t="n">
        <v>1104763</v>
      </c>
      <c r="AO273" s="13" t="n">
        <v>176390.73</v>
      </c>
      <c r="AP273" s="0" t="s">
        <v>1259</v>
      </c>
      <c r="AQ273" s="0" t="s">
        <v>1205</v>
      </c>
      <c r="AR273" s="0" t="s">
        <v>1260</v>
      </c>
      <c r="AS273" s="0" t="n">
        <v>3385600.09</v>
      </c>
      <c r="AT273" s="0" t="s">
        <v>1255</v>
      </c>
      <c r="AU273" s="0" t="s">
        <v>1254</v>
      </c>
      <c r="AV273" s="0" t="s">
        <v>1257</v>
      </c>
      <c r="AW273" s="0" t="s">
        <v>1256</v>
      </c>
      <c r="AX273" s="0" t="s">
        <v>1253</v>
      </c>
      <c r="AY273" s="0" t="n">
        <v>4172975</v>
      </c>
      <c r="AZ273" s="0" t="s">
        <v>89</v>
      </c>
      <c r="BA273" s="0" t="s">
        <v>89</v>
      </c>
      <c r="BB273" s="0" t="s">
        <v>90</v>
      </c>
      <c r="BC273" s="0" t="s">
        <v>150</v>
      </c>
      <c r="BD273" s="15" t="s">
        <v>1261</v>
      </c>
      <c r="BE273" s="37" t="s">
        <v>152</v>
      </c>
    </row>
    <row r="274" customFormat="false" ht="16.4" hidden="false" customHeight="false" outlineLevel="0" collapsed="false">
      <c r="A274" s="36" t="n">
        <f aca="false">IF(B274=0,"",MAX($A$3:A273)+1)</f>
        <v>203</v>
      </c>
      <c r="B274" s="36" t="n">
        <f aca="false">IF(OR(M274="FLETE",M274="FLETE ENVIO GARANTIA",M274="FLETE RECOLECCION GARANTIA",M274="COMPENSACION"),0,1)</f>
        <v>1</v>
      </c>
      <c r="D274" s="10" t="s">
        <v>1249</v>
      </c>
      <c r="J274" s="0" t="s">
        <v>1250</v>
      </c>
      <c r="K274" s="0" t="s">
        <v>529</v>
      </c>
      <c r="L274" s="0" t="s">
        <v>1262</v>
      </c>
      <c r="M274" s="0" t="s">
        <v>1263</v>
      </c>
      <c r="N274" s="0" t="n">
        <v>1</v>
      </c>
      <c r="P274" s="0" t="s">
        <v>217</v>
      </c>
      <c r="Q274" s="0" t="s">
        <v>541</v>
      </c>
      <c r="R274" s="0" t="s">
        <v>868</v>
      </c>
      <c r="T274" s="0" t="s">
        <v>198</v>
      </c>
      <c r="U274" s="0" t="s">
        <v>437</v>
      </c>
      <c r="V274" s="0" t="s">
        <v>1253</v>
      </c>
      <c r="W274" s="12" t="n">
        <v>0</v>
      </c>
      <c r="Y274" s="12" t="s">
        <v>1254</v>
      </c>
      <c r="AG274" s="0" t="s">
        <v>7</v>
      </c>
      <c r="AL274" s="13" t="n">
        <v>200756.3025</v>
      </c>
      <c r="AM274" s="14" t="n">
        <v>25</v>
      </c>
      <c r="AN274" s="13" t="n">
        <v>179175</v>
      </c>
      <c r="AO274" s="13" t="n">
        <v>28607.77</v>
      </c>
      <c r="AR274" s="0" t="s">
        <v>1264</v>
      </c>
      <c r="AZ274" s="0" t="s">
        <v>89</v>
      </c>
      <c r="BA274" s="0" t="s">
        <v>89</v>
      </c>
      <c r="BB274" s="0" t="s">
        <v>90</v>
      </c>
      <c r="BC274" s="0" t="s">
        <v>150</v>
      </c>
      <c r="BD274" s="15" t="s">
        <v>1261</v>
      </c>
      <c r="BE274" s="37" t="s">
        <v>152</v>
      </c>
    </row>
    <row r="275" customFormat="false" ht="16.4" hidden="false" customHeight="false" outlineLevel="0" collapsed="false">
      <c r="A275" s="36" t="n">
        <f aca="false">IF(B275=0,"",MAX($A$3:A274)+1)</f>
        <v>204</v>
      </c>
      <c r="B275" s="36" t="n">
        <f aca="false">IF(OR(M275="FLETE",M275="FLETE ENVIO GARANTIA",M275="FLETE RECOLECCION GARANTIA",M275="COMPENSACION"),0,1)</f>
        <v>1</v>
      </c>
      <c r="D275" s="10" t="s">
        <v>1249</v>
      </c>
      <c r="J275" s="0" t="s">
        <v>1250</v>
      </c>
      <c r="K275" s="0" t="s">
        <v>479</v>
      </c>
      <c r="L275" s="0" t="s">
        <v>1265</v>
      </c>
      <c r="M275" s="0" t="s">
        <v>1266</v>
      </c>
      <c r="N275" s="0" t="n">
        <v>2</v>
      </c>
      <c r="P275" s="0" t="s">
        <v>217</v>
      </c>
      <c r="Q275" s="0" t="s">
        <v>482</v>
      </c>
      <c r="R275" s="0" t="s">
        <v>1267</v>
      </c>
      <c r="S275" s="0" t="s">
        <v>220</v>
      </c>
      <c r="T275" s="0" t="s">
        <v>159</v>
      </c>
      <c r="U275" s="0" t="s">
        <v>437</v>
      </c>
      <c r="V275" s="0" t="s">
        <v>1253</v>
      </c>
      <c r="W275" s="12" t="n">
        <v>0</v>
      </c>
      <c r="Y275" s="0" t="s">
        <v>1254</v>
      </c>
      <c r="AG275" s="0" t="s">
        <v>7</v>
      </c>
      <c r="AL275" s="13" t="n">
        <v>877417</v>
      </c>
      <c r="AM275" s="14" t="n">
        <v>32.9218</v>
      </c>
      <c r="AN275" s="13" t="n">
        <v>1400762.16</v>
      </c>
      <c r="AO275" s="13" t="n">
        <v>223651.1</v>
      </c>
      <c r="AR275" s="0" t="s">
        <v>1268</v>
      </c>
      <c r="AZ275" s="0" t="s">
        <v>89</v>
      </c>
      <c r="BA275" s="0" t="s">
        <v>89</v>
      </c>
      <c r="BB275" s="0" t="s">
        <v>90</v>
      </c>
      <c r="BC275" s="0" t="s">
        <v>150</v>
      </c>
      <c r="BD275" s="15" t="s">
        <v>1261</v>
      </c>
      <c r="BE275" s="37" t="s">
        <v>152</v>
      </c>
    </row>
    <row r="276" customFormat="false" ht="16.4" hidden="false" customHeight="false" outlineLevel="0" collapsed="false">
      <c r="A276" s="36" t="n">
        <f aca="false">IF(B276=0,"",MAX($A$3:A275)+1)</f>
        <v>205</v>
      </c>
      <c r="B276" s="36" t="n">
        <f aca="false">IF(OR(M276="FLETE",M276="FLETE ENVIO GARANTIA",M276="FLETE RECOLECCION GARANTIA",M276="COMPENSACION"),0,1)</f>
        <v>1</v>
      </c>
      <c r="D276" s="10" t="s">
        <v>1249</v>
      </c>
      <c r="J276" s="0" t="s">
        <v>1250</v>
      </c>
      <c r="K276" s="0" t="s">
        <v>479</v>
      </c>
      <c r="L276" s="0" t="s">
        <v>1269</v>
      </c>
      <c r="M276" s="0" t="s">
        <v>1270</v>
      </c>
      <c r="N276" s="0" t="n">
        <v>1</v>
      </c>
      <c r="P276" s="0" t="s">
        <v>217</v>
      </c>
      <c r="Q276" s="0" t="s">
        <v>482</v>
      </c>
      <c r="R276" s="0" t="s">
        <v>1267</v>
      </c>
      <c r="S276" s="0" t="s">
        <v>220</v>
      </c>
      <c r="T276" s="0" t="s">
        <v>615</v>
      </c>
      <c r="U276" s="0" t="s">
        <v>437</v>
      </c>
      <c r="V276" s="0" t="s">
        <v>1253</v>
      </c>
      <c r="W276" s="12" t="n">
        <v>0</v>
      </c>
      <c r="Y276" s="12" t="s">
        <v>1254</v>
      </c>
      <c r="AG276" s="0" t="s">
        <v>7</v>
      </c>
      <c r="AL276" s="13" t="n">
        <v>878067</v>
      </c>
      <c r="AM276" s="14" t="n">
        <v>32.9218</v>
      </c>
      <c r="AN276" s="13" t="n">
        <v>700899.93</v>
      </c>
      <c r="AO276" s="13" t="n">
        <v>111908.39</v>
      </c>
      <c r="AR276" s="0" t="s">
        <v>1271</v>
      </c>
      <c r="AZ276" s="0" t="s">
        <v>89</v>
      </c>
      <c r="BA276" s="0" t="s">
        <v>89</v>
      </c>
      <c r="BB276" s="0" t="s">
        <v>90</v>
      </c>
      <c r="BC276" s="0" t="s">
        <v>150</v>
      </c>
      <c r="BD276" s="15" t="s">
        <v>1261</v>
      </c>
      <c r="BE276" s="37" t="s">
        <v>152</v>
      </c>
    </row>
    <row r="277" customFormat="false" ht="16.4" hidden="false" customHeight="false" outlineLevel="0" collapsed="false">
      <c r="A277" s="36" t="n">
        <f aca="false">IF(B277=0,"",MAX($A$3:A276)+1)</f>
        <v>206</v>
      </c>
      <c r="B277" s="36" t="n">
        <f aca="false">IF(OR(M277="FLETE",M277="FLETE ENVIO GARANTIA",M277="FLETE RECOLECCION GARANTIA",M277="COMPENSACION"),0,1)</f>
        <v>1</v>
      </c>
      <c r="C277" s="0" t="s">
        <v>1272</v>
      </c>
      <c r="D277" s="10" t="s">
        <v>1273</v>
      </c>
      <c r="E277" s="11" t="n">
        <v>45699</v>
      </c>
      <c r="F277" s="11" t="n">
        <v>45717</v>
      </c>
      <c r="G277" s="11" t="n">
        <v>45719</v>
      </c>
      <c r="I277" s="11" t="n">
        <v>45720</v>
      </c>
      <c r="J277" s="0" t="s">
        <v>73</v>
      </c>
      <c r="K277" s="0" t="s">
        <v>214</v>
      </c>
      <c r="L277" s="0" t="s">
        <v>1274</v>
      </c>
      <c r="M277" s="0" t="s">
        <v>1275</v>
      </c>
      <c r="N277" s="0" t="n">
        <v>1</v>
      </c>
      <c r="P277" s="0" t="s">
        <v>217</v>
      </c>
      <c r="Q277" s="0" t="s">
        <v>218</v>
      </c>
      <c r="R277" s="0" t="s">
        <v>984</v>
      </c>
      <c r="S277" s="0" t="s">
        <v>591</v>
      </c>
      <c r="T277" s="0" t="s">
        <v>1276</v>
      </c>
      <c r="U277" s="0" t="s">
        <v>199</v>
      </c>
      <c r="V277" s="0" t="s">
        <v>1277</v>
      </c>
      <c r="W277" s="12" t="n">
        <v>0</v>
      </c>
      <c r="Y277" s="0" t="s">
        <v>79</v>
      </c>
      <c r="Z277" s="0" t="s">
        <v>949</v>
      </c>
      <c r="AB277" s="0" t="n">
        <v>52158991</v>
      </c>
      <c r="AC277" s="0" t="s">
        <v>1278</v>
      </c>
      <c r="AD277" s="0" t="s">
        <v>1279</v>
      </c>
      <c r="AE277" s="0" t="s">
        <v>1280</v>
      </c>
      <c r="AG277" s="0" t="s">
        <v>10</v>
      </c>
      <c r="AH277" s="0" t="n">
        <v>1</v>
      </c>
      <c r="AK277" s="0" t="s">
        <v>85</v>
      </c>
      <c r="AL277" s="13" t="n">
        <v>437093.4122</v>
      </c>
      <c r="AM277" s="14" t="n">
        <v>50</v>
      </c>
      <c r="AN277" s="13" t="n">
        <v>218546.71</v>
      </c>
      <c r="AO277" s="13" t="n">
        <v>0</v>
      </c>
      <c r="AP277" s="0" t="s">
        <v>1281</v>
      </c>
      <c r="AQ277" s="0" t="s">
        <v>128</v>
      </c>
      <c r="AR277" s="0" t="s">
        <v>1282</v>
      </c>
      <c r="AS277" s="0" t="n">
        <v>408546.71</v>
      </c>
      <c r="AT277" s="0" t="s">
        <v>1278</v>
      </c>
      <c r="AU277" s="0" t="s">
        <v>79</v>
      </c>
      <c r="AV277" s="0" t="s">
        <v>1280</v>
      </c>
      <c r="AW277" s="0" t="s">
        <v>1279</v>
      </c>
      <c r="AX277" s="0" t="s">
        <v>1277</v>
      </c>
      <c r="AY277" s="0" t="n">
        <v>52158991</v>
      </c>
      <c r="AZ277" s="0" t="s">
        <v>89</v>
      </c>
      <c r="BA277" s="0" t="s">
        <v>89</v>
      </c>
      <c r="BB277" s="0" t="s">
        <v>90</v>
      </c>
      <c r="BC277" s="0" t="s">
        <v>241</v>
      </c>
      <c r="BD277" s="15" t="s">
        <v>1283</v>
      </c>
      <c r="BE277" s="37" t="s">
        <v>92</v>
      </c>
    </row>
    <row r="278" customFormat="false" ht="16.4" hidden="false" customHeight="false" outlineLevel="0" collapsed="false">
      <c r="A278" s="36" t="str">
        <f aca="false">IF(B278=0,"",MAX($A$3:A277)+1)</f>
        <v/>
      </c>
      <c r="B278" s="36" t="n">
        <f aca="false">IF(OR(M278="FLETE",M278="FLETE ENVIO GARANTIA",M278="FLETE RECOLECCION GARANTIA",M278="COMPENSACION"),0,1)</f>
        <v>0</v>
      </c>
      <c r="D278" s="10" t="s">
        <v>1273</v>
      </c>
      <c r="J278" s="0" t="s">
        <v>73</v>
      </c>
      <c r="K278" s="0" t="s">
        <v>93</v>
      </c>
      <c r="L278" s="0" t="s">
        <v>166</v>
      </c>
      <c r="M278" s="0" t="s">
        <v>167</v>
      </c>
      <c r="N278" s="0" t="n">
        <v>1</v>
      </c>
      <c r="P278" s="0" t="s">
        <v>73</v>
      </c>
      <c r="R278" s="0" t="s">
        <v>168</v>
      </c>
      <c r="V278" s="0" t="s">
        <v>1277</v>
      </c>
      <c r="W278" s="12" t="n">
        <v>0</v>
      </c>
      <c r="Y278" s="12" t="s">
        <v>79</v>
      </c>
      <c r="AG278" s="0" t="s">
        <v>10</v>
      </c>
      <c r="AL278" s="13" t="n">
        <v>190000</v>
      </c>
      <c r="AM278" s="14" t="n">
        <v>0</v>
      </c>
      <c r="AN278" s="13" t="n">
        <v>190000</v>
      </c>
      <c r="AO278" s="13" t="n">
        <v>0</v>
      </c>
      <c r="AR278" s="0" t="s">
        <v>1284</v>
      </c>
      <c r="AZ278" s="0" t="s">
        <v>89</v>
      </c>
      <c r="BA278" s="0" t="s">
        <v>89</v>
      </c>
      <c r="BB278" s="0" t="s">
        <v>90</v>
      </c>
      <c r="BC278" s="0" t="s">
        <v>241</v>
      </c>
      <c r="BD278" s="15" t="s">
        <v>1283</v>
      </c>
      <c r="BE278" s="37" t="s">
        <v>92</v>
      </c>
    </row>
    <row r="279" customFormat="false" ht="16.4" hidden="false" customHeight="false" outlineLevel="0" collapsed="false">
      <c r="A279" s="36" t="str">
        <f aca="false">IF(B279=0,"",MAX($A$3:A278)+1)</f>
        <v/>
      </c>
      <c r="B279" s="36" t="n">
        <f aca="false">IF(OR(M279="FLETE",M279="FLETE ENVIO GARANTIA",M279="FLETE RECOLECCION GARANTIA",M279="COMPENSACION"),0,1)</f>
        <v>0</v>
      </c>
      <c r="D279" s="10" t="s">
        <v>1273</v>
      </c>
      <c r="J279" s="0" t="s">
        <v>73</v>
      </c>
      <c r="K279" s="0" t="s">
        <v>93</v>
      </c>
      <c r="L279" s="0" t="s">
        <v>94</v>
      </c>
      <c r="M279" s="0" t="s">
        <v>95</v>
      </c>
      <c r="N279" s="0" t="n">
        <v>1</v>
      </c>
      <c r="V279" s="0" t="s">
        <v>1277</v>
      </c>
      <c r="W279" s="12" t="n">
        <v>0</v>
      </c>
      <c r="Y279" s="0" t="s">
        <v>79</v>
      </c>
      <c r="AG279" s="0" t="s">
        <v>10</v>
      </c>
      <c r="AL279" s="13" t="n">
        <v>0</v>
      </c>
      <c r="AM279" s="14" t="n">
        <v>0</v>
      </c>
      <c r="AO279" s="13" t="n">
        <v>0</v>
      </c>
      <c r="AR279" s="0" t="s">
        <v>1285</v>
      </c>
      <c r="AZ279" s="0" t="s">
        <v>89</v>
      </c>
      <c r="BA279" s="0" t="s">
        <v>89</v>
      </c>
      <c r="BB279" s="0" t="s">
        <v>90</v>
      </c>
      <c r="BC279" s="0" t="s">
        <v>241</v>
      </c>
      <c r="BD279" s="15" t="s">
        <v>1283</v>
      </c>
      <c r="BE279" s="37" t="s">
        <v>92</v>
      </c>
    </row>
    <row r="280" customFormat="false" ht="16.4" hidden="false" customHeight="false" outlineLevel="0" collapsed="false">
      <c r="A280" s="36" t="n">
        <f aca="false">IF(B280=0,"",MAX($A$3:A279)+1)</f>
        <v>207</v>
      </c>
      <c r="B280" s="36" t="n">
        <f aca="false">IF(OR(M280="FLETE",M280="FLETE ENVIO GARANTIA",M280="FLETE RECOLECCION GARANTIA",M280="COMPENSACION"),0,1)</f>
        <v>1</v>
      </c>
      <c r="C280" s="0" t="s">
        <v>1286</v>
      </c>
      <c r="D280" s="10" t="s">
        <v>1287</v>
      </c>
      <c r="E280" s="11" t="n">
        <v>45699</v>
      </c>
      <c r="F280" s="11" t="n">
        <v>45716</v>
      </c>
      <c r="G280" s="11" t="n">
        <v>45719</v>
      </c>
      <c r="H280" s="11" t="n">
        <v>45720</v>
      </c>
      <c r="I280" s="11" t="n">
        <v>45720</v>
      </c>
      <c r="J280" s="0" t="s">
        <v>1250</v>
      </c>
      <c r="K280" s="0" t="s">
        <v>135</v>
      </c>
      <c r="L280" s="0" t="s">
        <v>1288</v>
      </c>
      <c r="M280" s="0" t="s">
        <v>1289</v>
      </c>
      <c r="N280" s="0" t="n">
        <v>1</v>
      </c>
      <c r="P280" s="0" t="s">
        <v>138</v>
      </c>
      <c r="Q280" s="0" t="s">
        <v>139</v>
      </c>
      <c r="R280" s="0" t="s">
        <v>1290</v>
      </c>
      <c r="T280" s="0" t="s">
        <v>198</v>
      </c>
      <c r="U280" s="0" t="s">
        <v>160</v>
      </c>
      <c r="V280" s="0" t="s">
        <v>1291</v>
      </c>
      <c r="W280" s="12" t="n">
        <v>0</v>
      </c>
      <c r="Y280" s="12" t="s">
        <v>143</v>
      </c>
      <c r="Z280" s="0" t="s">
        <v>144</v>
      </c>
      <c r="AB280" s="0" t="n">
        <v>1058817720</v>
      </c>
      <c r="AC280" s="0" t="s">
        <v>1292</v>
      </c>
      <c r="AD280" s="0" t="s">
        <v>1293</v>
      </c>
      <c r="AE280" s="0" t="s">
        <v>1294</v>
      </c>
      <c r="AG280" s="0" t="s">
        <v>2</v>
      </c>
      <c r="AH280" s="0" t="n">
        <v>4</v>
      </c>
      <c r="AI280" s="0" t="s">
        <v>1295</v>
      </c>
      <c r="AJ280" s="0" t="n">
        <v>1714700</v>
      </c>
      <c r="AK280" s="0" t="s">
        <v>85</v>
      </c>
      <c r="AL280" s="13" t="n">
        <v>605798.3193</v>
      </c>
      <c r="AM280" s="14" t="n">
        <v>25</v>
      </c>
      <c r="AN280" s="13" t="n">
        <v>540675</v>
      </c>
      <c r="AO280" s="13" t="n">
        <v>86326.26</v>
      </c>
      <c r="AP280" s="0" t="s">
        <v>1296</v>
      </c>
      <c r="AQ280" s="0" t="s">
        <v>1205</v>
      </c>
      <c r="AR280" s="0" t="s">
        <v>1297</v>
      </c>
      <c r="AS280" s="0" t="n">
        <v>2214725</v>
      </c>
      <c r="AT280" s="0" t="s">
        <v>1292</v>
      </c>
      <c r="AU280" s="0" t="s">
        <v>143</v>
      </c>
      <c r="AV280" s="0" t="s">
        <v>1294</v>
      </c>
      <c r="AW280" s="0" t="s">
        <v>1293</v>
      </c>
      <c r="AX280" s="0" t="s">
        <v>1291</v>
      </c>
      <c r="AY280" s="0" t="n">
        <v>1058817720</v>
      </c>
      <c r="AZ280" s="0" t="s">
        <v>89</v>
      </c>
      <c r="BA280" s="0" t="s">
        <v>89</v>
      </c>
      <c r="BB280" s="0" t="s">
        <v>90</v>
      </c>
      <c r="BC280" s="0" t="s">
        <v>150</v>
      </c>
      <c r="BD280" s="15" t="s">
        <v>1298</v>
      </c>
      <c r="BE280" s="37" t="s">
        <v>152</v>
      </c>
    </row>
    <row r="281" customFormat="false" ht="16.4" hidden="false" customHeight="false" outlineLevel="0" collapsed="false">
      <c r="A281" s="36" t="n">
        <f aca="false">IF(B281=0,"",MAX($A$3:A280)+1)</f>
        <v>208</v>
      </c>
      <c r="B281" s="36" t="n">
        <f aca="false">IF(OR(M281="FLETE",M281="FLETE ENVIO GARANTIA",M281="FLETE RECOLECCION GARANTIA",M281="COMPENSACION"),0,1)</f>
        <v>1</v>
      </c>
      <c r="D281" s="10" t="s">
        <v>1287</v>
      </c>
      <c r="J281" s="0" t="s">
        <v>1250</v>
      </c>
      <c r="K281" s="0" t="s">
        <v>493</v>
      </c>
      <c r="L281" s="0" t="s">
        <v>1299</v>
      </c>
      <c r="M281" s="0" t="s">
        <v>1300</v>
      </c>
      <c r="N281" s="0" t="n">
        <v>6</v>
      </c>
      <c r="P281" s="0" t="s">
        <v>138</v>
      </c>
      <c r="Q281" s="0" t="s">
        <v>522</v>
      </c>
      <c r="R281" s="0" t="s">
        <v>523</v>
      </c>
      <c r="S281" s="0" t="s">
        <v>158</v>
      </c>
      <c r="T281" s="0" t="s">
        <v>449</v>
      </c>
      <c r="U281" s="0" t="s">
        <v>160</v>
      </c>
      <c r="V281" s="0" t="s">
        <v>1291</v>
      </c>
      <c r="W281" s="12" t="n">
        <v>0</v>
      </c>
      <c r="Y281" s="0" t="s">
        <v>143</v>
      </c>
      <c r="AG281" s="0" t="s">
        <v>2</v>
      </c>
      <c r="AL281" s="13" t="n">
        <v>303277.3109</v>
      </c>
      <c r="AM281" s="14" t="n">
        <v>25</v>
      </c>
      <c r="AN281" s="13" t="n">
        <v>1624050</v>
      </c>
      <c r="AO281" s="13" t="n">
        <v>259302.1</v>
      </c>
      <c r="AR281" s="0" t="s">
        <v>1301</v>
      </c>
      <c r="AZ281" s="0" t="s">
        <v>89</v>
      </c>
      <c r="BA281" s="0" t="s">
        <v>89</v>
      </c>
      <c r="BB281" s="0" t="s">
        <v>90</v>
      </c>
      <c r="BC281" s="0" t="s">
        <v>150</v>
      </c>
      <c r="BD281" s="15" t="s">
        <v>1298</v>
      </c>
      <c r="BE281" s="37" t="s">
        <v>152</v>
      </c>
    </row>
    <row r="282" customFormat="false" ht="16.4" hidden="false" customHeight="false" outlineLevel="0" collapsed="false">
      <c r="A282" s="36" t="str">
        <f aca="false">IF(B282=0,"",MAX($A$3:A281)+1)</f>
        <v/>
      </c>
      <c r="B282" s="36" t="n">
        <f aca="false">IF(OR(M282="FLETE",M282="FLETE ENVIO GARANTIA",M282="FLETE RECOLECCION GARANTIA",M282="COMPENSACION"),0,1)</f>
        <v>0</v>
      </c>
      <c r="D282" s="10" t="s">
        <v>1287</v>
      </c>
      <c r="J282" s="0" t="s">
        <v>1250</v>
      </c>
      <c r="K282" s="0" t="s">
        <v>93</v>
      </c>
      <c r="L282" s="0" t="s">
        <v>210</v>
      </c>
      <c r="M282" s="0" t="s">
        <v>211</v>
      </c>
      <c r="N282" s="0" t="n">
        <v>1</v>
      </c>
      <c r="P282" s="0" t="s">
        <v>73</v>
      </c>
      <c r="R282" s="0" t="s">
        <v>211</v>
      </c>
      <c r="V282" s="0" t="s">
        <v>1291</v>
      </c>
      <c r="W282" s="12" t="n">
        <v>0</v>
      </c>
      <c r="Y282" s="12" t="s">
        <v>143</v>
      </c>
      <c r="AG282" s="0" t="s">
        <v>2</v>
      </c>
      <c r="AL282" s="13" t="n">
        <v>50000</v>
      </c>
      <c r="AM282" s="14" t="n">
        <v>0</v>
      </c>
      <c r="AN282" s="13" t="n">
        <v>50000</v>
      </c>
      <c r="AO282" s="13" t="n">
        <v>0</v>
      </c>
      <c r="AR282" s="0" t="s">
        <v>1302</v>
      </c>
      <c r="AZ282" s="0" t="s">
        <v>89</v>
      </c>
      <c r="BA282" s="0" t="s">
        <v>89</v>
      </c>
      <c r="BB282" s="0" t="s">
        <v>90</v>
      </c>
      <c r="BC282" s="0" t="s">
        <v>150</v>
      </c>
      <c r="BD282" s="15" t="s">
        <v>1298</v>
      </c>
      <c r="BE282" s="37" t="s">
        <v>152</v>
      </c>
    </row>
    <row r="283" customFormat="false" ht="16.4" hidden="false" customHeight="false" outlineLevel="0" collapsed="false">
      <c r="A283" s="36" t="n">
        <f aca="false">IF(B283=0,"",MAX($A$3:A282)+1)</f>
        <v>209</v>
      </c>
      <c r="B283" s="36" t="n">
        <f aca="false">IF(OR(M283="FLETE",M283="FLETE ENVIO GARANTIA",M283="FLETE RECOLECCION GARANTIA",M283="COMPENSACION"),0,1)</f>
        <v>1</v>
      </c>
      <c r="C283" s="0" t="s">
        <v>1303</v>
      </c>
      <c r="D283" s="10" t="s">
        <v>1304</v>
      </c>
      <c r="E283" s="11" t="n">
        <v>45699</v>
      </c>
      <c r="F283" s="11" t="n">
        <v>45716</v>
      </c>
      <c r="G283" s="11" t="n">
        <v>45719</v>
      </c>
      <c r="H283" s="11" t="n">
        <v>45720</v>
      </c>
      <c r="I283" s="11" t="n">
        <v>45720</v>
      </c>
      <c r="J283" s="0" t="s">
        <v>1250</v>
      </c>
      <c r="K283" s="0" t="s">
        <v>214</v>
      </c>
      <c r="L283" s="0" t="s">
        <v>1305</v>
      </c>
      <c r="M283" s="0" t="s">
        <v>1306</v>
      </c>
      <c r="N283" s="0" t="n">
        <v>1</v>
      </c>
      <c r="P283" s="0" t="s">
        <v>217</v>
      </c>
      <c r="Q283" s="0" t="s">
        <v>218</v>
      </c>
      <c r="R283" s="0" t="s">
        <v>855</v>
      </c>
      <c r="S283" s="0" t="s">
        <v>158</v>
      </c>
      <c r="T283" s="0" t="s">
        <v>513</v>
      </c>
      <c r="U283" s="0" t="s">
        <v>160</v>
      </c>
      <c r="V283" s="0" t="s">
        <v>1307</v>
      </c>
      <c r="W283" s="12" t="n">
        <v>0</v>
      </c>
      <c r="Y283" s="0" t="s">
        <v>143</v>
      </c>
      <c r="Z283" s="0" t="s">
        <v>144</v>
      </c>
      <c r="AA283" s="12" t="s">
        <v>1308</v>
      </c>
      <c r="AB283" s="0" t="n">
        <v>1052397592</v>
      </c>
      <c r="AC283" s="0" t="s">
        <v>1309</v>
      </c>
      <c r="AD283" s="0" t="s">
        <v>1310</v>
      </c>
      <c r="AE283" s="0" t="s">
        <v>1311</v>
      </c>
      <c r="AG283" s="0" t="s">
        <v>3</v>
      </c>
      <c r="AH283" s="0" t="n">
        <v>3</v>
      </c>
      <c r="AI283" s="0" t="s">
        <v>1312</v>
      </c>
      <c r="AK283" s="0" t="s">
        <v>85</v>
      </c>
      <c r="AL283" s="13" t="n">
        <v>1475546.2185</v>
      </c>
      <c r="AM283" s="14" t="n">
        <v>45</v>
      </c>
      <c r="AN283" s="13" t="n">
        <v>965745</v>
      </c>
      <c r="AO283" s="13" t="n">
        <v>154194.58</v>
      </c>
      <c r="AP283" s="0" t="s">
        <v>1313</v>
      </c>
      <c r="AQ283" s="0" t="s">
        <v>1205</v>
      </c>
      <c r="AR283" s="0" t="s">
        <v>1314</v>
      </c>
      <c r="AS283" s="0" t="n">
        <v>2018020</v>
      </c>
      <c r="AT283" s="0" t="s">
        <v>1309</v>
      </c>
      <c r="AU283" s="0" t="s">
        <v>143</v>
      </c>
      <c r="AV283" s="0" t="s">
        <v>1311</v>
      </c>
      <c r="AW283" s="0" t="s">
        <v>1310</v>
      </c>
      <c r="AX283" s="0" t="s">
        <v>1307</v>
      </c>
      <c r="AY283" s="0" t="n">
        <v>1052397592</v>
      </c>
      <c r="AZ283" s="0" t="s">
        <v>89</v>
      </c>
      <c r="BA283" s="0" t="s">
        <v>89</v>
      </c>
      <c r="BB283" s="0" t="s">
        <v>90</v>
      </c>
      <c r="BC283" s="0" t="s">
        <v>150</v>
      </c>
      <c r="BD283" s="15" t="s">
        <v>1315</v>
      </c>
      <c r="BE283" s="37" t="s">
        <v>152</v>
      </c>
    </row>
    <row r="284" customFormat="false" ht="16.4" hidden="false" customHeight="false" outlineLevel="0" collapsed="false">
      <c r="A284" s="36" t="n">
        <f aca="false">IF(B284=0,"",MAX($A$3:A283)+1)</f>
        <v>210</v>
      </c>
      <c r="B284" s="36" t="n">
        <f aca="false">IF(OR(M284="FLETE",M284="FLETE ENVIO GARANTIA",M284="FLETE RECOLECCION GARANTIA",M284="COMPENSACION"),0,1)</f>
        <v>1</v>
      </c>
      <c r="D284" s="10" t="s">
        <v>1304</v>
      </c>
      <c r="J284" s="0" t="s">
        <v>1250</v>
      </c>
      <c r="K284" s="0" t="s">
        <v>663</v>
      </c>
      <c r="L284" s="0" t="s">
        <v>1316</v>
      </c>
      <c r="M284" s="0" t="s">
        <v>1317</v>
      </c>
      <c r="N284" s="0" t="n">
        <v>1</v>
      </c>
      <c r="P284" s="0" t="s">
        <v>217</v>
      </c>
      <c r="Q284" s="0" t="s">
        <v>640</v>
      </c>
      <c r="R284" s="0" t="s">
        <v>855</v>
      </c>
      <c r="S284" s="0" t="s">
        <v>158</v>
      </c>
      <c r="T284" s="0" t="s">
        <v>513</v>
      </c>
      <c r="U284" s="0" t="s">
        <v>160</v>
      </c>
      <c r="V284" s="0" t="s">
        <v>1307</v>
      </c>
      <c r="W284" s="12" t="n">
        <v>0</v>
      </c>
      <c r="Y284" s="12" t="s">
        <v>143</v>
      </c>
      <c r="AG284" s="0" t="s">
        <v>3</v>
      </c>
      <c r="AL284" s="13" t="n">
        <v>409159.6639</v>
      </c>
      <c r="AM284" s="14" t="n">
        <v>25</v>
      </c>
      <c r="AN284" s="13" t="n">
        <v>365175</v>
      </c>
      <c r="AO284" s="13" t="n">
        <v>58305.25</v>
      </c>
      <c r="AR284" s="0" t="s">
        <v>1318</v>
      </c>
      <c r="AZ284" s="0" t="s">
        <v>89</v>
      </c>
      <c r="BA284" s="0" t="s">
        <v>89</v>
      </c>
      <c r="BB284" s="0" t="s">
        <v>90</v>
      </c>
      <c r="BC284" s="0" t="s">
        <v>150</v>
      </c>
      <c r="BD284" s="15" t="s">
        <v>1315</v>
      </c>
      <c r="BE284" s="37" t="s">
        <v>152</v>
      </c>
    </row>
    <row r="285" customFormat="false" ht="16.4" hidden="false" customHeight="false" outlineLevel="0" collapsed="false">
      <c r="A285" s="36" t="n">
        <f aca="false">IF(B285=0,"",MAX($A$3:A284)+1)</f>
        <v>211</v>
      </c>
      <c r="B285" s="36" t="n">
        <f aca="false">IF(OR(M285="FLETE",M285="FLETE ENVIO GARANTIA",M285="FLETE RECOLECCION GARANTIA",M285="COMPENSACION"),0,1)</f>
        <v>1</v>
      </c>
      <c r="D285" s="10" t="s">
        <v>1304</v>
      </c>
      <c r="J285" s="0" t="s">
        <v>1250</v>
      </c>
      <c r="K285" s="0" t="s">
        <v>479</v>
      </c>
      <c r="L285" s="0" t="s">
        <v>1319</v>
      </c>
      <c r="M285" s="0" t="s">
        <v>1320</v>
      </c>
      <c r="N285" s="0" t="n">
        <v>1</v>
      </c>
      <c r="P285" s="0" t="s">
        <v>217</v>
      </c>
      <c r="Q285" s="0" t="s">
        <v>482</v>
      </c>
      <c r="R285" s="0" t="s">
        <v>855</v>
      </c>
      <c r="S285" s="0" t="s">
        <v>158</v>
      </c>
      <c r="T285" s="0" t="s">
        <v>236</v>
      </c>
      <c r="U285" s="0" t="s">
        <v>160</v>
      </c>
      <c r="V285" s="0" t="s">
        <v>1307</v>
      </c>
      <c r="W285" s="12" t="n">
        <v>0</v>
      </c>
      <c r="Y285" s="0" t="s">
        <v>143</v>
      </c>
      <c r="AG285" s="0" t="s">
        <v>3</v>
      </c>
      <c r="AL285" s="13" t="n">
        <v>541092.437</v>
      </c>
      <c r="AM285" s="14" t="n">
        <v>25</v>
      </c>
      <c r="AN285" s="13" t="n">
        <v>482925</v>
      </c>
      <c r="AO285" s="13" t="n">
        <v>77105.67</v>
      </c>
      <c r="AR285" s="0" t="s">
        <v>1321</v>
      </c>
      <c r="AZ285" s="0" t="s">
        <v>89</v>
      </c>
      <c r="BA285" s="0" t="s">
        <v>89</v>
      </c>
      <c r="BB285" s="0" t="s">
        <v>90</v>
      </c>
      <c r="BC285" s="0" t="s">
        <v>150</v>
      </c>
      <c r="BD285" s="15" t="s">
        <v>1315</v>
      </c>
      <c r="BE285" s="37" t="s">
        <v>152</v>
      </c>
    </row>
    <row r="286" customFormat="false" ht="16.4" hidden="false" customHeight="false" outlineLevel="0" collapsed="false">
      <c r="A286" s="36" t="n">
        <f aca="false">IF(B286=0,"",MAX($A$3:A285)+1)</f>
        <v>212</v>
      </c>
      <c r="B286" s="36" t="n">
        <f aca="false">IF(OR(M286="FLETE",M286="FLETE ENVIO GARANTIA",M286="FLETE RECOLECCION GARANTIA",M286="COMPENSACION"),0,1)</f>
        <v>1</v>
      </c>
      <c r="D286" s="10" t="s">
        <v>1304</v>
      </c>
      <c r="J286" s="0" t="s">
        <v>1250</v>
      </c>
      <c r="K286" s="0" t="s">
        <v>529</v>
      </c>
      <c r="L286" s="0" t="s">
        <v>1322</v>
      </c>
      <c r="M286" s="0" t="s">
        <v>1323</v>
      </c>
      <c r="N286" s="0" t="n">
        <v>1</v>
      </c>
      <c r="P286" s="0" t="s">
        <v>217</v>
      </c>
      <c r="Q286" s="0" t="s">
        <v>541</v>
      </c>
      <c r="R286" s="0" t="s">
        <v>868</v>
      </c>
      <c r="T286" s="0" t="s">
        <v>198</v>
      </c>
      <c r="U286" s="0" t="s">
        <v>160</v>
      </c>
      <c r="V286" s="0" t="s">
        <v>1307</v>
      </c>
      <c r="W286" s="12" t="n">
        <v>0</v>
      </c>
      <c r="Y286" s="12" t="s">
        <v>143</v>
      </c>
      <c r="AG286" s="0" t="s">
        <v>3</v>
      </c>
      <c r="AL286" s="13" t="n">
        <v>200756.3025</v>
      </c>
      <c r="AM286" s="14" t="n">
        <v>25</v>
      </c>
      <c r="AN286" s="13" t="n">
        <v>179175</v>
      </c>
      <c r="AO286" s="13" t="n">
        <v>28607.77</v>
      </c>
      <c r="AR286" s="0" t="s">
        <v>1324</v>
      </c>
      <c r="AZ286" s="0" t="s">
        <v>89</v>
      </c>
      <c r="BA286" s="0" t="s">
        <v>89</v>
      </c>
      <c r="BB286" s="0" t="s">
        <v>90</v>
      </c>
      <c r="BC286" s="0" t="s">
        <v>150</v>
      </c>
      <c r="BD286" s="15" t="s">
        <v>1315</v>
      </c>
      <c r="BE286" s="37" t="s">
        <v>152</v>
      </c>
    </row>
    <row r="287" customFormat="false" ht="16.4" hidden="false" customHeight="false" outlineLevel="0" collapsed="false">
      <c r="A287" s="36" t="str">
        <f aca="false">IF(B287=0,"",MAX($A$3:A286)+1)</f>
        <v/>
      </c>
      <c r="B287" s="36" t="n">
        <f aca="false">IF(OR(M287="FLETE",M287="FLETE ENVIO GARANTIA",M287="FLETE RECOLECCION GARANTIA",M287="COMPENSACION"),0,1)</f>
        <v>0</v>
      </c>
      <c r="D287" s="10" t="s">
        <v>1304</v>
      </c>
      <c r="J287" s="0" t="s">
        <v>1250</v>
      </c>
      <c r="K287" s="0" t="s">
        <v>93</v>
      </c>
      <c r="L287" s="0" t="s">
        <v>210</v>
      </c>
      <c r="M287" s="0" t="s">
        <v>211</v>
      </c>
      <c r="N287" s="0" t="n">
        <v>1</v>
      </c>
      <c r="P287" s="0" t="s">
        <v>73</v>
      </c>
      <c r="R287" s="0" t="s">
        <v>211</v>
      </c>
      <c r="V287" s="0" t="s">
        <v>1307</v>
      </c>
      <c r="W287" s="12" t="n">
        <v>0</v>
      </c>
      <c r="Y287" s="12" t="s">
        <v>143</v>
      </c>
      <c r="AG287" s="0" t="s">
        <v>3</v>
      </c>
      <c r="AL287" s="13" t="n">
        <v>25000</v>
      </c>
      <c r="AM287" s="14" t="n">
        <v>0</v>
      </c>
      <c r="AN287" s="13" t="n">
        <v>25000</v>
      </c>
      <c r="AO287" s="13" t="n">
        <v>0</v>
      </c>
      <c r="AR287" s="0" t="s">
        <v>1325</v>
      </c>
      <c r="AZ287" s="0" t="s">
        <v>89</v>
      </c>
      <c r="BA287" s="0" t="s">
        <v>89</v>
      </c>
      <c r="BB287" s="0" t="s">
        <v>90</v>
      </c>
      <c r="BC287" s="0" t="s">
        <v>150</v>
      </c>
      <c r="BD287" s="15" t="s">
        <v>1315</v>
      </c>
      <c r="BE287" s="37" t="s">
        <v>152</v>
      </c>
    </row>
    <row r="288" customFormat="false" ht="16.4" hidden="false" customHeight="false" outlineLevel="0" collapsed="false">
      <c r="A288" s="36" t="n">
        <f aca="false">IF(B288=0,"",MAX($A$3:A287)+1)</f>
        <v>213</v>
      </c>
      <c r="B288" s="36" t="n">
        <f aca="false">IF(OR(M288="FLETE",M288="FLETE ENVIO GARANTIA",M288="FLETE RECOLECCION GARANTIA",M288="COMPENSACION"),0,1)</f>
        <v>1</v>
      </c>
      <c r="D288" s="10" t="s">
        <v>1304</v>
      </c>
      <c r="J288" s="0" t="s">
        <v>1250</v>
      </c>
      <c r="K288" s="0" t="s">
        <v>1326</v>
      </c>
      <c r="L288" s="0" t="s">
        <v>1327</v>
      </c>
      <c r="M288" s="0" t="s">
        <v>1328</v>
      </c>
      <c r="N288" s="0" t="n">
        <v>1</v>
      </c>
      <c r="P288" s="0" t="s">
        <v>249</v>
      </c>
      <c r="Q288" s="0" t="s">
        <v>250</v>
      </c>
      <c r="R288" s="0" t="s">
        <v>1329</v>
      </c>
      <c r="S288" s="0" t="s">
        <v>158</v>
      </c>
      <c r="T288" s="0" t="s">
        <v>236</v>
      </c>
      <c r="V288" s="0" t="s">
        <v>1307</v>
      </c>
      <c r="W288" s="12" t="n">
        <v>0</v>
      </c>
      <c r="Y288" s="0" t="s">
        <v>143</v>
      </c>
      <c r="AG288" s="0" t="s">
        <v>3</v>
      </c>
      <c r="AL288" s="13" t="n">
        <v>811680.6723</v>
      </c>
      <c r="AM288" s="14" t="n">
        <v>100</v>
      </c>
      <c r="AO288" s="13" t="n">
        <v>0</v>
      </c>
      <c r="AR288" s="0" t="s">
        <v>1330</v>
      </c>
      <c r="AZ288" s="0" t="s">
        <v>89</v>
      </c>
      <c r="BA288" s="0" t="s">
        <v>89</v>
      </c>
      <c r="BB288" s="0" t="s">
        <v>90</v>
      </c>
      <c r="BC288" s="0" t="s">
        <v>150</v>
      </c>
      <c r="BD288" s="15" t="s">
        <v>1315</v>
      </c>
      <c r="BE288" s="37" t="s">
        <v>152</v>
      </c>
    </row>
    <row r="289" customFormat="false" ht="16.4" hidden="false" customHeight="false" outlineLevel="0" collapsed="false">
      <c r="A289" s="36" t="n">
        <f aca="false">IF(B289=0,"",MAX($A$3:A288)+1)</f>
        <v>214</v>
      </c>
      <c r="B289" s="36" t="n">
        <f aca="false">IF(OR(M289="FLETE",M289="FLETE ENVIO GARANTIA",M289="FLETE RECOLECCION GARANTIA",M289="COMPENSACION"),0,1)</f>
        <v>1</v>
      </c>
      <c r="C289" s="0" t="s">
        <v>1331</v>
      </c>
      <c r="D289" s="10" t="s">
        <v>1332</v>
      </c>
      <c r="E289" s="11" t="n">
        <v>45699</v>
      </c>
      <c r="F289" s="11" t="n">
        <v>45717</v>
      </c>
      <c r="G289" s="11" t="n">
        <v>45719</v>
      </c>
      <c r="H289" s="11" t="n">
        <v>45719</v>
      </c>
      <c r="I289" s="11" t="n">
        <v>45719</v>
      </c>
      <c r="J289" s="0" t="s">
        <v>1193</v>
      </c>
      <c r="K289" s="0" t="s">
        <v>214</v>
      </c>
      <c r="L289" s="0" t="s">
        <v>1333</v>
      </c>
      <c r="M289" s="0" t="s">
        <v>1334</v>
      </c>
      <c r="N289" s="0" t="n">
        <v>1</v>
      </c>
      <c r="P289" s="0" t="s">
        <v>217</v>
      </c>
      <c r="Q289" s="0" t="s">
        <v>218</v>
      </c>
      <c r="R289" s="0" t="s">
        <v>1005</v>
      </c>
      <c r="S289" s="0" t="s">
        <v>591</v>
      </c>
      <c r="T289" s="0" t="s">
        <v>221</v>
      </c>
      <c r="V289" s="0" t="s">
        <v>1335</v>
      </c>
      <c r="W289" s="12" t="s">
        <v>1336</v>
      </c>
      <c r="Y289" s="12" t="s">
        <v>444</v>
      </c>
      <c r="Z289" s="0" t="s">
        <v>179</v>
      </c>
      <c r="AB289" s="0" t="n">
        <v>1030658560</v>
      </c>
      <c r="AC289" s="0" t="s">
        <v>1337</v>
      </c>
      <c r="AD289" s="0" t="s">
        <v>1338</v>
      </c>
      <c r="AE289" s="0" t="s">
        <v>1339</v>
      </c>
      <c r="AG289" s="0" t="s">
        <v>10</v>
      </c>
      <c r="AH289" s="0" t="n">
        <v>1</v>
      </c>
      <c r="AI289" s="0" t="s">
        <v>1340</v>
      </c>
      <c r="AK289" s="0" t="s">
        <v>85</v>
      </c>
      <c r="AL289" s="13" t="n">
        <v>769663.8655</v>
      </c>
      <c r="AM289" s="14" t="n">
        <v>25</v>
      </c>
      <c r="AN289" s="13" t="n">
        <v>686925</v>
      </c>
      <c r="AO289" s="13" t="n">
        <v>109677.1</v>
      </c>
      <c r="AP289" s="0" t="s">
        <v>1341</v>
      </c>
      <c r="AQ289" s="0" t="s">
        <v>1342</v>
      </c>
      <c r="AR289" s="0" t="s">
        <v>1343</v>
      </c>
      <c r="AS289" s="0" t="n">
        <v>725925</v>
      </c>
      <c r="AT289" s="0" t="s">
        <v>1337</v>
      </c>
      <c r="AU289" s="0" t="s">
        <v>444</v>
      </c>
      <c r="AV289" s="0" t="s">
        <v>1339</v>
      </c>
      <c r="AW289" s="0" t="s">
        <v>1338</v>
      </c>
      <c r="AX289" s="0" t="s">
        <v>1335</v>
      </c>
      <c r="AY289" s="0" t="n">
        <v>1030658560</v>
      </c>
      <c r="AZ289" s="0" t="s">
        <v>89</v>
      </c>
      <c r="BA289" s="0" t="s">
        <v>89</v>
      </c>
      <c r="BB289" s="0" t="s">
        <v>130</v>
      </c>
      <c r="BC289" s="0" t="s">
        <v>241</v>
      </c>
      <c r="BD289" s="15" t="s">
        <v>1344</v>
      </c>
      <c r="BE289" s="37" t="s">
        <v>92</v>
      </c>
    </row>
    <row r="290" customFormat="false" ht="16.4" hidden="false" customHeight="false" outlineLevel="0" collapsed="false">
      <c r="A290" s="36" t="str">
        <f aca="false">IF(B290=0,"",MAX($A$3:A289)+1)</f>
        <v/>
      </c>
      <c r="B290" s="36" t="n">
        <f aca="false">IF(OR(M290="FLETE",M290="FLETE ENVIO GARANTIA",M290="FLETE RECOLECCION GARANTIA",M290="COMPENSACION"),0,1)</f>
        <v>0</v>
      </c>
      <c r="D290" s="10" t="s">
        <v>1332</v>
      </c>
      <c r="J290" s="0" t="s">
        <v>1193</v>
      </c>
      <c r="K290" s="0" t="s">
        <v>93</v>
      </c>
      <c r="L290" s="0" t="s">
        <v>210</v>
      </c>
      <c r="M290" s="0" t="s">
        <v>211</v>
      </c>
      <c r="N290" s="0" t="n">
        <v>1</v>
      </c>
      <c r="P290" s="0" t="s">
        <v>73</v>
      </c>
      <c r="R290" s="0" t="s">
        <v>211</v>
      </c>
      <c r="V290" s="0" t="s">
        <v>1335</v>
      </c>
      <c r="W290" s="12" t="s">
        <v>1336</v>
      </c>
      <c r="Y290" s="12" t="s">
        <v>444</v>
      </c>
      <c r="AG290" s="0" t="s">
        <v>10</v>
      </c>
      <c r="AL290" s="13" t="n">
        <v>39000</v>
      </c>
      <c r="AM290" s="14" t="n">
        <v>0</v>
      </c>
      <c r="AN290" s="13" t="n">
        <v>39000</v>
      </c>
      <c r="AO290" s="13" t="n">
        <v>0</v>
      </c>
      <c r="AR290" s="0" t="s">
        <v>1345</v>
      </c>
      <c r="AZ290" s="0" t="s">
        <v>89</v>
      </c>
      <c r="BA290" s="0" t="s">
        <v>89</v>
      </c>
      <c r="BB290" s="0" t="s">
        <v>130</v>
      </c>
      <c r="BC290" s="0" t="s">
        <v>241</v>
      </c>
      <c r="BD290" s="15" t="s">
        <v>1344</v>
      </c>
      <c r="BE290" s="37" t="s">
        <v>92</v>
      </c>
    </row>
    <row r="291" customFormat="false" ht="16.4" hidden="false" customHeight="false" outlineLevel="0" collapsed="false">
      <c r="A291" s="36" t="n">
        <f aca="false">IF(B291=0,"",MAX($A$3:A290)+1)</f>
        <v>215</v>
      </c>
      <c r="B291" s="36" t="n">
        <f aca="false">IF(OR(M291="FLETE",M291="FLETE ENVIO GARANTIA",M291="FLETE RECOLECCION GARANTIA",M291="COMPENSACION"),0,1)</f>
        <v>1</v>
      </c>
      <c r="C291" s="0" t="s">
        <v>1346</v>
      </c>
      <c r="D291" s="10" t="n">
        <v>7420494</v>
      </c>
      <c r="E291" s="11" t="n">
        <v>45699</v>
      </c>
      <c r="F291" s="11" t="n">
        <v>45717</v>
      </c>
      <c r="G291" s="11" t="n">
        <v>45719</v>
      </c>
      <c r="I291" s="11" t="n">
        <v>45720</v>
      </c>
      <c r="J291" s="0" t="s">
        <v>816</v>
      </c>
      <c r="K291" s="0" t="s">
        <v>479</v>
      </c>
      <c r="L291" s="0" t="s">
        <v>1347</v>
      </c>
      <c r="M291" s="0" t="s">
        <v>1348</v>
      </c>
      <c r="N291" s="0" t="n">
        <v>2</v>
      </c>
      <c r="P291" s="0" t="s">
        <v>217</v>
      </c>
      <c r="Q291" s="0" t="s">
        <v>482</v>
      </c>
      <c r="R291" s="0" t="s">
        <v>1349</v>
      </c>
      <c r="S291" s="0" t="s">
        <v>220</v>
      </c>
      <c r="T291" s="0" t="s">
        <v>221</v>
      </c>
      <c r="U291" s="0" t="s">
        <v>508</v>
      </c>
      <c r="V291" s="0" t="s">
        <v>1350</v>
      </c>
      <c r="W291" s="12" t="n">
        <v>0</v>
      </c>
      <c r="Y291" s="0" t="s">
        <v>1351</v>
      </c>
      <c r="Z291" s="0" t="s">
        <v>202</v>
      </c>
      <c r="AA291" s="12" t="n">
        <v>12763086986</v>
      </c>
      <c r="AB291" s="0" t="n">
        <v>1024524902</v>
      </c>
      <c r="AC291" s="0" t="s">
        <v>1352</v>
      </c>
      <c r="AE291" s="0" t="n">
        <v>3235874745</v>
      </c>
      <c r="AF291" s="0" t="n">
        <v>72968833</v>
      </c>
      <c r="AG291" s="0" t="s">
        <v>10</v>
      </c>
      <c r="AK291" s="0" t="s">
        <v>85</v>
      </c>
      <c r="AL291" s="13" t="n">
        <v>558900</v>
      </c>
      <c r="AM291" s="14" t="n">
        <v>-4.1152</v>
      </c>
      <c r="AN291" s="13" t="n">
        <v>1384921.65</v>
      </c>
      <c r="AO291" s="13" t="n">
        <v>221121.94</v>
      </c>
      <c r="AR291" s="0" t="s">
        <v>1353</v>
      </c>
      <c r="AS291" s="0" t="n">
        <v>1384921.65</v>
      </c>
      <c r="AT291" s="0" t="s">
        <v>824</v>
      </c>
      <c r="AU291" s="0" t="s">
        <v>444</v>
      </c>
      <c r="AW291" s="0" t="s">
        <v>825</v>
      </c>
      <c r="AX291" s="0" t="s">
        <v>826</v>
      </c>
      <c r="AY291" s="0" t="s">
        <v>827</v>
      </c>
      <c r="AZ291" s="0" t="s">
        <v>89</v>
      </c>
      <c r="BA291" s="0" t="s">
        <v>89</v>
      </c>
      <c r="BB291" s="0" t="s">
        <v>130</v>
      </c>
      <c r="BC291" s="0" t="s">
        <v>241</v>
      </c>
      <c r="BD291" s="15" t="s">
        <v>1354</v>
      </c>
      <c r="BE291" s="37" t="s">
        <v>829</v>
      </c>
    </row>
    <row r="292" customFormat="false" ht="16.4" hidden="false" customHeight="false" outlineLevel="0" collapsed="false">
      <c r="A292" s="36" t="str">
        <f aca="false">IF(B292=0,"",MAX($A$3:A291)+1)</f>
        <v/>
      </c>
      <c r="B292" s="36" t="n">
        <f aca="false">IF(OR(M292="FLETE",M292="FLETE ENVIO GARANTIA",M292="FLETE RECOLECCION GARANTIA",M292="COMPENSACION"),0,1)</f>
        <v>0</v>
      </c>
      <c r="D292" s="10" t="n">
        <v>7420494</v>
      </c>
      <c r="J292" s="0" t="s">
        <v>816</v>
      </c>
      <c r="K292" s="0" t="s">
        <v>93</v>
      </c>
      <c r="L292" s="0" t="s">
        <v>210</v>
      </c>
      <c r="M292" s="0" t="s">
        <v>211</v>
      </c>
      <c r="N292" s="0" t="n">
        <v>1</v>
      </c>
      <c r="P292" s="0" t="s">
        <v>73</v>
      </c>
      <c r="R292" s="0" t="s">
        <v>211</v>
      </c>
      <c r="V292" s="0" t="s">
        <v>1350</v>
      </c>
      <c r="W292" s="12" t="n">
        <v>0</v>
      </c>
      <c r="Y292" s="12" t="s">
        <v>1351</v>
      </c>
      <c r="AG292" s="0" t="s">
        <v>10</v>
      </c>
      <c r="AL292" s="13" t="n">
        <v>0</v>
      </c>
      <c r="AM292" s="14" t="n">
        <v>0</v>
      </c>
      <c r="AO292" s="13" t="n">
        <v>0</v>
      </c>
      <c r="AR292" s="0" t="s">
        <v>1353</v>
      </c>
      <c r="AZ292" s="0" t="s">
        <v>89</v>
      </c>
      <c r="BA292" s="0" t="s">
        <v>89</v>
      </c>
      <c r="BB292" s="0" t="s">
        <v>130</v>
      </c>
      <c r="BC292" s="0" t="s">
        <v>241</v>
      </c>
      <c r="BD292" s="15" t="s">
        <v>1354</v>
      </c>
      <c r="BE292" s="37" t="s">
        <v>829</v>
      </c>
    </row>
    <row r="293" customFormat="false" ht="16.4" hidden="false" customHeight="false" outlineLevel="0" collapsed="false">
      <c r="A293" s="36" t="n">
        <f aca="false">IF(B293=0,"",MAX($A$3:A292)+1)</f>
        <v>216</v>
      </c>
      <c r="B293" s="36" t="n">
        <f aca="false">IF(OR(M293="FLETE",M293="FLETE ENVIO GARANTIA",M293="FLETE RECOLECCION GARANTIA",M293="COMPENSACION"),0,1)</f>
        <v>1</v>
      </c>
      <c r="C293" s="0" t="s">
        <v>1355</v>
      </c>
      <c r="D293" s="10" t="n">
        <v>7420573</v>
      </c>
      <c r="E293" s="11" t="n">
        <v>45699</v>
      </c>
      <c r="F293" s="11" t="n">
        <v>45717</v>
      </c>
      <c r="G293" s="11" t="n">
        <v>45719</v>
      </c>
      <c r="I293" s="11" t="n">
        <v>45720</v>
      </c>
      <c r="J293" s="0" t="s">
        <v>816</v>
      </c>
      <c r="K293" s="0" t="s">
        <v>135</v>
      </c>
      <c r="L293" s="0" t="s">
        <v>1213</v>
      </c>
      <c r="M293" s="0" t="s">
        <v>1214</v>
      </c>
      <c r="N293" s="0" t="n">
        <v>1</v>
      </c>
      <c r="P293" s="0" t="s">
        <v>138</v>
      </c>
      <c r="Q293" s="0" t="s">
        <v>139</v>
      </c>
      <c r="R293" s="0" t="s">
        <v>506</v>
      </c>
      <c r="T293" s="0" t="s">
        <v>141</v>
      </c>
      <c r="U293" s="0" t="s">
        <v>508</v>
      </c>
      <c r="V293" s="0" t="s">
        <v>1356</v>
      </c>
      <c r="W293" s="12" t="n">
        <v>0</v>
      </c>
      <c r="Y293" s="0" t="s">
        <v>1357</v>
      </c>
      <c r="Z293" s="0" t="s">
        <v>962</v>
      </c>
      <c r="AA293" s="12" t="n">
        <v>12763096220</v>
      </c>
      <c r="AB293" s="0" t="n">
        <v>1094935615</v>
      </c>
      <c r="AC293" s="0" t="s">
        <v>1358</v>
      </c>
      <c r="AE293" s="0" t="n">
        <v>3122165263</v>
      </c>
      <c r="AF293" s="0" t="n">
        <v>72924092</v>
      </c>
      <c r="AG293" s="0" t="s">
        <v>10</v>
      </c>
      <c r="AK293" s="0" t="s">
        <v>85</v>
      </c>
      <c r="AL293" s="13" t="n">
        <v>722150</v>
      </c>
      <c r="AM293" s="14" t="n">
        <v>16.9286</v>
      </c>
      <c r="AN293" s="13" t="n">
        <v>713881.14</v>
      </c>
      <c r="AO293" s="13" t="n">
        <v>113981.02</v>
      </c>
      <c r="AP293" s="0" t="n">
        <v>0</v>
      </c>
      <c r="AR293" s="0" t="s">
        <v>1359</v>
      </c>
      <c r="AS293" s="0" t="n">
        <v>713881.14</v>
      </c>
      <c r="AT293" s="0" t="s">
        <v>824</v>
      </c>
      <c r="AU293" s="0" t="s">
        <v>444</v>
      </c>
      <c r="AW293" s="0" t="s">
        <v>825</v>
      </c>
      <c r="AX293" s="0" t="s">
        <v>826</v>
      </c>
      <c r="AY293" s="0" t="s">
        <v>827</v>
      </c>
      <c r="AZ293" s="0" t="s">
        <v>89</v>
      </c>
      <c r="BA293" s="0" t="s">
        <v>89</v>
      </c>
      <c r="BB293" s="0" t="s">
        <v>90</v>
      </c>
      <c r="BC293" s="0" t="s">
        <v>241</v>
      </c>
      <c r="BD293" s="15" t="s">
        <v>1360</v>
      </c>
      <c r="BE293" s="37" t="s">
        <v>829</v>
      </c>
    </row>
    <row r="294" customFormat="false" ht="16.4" hidden="false" customHeight="false" outlineLevel="0" collapsed="false">
      <c r="A294" s="36" t="str">
        <f aca="false">IF(B294=0,"",MAX($A$3:A293)+1)</f>
        <v/>
      </c>
      <c r="B294" s="36" t="n">
        <f aca="false">IF(OR(M294="FLETE",M294="FLETE ENVIO GARANTIA",M294="FLETE RECOLECCION GARANTIA",M294="COMPENSACION"),0,1)</f>
        <v>0</v>
      </c>
      <c r="D294" s="10" t="n">
        <v>7420573</v>
      </c>
      <c r="J294" s="0" t="s">
        <v>816</v>
      </c>
      <c r="K294" s="0" t="s">
        <v>93</v>
      </c>
      <c r="L294" s="0" t="s">
        <v>210</v>
      </c>
      <c r="M294" s="0" t="s">
        <v>211</v>
      </c>
      <c r="N294" s="0" t="n">
        <v>1</v>
      </c>
      <c r="P294" s="0" t="s">
        <v>73</v>
      </c>
      <c r="R294" s="0" t="s">
        <v>211</v>
      </c>
      <c r="V294" s="0" t="s">
        <v>1356</v>
      </c>
      <c r="W294" s="12" t="n">
        <v>0</v>
      </c>
      <c r="Y294" s="12" t="s">
        <v>1357</v>
      </c>
      <c r="AG294" s="0" t="s">
        <v>10</v>
      </c>
      <c r="AL294" s="13" t="n">
        <v>0</v>
      </c>
      <c r="AM294" s="14" t="n">
        <v>0</v>
      </c>
      <c r="AO294" s="13" t="n">
        <v>0</v>
      </c>
      <c r="AR294" s="0" t="s">
        <v>1359</v>
      </c>
      <c r="AZ294" s="0" t="s">
        <v>89</v>
      </c>
      <c r="BA294" s="0" t="s">
        <v>89</v>
      </c>
      <c r="BB294" s="0" t="s">
        <v>90</v>
      </c>
      <c r="BC294" s="0" t="s">
        <v>241</v>
      </c>
      <c r="BD294" s="15" t="s">
        <v>1360</v>
      </c>
      <c r="BE294" s="37" t="s">
        <v>829</v>
      </c>
    </row>
    <row r="295" customFormat="false" ht="16.4" hidden="false" customHeight="false" outlineLevel="0" collapsed="false">
      <c r="A295" s="36" t="n">
        <f aca="false">IF(B295=0,"",MAX($A$3:A294)+1)</f>
        <v>217</v>
      </c>
      <c r="B295" s="36" t="n">
        <f aca="false">IF(OR(M295="FLETE",M295="FLETE ENVIO GARANTIA",M295="FLETE RECOLECCION GARANTIA",M295="COMPENSACION"),0,1)</f>
        <v>1</v>
      </c>
      <c r="C295" s="0" t="s">
        <v>1361</v>
      </c>
      <c r="D295" s="10" t="n">
        <v>7420340</v>
      </c>
      <c r="E295" s="11" t="n">
        <v>45699</v>
      </c>
      <c r="F295" s="11" t="n">
        <v>45717</v>
      </c>
      <c r="G295" s="11" t="n">
        <v>45719</v>
      </c>
      <c r="I295" s="11" t="n">
        <v>45720</v>
      </c>
      <c r="J295" s="0" t="s">
        <v>816</v>
      </c>
      <c r="K295" s="0" t="s">
        <v>214</v>
      </c>
      <c r="L295" s="0" t="s">
        <v>1126</v>
      </c>
      <c r="M295" s="0" t="s">
        <v>1127</v>
      </c>
      <c r="N295" s="0" t="n">
        <v>1</v>
      </c>
      <c r="P295" s="0" t="s">
        <v>217</v>
      </c>
      <c r="Q295" s="0" t="s">
        <v>218</v>
      </c>
      <c r="R295" s="0" t="s">
        <v>1128</v>
      </c>
      <c r="S295" s="0" t="s">
        <v>435</v>
      </c>
      <c r="T295" s="0" t="s">
        <v>513</v>
      </c>
      <c r="U295" s="0" t="s">
        <v>160</v>
      </c>
      <c r="V295" s="0" t="s">
        <v>1362</v>
      </c>
      <c r="W295" s="12" t="n">
        <v>0</v>
      </c>
      <c r="Y295" s="12" t="s">
        <v>1363</v>
      </c>
      <c r="Z295" s="0" t="s">
        <v>949</v>
      </c>
      <c r="AA295" s="12" t="n">
        <v>12763074112</v>
      </c>
      <c r="AB295" s="0" t="n">
        <v>103766752</v>
      </c>
      <c r="AC295" s="0" t="s">
        <v>1364</v>
      </c>
      <c r="AE295" s="0" t="n">
        <v>3022270700</v>
      </c>
      <c r="AF295" s="0" t="n">
        <v>72748117</v>
      </c>
      <c r="AG295" s="0" t="s">
        <v>10</v>
      </c>
      <c r="AH295" s="0" t="n">
        <v>1</v>
      </c>
      <c r="AK295" s="0" t="s">
        <v>85</v>
      </c>
      <c r="AL295" s="13" t="n">
        <v>1382400</v>
      </c>
      <c r="AM295" s="14" t="n">
        <v>-16.3122</v>
      </c>
      <c r="AN295" s="13" t="n">
        <v>1913400.82</v>
      </c>
      <c r="AO295" s="13" t="n">
        <v>305500.97</v>
      </c>
      <c r="AP295" s="0" t="n">
        <v>0</v>
      </c>
      <c r="AR295" s="0" t="s">
        <v>1365</v>
      </c>
      <c r="AS295" s="0" t="n">
        <v>1913400.82</v>
      </c>
      <c r="AT295" s="0" t="s">
        <v>824</v>
      </c>
      <c r="AU295" s="0" t="s">
        <v>444</v>
      </c>
      <c r="AW295" s="0" t="s">
        <v>825</v>
      </c>
      <c r="AX295" s="0" t="s">
        <v>826</v>
      </c>
      <c r="AY295" s="0" t="s">
        <v>827</v>
      </c>
      <c r="AZ295" s="0" t="s">
        <v>525</v>
      </c>
      <c r="BA295" s="0" t="s">
        <v>525</v>
      </c>
      <c r="BB295" s="0" t="s">
        <v>90</v>
      </c>
      <c r="BC295" s="0" t="s">
        <v>241</v>
      </c>
      <c r="BD295" s="15" t="s">
        <v>1366</v>
      </c>
      <c r="BE295" s="37" t="s">
        <v>829</v>
      </c>
    </row>
    <row r="296" customFormat="false" ht="16.4" hidden="false" customHeight="false" outlineLevel="0" collapsed="false">
      <c r="A296" s="36" t="str">
        <f aca="false">IF(B296=0,"",MAX($A$3:A295)+1)</f>
        <v/>
      </c>
      <c r="B296" s="36" t="n">
        <f aca="false">IF(OR(M296="FLETE",M296="FLETE ENVIO GARANTIA",M296="FLETE RECOLECCION GARANTIA",M296="COMPENSACION"),0,1)</f>
        <v>0</v>
      </c>
      <c r="D296" s="10" t="n">
        <v>7420340</v>
      </c>
      <c r="J296" s="0" t="s">
        <v>816</v>
      </c>
      <c r="K296" s="0" t="s">
        <v>93</v>
      </c>
      <c r="L296" s="0" t="s">
        <v>210</v>
      </c>
      <c r="M296" s="0" t="s">
        <v>211</v>
      </c>
      <c r="N296" s="0" t="n">
        <v>1</v>
      </c>
      <c r="P296" s="0" t="s">
        <v>73</v>
      </c>
      <c r="R296" s="0" t="s">
        <v>211</v>
      </c>
      <c r="V296" s="0" t="s">
        <v>1362</v>
      </c>
      <c r="W296" s="12" t="n">
        <v>0</v>
      </c>
      <c r="Y296" s="0" t="s">
        <v>1363</v>
      </c>
      <c r="AG296" s="0" t="s">
        <v>10</v>
      </c>
      <c r="AL296" s="13" t="n">
        <v>0</v>
      </c>
      <c r="AM296" s="14" t="n">
        <v>0</v>
      </c>
      <c r="AO296" s="13" t="n">
        <v>0</v>
      </c>
      <c r="AR296" s="0" t="s">
        <v>1365</v>
      </c>
      <c r="AZ296" s="0" t="s">
        <v>89</v>
      </c>
      <c r="BA296" s="0" t="s">
        <v>89</v>
      </c>
      <c r="BB296" s="0" t="s">
        <v>90</v>
      </c>
      <c r="BC296" s="0" t="s">
        <v>241</v>
      </c>
      <c r="BD296" s="15" t="s">
        <v>1366</v>
      </c>
      <c r="BE296" s="37" t="s">
        <v>829</v>
      </c>
    </row>
    <row r="297" customFormat="false" ht="16.4" hidden="false" customHeight="false" outlineLevel="0" collapsed="false">
      <c r="A297" s="36" t="n">
        <f aca="false">IF(B297=0,"",MAX($A$3:A296)+1)</f>
        <v>218</v>
      </c>
      <c r="B297" s="36" t="n">
        <f aca="false">IF(OR(M297="FLETE",M297="FLETE ENVIO GARANTIA",M297="FLETE RECOLECCION GARANTIA",M297="COMPENSACION"),0,1)</f>
        <v>1</v>
      </c>
      <c r="C297" s="0" t="s">
        <v>1367</v>
      </c>
      <c r="D297" s="10" t="s">
        <v>1368</v>
      </c>
      <c r="E297" s="11" t="n">
        <v>45698</v>
      </c>
      <c r="F297" s="11" t="n">
        <v>45716</v>
      </c>
      <c r="G297" s="11" t="n">
        <v>45719</v>
      </c>
      <c r="H297" s="11" t="n">
        <v>45717</v>
      </c>
      <c r="I297" s="11" t="n">
        <v>45717</v>
      </c>
      <c r="J297" s="0" t="s">
        <v>1369</v>
      </c>
      <c r="K297" s="0" t="s">
        <v>135</v>
      </c>
      <c r="L297" s="0" t="s">
        <v>1370</v>
      </c>
      <c r="M297" s="0" t="s">
        <v>1371</v>
      </c>
      <c r="N297" s="0" t="n">
        <v>1</v>
      </c>
      <c r="P297" s="0" t="s">
        <v>138</v>
      </c>
      <c r="Q297" s="0" t="s">
        <v>139</v>
      </c>
      <c r="R297" s="0" t="s">
        <v>633</v>
      </c>
      <c r="T297" s="0" t="s">
        <v>1372</v>
      </c>
      <c r="U297" s="0" t="s">
        <v>160</v>
      </c>
      <c r="V297" s="0" t="s">
        <v>1373</v>
      </c>
      <c r="W297" s="12" t="s">
        <v>1374</v>
      </c>
      <c r="Y297" s="12" t="s">
        <v>178</v>
      </c>
      <c r="Z297" s="0" t="s">
        <v>179</v>
      </c>
      <c r="AB297" s="0" t="n">
        <v>79854630</v>
      </c>
      <c r="AC297" s="0" t="s">
        <v>1375</v>
      </c>
      <c r="AD297" s="0" t="s">
        <v>1376</v>
      </c>
      <c r="AG297" s="0" t="s">
        <v>11</v>
      </c>
      <c r="AH297" s="0" t="n">
        <v>4</v>
      </c>
      <c r="AI297" s="0" t="s">
        <v>1377</v>
      </c>
      <c r="AK297" s="0" t="s">
        <v>85</v>
      </c>
      <c r="AL297" s="13" t="n">
        <v>631008.4034</v>
      </c>
      <c r="AM297" s="14" t="n">
        <v>25</v>
      </c>
      <c r="AN297" s="13" t="n">
        <v>563175</v>
      </c>
      <c r="AO297" s="13" t="n">
        <v>89918.7</v>
      </c>
      <c r="AP297" s="0" t="s">
        <v>1378</v>
      </c>
      <c r="AQ297" s="0" t="s">
        <v>1379</v>
      </c>
      <c r="AR297" s="0" t="s">
        <v>1380</v>
      </c>
      <c r="AS297" s="0" t="n">
        <v>3982215</v>
      </c>
      <c r="AT297" s="0" t="s">
        <v>1375</v>
      </c>
      <c r="AU297" s="0" t="s">
        <v>178</v>
      </c>
      <c r="AW297" s="0" t="s">
        <v>1376</v>
      </c>
      <c r="AX297" s="0" t="s">
        <v>1373</v>
      </c>
      <c r="AY297" s="0" t="n">
        <v>79854630</v>
      </c>
      <c r="AZ297" s="0" t="s">
        <v>89</v>
      </c>
      <c r="BA297" s="0" t="s">
        <v>89</v>
      </c>
      <c r="BB297" s="0" t="s">
        <v>90</v>
      </c>
      <c r="BC297" s="0" t="s">
        <v>150</v>
      </c>
      <c r="BD297" s="15" t="s">
        <v>1381</v>
      </c>
      <c r="BE297" s="37" t="s">
        <v>186</v>
      </c>
    </row>
    <row r="298" customFormat="false" ht="16.4" hidden="false" customHeight="false" outlineLevel="0" collapsed="false">
      <c r="A298" s="36" t="n">
        <f aca="false">IF(B298=0,"",MAX($A$3:A297)+1)</f>
        <v>219</v>
      </c>
      <c r="B298" s="36" t="n">
        <f aca="false">IF(OR(M298="FLETE",M298="FLETE ENVIO GARANTIA",M298="FLETE RECOLECCION GARANTIA",M298="COMPENSACION"),0,1)</f>
        <v>1</v>
      </c>
      <c r="D298" s="10" t="s">
        <v>1368</v>
      </c>
      <c r="J298" s="0" t="s">
        <v>1369</v>
      </c>
      <c r="K298" s="0" t="s">
        <v>493</v>
      </c>
      <c r="L298" s="0" t="s">
        <v>1382</v>
      </c>
      <c r="M298" s="0" t="s">
        <v>1383</v>
      </c>
      <c r="N298" s="0" t="n">
        <v>4</v>
      </c>
      <c r="P298" s="0" t="s">
        <v>138</v>
      </c>
      <c r="Q298" s="0" t="s">
        <v>496</v>
      </c>
      <c r="R298" s="0" t="s">
        <v>579</v>
      </c>
      <c r="S298" s="0" t="s">
        <v>220</v>
      </c>
      <c r="T298" s="0" t="s">
        <v>159</v>
      </c>
      <c r="U298" s="0" t="s">
        <v>160</v>
      </c>
      <c r="V298" s="0" t="s">
        <v>1373</v>
      </c>
      <c r="W298" s="12" t="s">
        <v>1374</v>
      </c>
      <c r="Y298" s="0" t="s">
        <v>178</v>
      </c>
      <c r="AG298" s="0" t="s">
        <v>11</v>
      </c>
      <c r="AL298" s="13" t="n">
        <v>534369.7479</v>
      </c>
      <c r="AM298" s="14" t="n">
        <v>25</v>
      </c>
      <c r="AN298" s="13" t="n">
        <v>1907700</v>
      </c>
      <c r="AO298" s="13" t="n">
        <v>304590.76</v>
      </c>
      <c r="AR298" s="0" t="s">
        <v>1384</v>
      </c>
      <c r="AZ298" s="0" t="s">
        <v>89</v>
      </c>
      <c r="BA298" s="0" t="s">
        <v>89</v>
      </c>
      <c r="BB298" s="0" t="s">
        <v>90</v>
      </c>
      <c r="BC298" s="0" t="s">
        <v>150</v>
      </c>
      <c r="BD298" s="15" t="s">
        <v>1381</v>
      </c>
      <c r="BE298" s="37" t="s">
        <v>186</v>
      </c>
    </row>
    <row r="299" customFormat="false" ht="16.4" hidden="false" customHeight="false" outlineLevel="0" collapsed="false">
      <c r="A299" s="36" t="n">
        <f aca="false">IF(B299=0,"",MAX($A$3:A298)+1)</f>
        <v>220</v>
      </c>
      <c r="B299" s="36" t="n">
        <f aca="false">IF(OR(M299="FLETE",M299="FLETE ENVIO GARANTIA",M299="FLETE RECOLECCION GARANTIA",M299="COMPENSACION"),0,1)</f>
        <v>1</v>
      </c>
      <c r="D299" s="10" t="s">
        <v>1368</v>
      </c>
      <c r="J299" s="0" t="s">
        <v>1369</v>
      </c>
      <c r="K299" s="0" t="s">
        <v>214</v>
      </c>
      <c r="L299" s="0" t="s">
        <v>1385</v>
      </c>
      <c r="M299" s="0" t="s">
        <v>1386</v>
      </c>
      <c r="N299" s="0" t="n">
        <v>1</v>
      </c>
      <c r="P299" s="0" t="s">
        <v>217</v>
      </c>
      <c r="Q299" s="0" t="s">
        <v>218</v>
      </c>
      <c r="R299" s="0" t="s">
        <v>1387</v>
      </c>
      <c r="S299" s="0" t="s">
        <v>591</v>
      </c>
      <c r="T299" s="0" t="s">
        <v>513</v>
      </c>
      <c r="U299" s="0" t="s">
        <v>160</v>
      </c>
      <c r="V299" s="0" t="s">
        <v>1373</v>
      </c>
      <c r="W299" s="12" t="s">
        <v>1374</v>
      </c>
      <c r="Y299" s="12" t="s">
        <v>178</v>
      </c>
      <c r="AG299" s="0" t="s">
        <v>11</v>
      </c>
      <c r="AL299" s="13" t="n">
        <v>1948655.4622</v>
      </c>
      <c r="AM299" s="14" t="n">
        <v>40</v>
      </c>
      <c r="AN299" s="13" t="n">
        <v>1391340</v>
      </c>
      <c r="AO299" s="13" t="n">
        <v>222146.72</v>
      </c>
      <c r="AR299" s="0" t="s">
        <v>1388</v>
      </c>
      <c r="AZ299" s="0" t="s">
        <v>89</v>
      </c>
      <c r="BA299" s="0" t="s">
        <v>89</v>
      </c>
      <c r="BB299" s="0" t="s">
        <v>90</v>
      </c>
      <c r="BC299" s="0" t="s">
        <v>150</v>
      </c>
      <c r="BD299" s="15" t="s">
        <v>1381</v>
      </c>
      <c r="BE299" s="37" t="s">
        <v>186</v>
      </c>
    </row>
    <row r="300" customFormat="false" ht="16.4" hidden="false" customHeight="false" outlineLevel="0" collapsed="false">
      <c r="A300" s="36" t="n">
        <f aca="false">IF(B300=0,"",MAX($A$3:A299)+1)</f>
        <v>221</v>
      </c>
      <c r="B300" s="36" t="n">
        <f aca="false">IF(OR(M300="FLETE",M300="FLETE ENVIO GARANTIA",M300="FLETE RECOLECCION GARANTIA",M300="COMPENSACION"),0,1)</f>
        <v>1</v>
      </c>
      <c r="D300" s="10" t="s">
        <v>1368</v>
      </c>
      <c r="J300" s="0" t="s">
        <v>1369</v>
      </c>
      <c r="K300" s="0" t="s">
        <v>1326</v>
      </c>
      <c r="L300" s="0" t="s">
        <v>1389</v>
      </c>
      <c r="M300" s="0" t="s">
        <v>1390</v>
      </c>
      <c r="N300" s="0" t="n">
        <v>2</v>
      </c>
      <c r="P300" s="0" t="s">
        <v>249</v>
      </c>
      <c r="Q300" s="0" t="s">
        <v>250</v>
      </c>
      <c r="R300" s="0" t="s">
        <v>1329</v>
      </c>
      <c r="S300" s="0" t="s">
        <v>591</v>
      </c>
      <c r="T300" s="0" t="s">
        <v>1391</v>
      </c>
      <c r="V300" s="0" t="s">
        <v>1373</v>
      </c>
      <c r="W300" s="12" t="s">
        <v>1374</v>
      </c>
      <c r="Y300" s="0" t="s">
        <v>178</v>
      </c>
      <c r="AG300" s="0" t="s">
        <v>11</v>
      </c>
      <c r="AL300" s="13" t="n">
        <v>56218.4874</v>
      </c>
      <c r="AM300" s="14" t="n">
        <v>100</v>
      </c>
      <c r="AO300" s="13" t="n">
        <v>0</v>
      </c>
      <c r="AR300" s="0" t="s">
        <v>1392</v>
      </c>
      <c r="AZ300" s="0" t="s">
        <v>89</v>
      </c>
      <c r="BA300" s="0" t="s">
        <v>89</v>
      </c>
      <c r="BB300" s="0" t="s">
        <v>90</v>
      </c>
      <c r="BC300" s="0" t="s">
        <v>150</v>
      </c>
      <c r="BD300" s="15" t="s">
        <v>1381</v>
      </c>
      <c r="BE300" s="37" t="s">
        <v>186</v>
      </c>
    </row>
    <row r="301" customFormat="false" ht="16.4" hidden="false" customHeight="false" outlineLevel="0" collapsed="false">
      <c r="A301" s="36" t="str">
        <f aca="false">IF(B301=0,"",MAX($A$3:A300)+1)</f>
        <v/>
      </c>
      <c r="B301" s="36" t="n">
        <f aca="false">IF(OR(M301="FLETE",M301="FLETE ENVIO GARANTIA",M301="FLETE RECOLECCION GARANTIA",M301="COMPENSACION"),0,1)</f>
        <v>0</v>
      </c>
      <c r="D301" s="10" t="s">
        <v>1368</v>
      </c>
      <c r="J301" s="0" t="s">
        <v>1369</v>
      </c>
      <c r="K301" s="0" t="s">
        <v>93</v>
      </c>
      <c r="L301" s="0" t="s">
        <v>210</v>
      </c>
      <c r="M301" s="0" t="s">
        <v>211</v>
      </c>
      <c r="N301" s="0" t="n">
        <v>1</v>
      </c>
      <c r="P301" s="0" t="s">
        <v>73</v>
      </c>
      <c r="R301" s="0" t="s">
        <v>211</v>
      </c>
      <c r="V301" s="0" t="s">
        <v>1373</v>
      </c>
      <c r="W301" s="12" t="s">
        <v>1374</v>
      </c>
      <c r="Y301" s="12" t="s">
        <v>178</v>
      </c>
      <c r="AG301" s="0" t="s">
        <v>11</v>
      </c>
      <c r="AL301" s="13" t="n">
        <v>120000</v>
      </c>
      <c r="AM301" s="14" t="n">
        <v>0</v>
      </c>
      <c r="AN301" s="13" t="n">
        <v>120000</v>
      </c>
      <c r="AO301" s="13" t="n">
        <v>0</v>
      </c>
      <c r="AR301" s="0" t="s">
        <v>1393</v>
      </c>
      <c r="AZ301" s="0" t="s">
        <v>89</v>
      </c>
      <c r="BA301" s="0" t="s">
        <v>89</v>
      </c>
      <c r="BB301" s="0" t="s">
        <v>90</v>
      </c>
      <c r="BC301" s="0" t="s">
        <v>150</v>
      </c>
      <c r="BD301" s="15" t="s">
        <v>1381</v>
      </c>
      <c r="BE301" s="37" t="s">
        <v>186</v>
      </c>
    </row>
    <row r="302" customFormat="false" ht="16.4" hidden="false" customHeight="false" outlineLevel="0" collapsed="false">
      <c r="A302" s="36" t="n">
        <f aca="false">IF(B302=0,"",MAX($A$3:A301)+1)</f>
        <v>222</v>
      </c>
      <c r="B302" s="36" t="n">
        <f aca="false">IF(OR(M302="FLETE",M302="FLETE ENVIO GARANTIA",M302="FLETE RECOLECCION GARANTIA",M302="COMPENSACION"),0,1)</f>
        <v>1</v>
      </c>
      <c r="C302" s="0" t="s">
        <v>1394</v>
      </c>
      <c r="D302" s="10" t="s">
        <v>1395</v>
      </c>
      <c r="E302" s="11" t="n">
        <v>45698</v>
      </c>
      <c r="F302" s="11" t="n">
        <v>45717</v>
      </c>
      <c r="G302" s="11" t="n">
        <v>45719</v>
      </c>
      <c r="H302" s="11" t="n">
        <v>45717</v>
      </c>
      <c r="I302" s="11" t="n">
        <v>45717</v>
      </c>
      <c r="J302" s="0" t="s">
        <v>1193</v>
      </c>
      <c r="K302" s="0" t="s">
        <v>214</v>
      </c>
      <c r="L302" s="0" t="s">
        <v>654</v>
      </c>
      <c r="M302" s="0" t="s">
        <v>655</v>
      </c>
      <c r="N302" s="0" t="n">
        <v>1</v>
      </c>
      <c r="P302" s="0" t="s">
        <v>217</v>
      </c>
      <c r="Q302" s="0" t="s">
        <v>218</v>
      </c>
      <c r="R302" s="0" t="s">
        <v>656</v>
      </c>
      <c r="S302" s="0" t="s">
        <v>454</v>
      </c>
      <c r="T302" s="0" t="s">
        <v>236</v>
      </c>
      <c r="U302" s="0" t="s">
        <v>199</v>
      </c>
      <c r="V302" s="0" t="s">
        <v>1396</v>
      </c>
      <c r="W302" s="12" t="n">
        <v>0</v>
      </c>
      <c r="Y302" s="12" t="s">
        <v>1397</v>
      </c>
      <c r="Z302" s="0" t="s">
        <v>962</v>
      </c>
      <c r="AA302" s="12" t="s">
        <v>1398</v>
      </c>
      <c r="AB302" s="0" t="n">
        <v>1094894293</v>
      </c>
      <c r="AC302" s="0" t="s">
        <v>1399</v>
      </c>
      <c r="AD302" s="0" t="s">
        <v>1400</v>
      </c>
      <c r="AG302" s="0" t="s">
        <v>10</v>
      </c>
      <c r="AH302" s="0" t="n">
        <v>3</v>
      </c>
      <c r="AI302" s="0" t="s">
        <v>1401</v>
      </c>
      <c r="AK302" s="0" t="s">
        <v>85</v>
      </c>
      <c r="AL302" s="13" t="n">
        <v>1020924.3697</v>
      </c>
      <c r="AM302" s="14" t="n">
        <v>40</v>
      </c>
      <c r="AN302" s="13" t="n">
        <v>728940</v>
      </c>
      <c r="AO302" s="13" t="n">
        <v>116385.38</v>
      </c>
      <c r="AP302" s="0" t="s">
        <v>1402</v>
      </c>
      <c r="AQ302" s="0" t="s">
        <v>1205</v>
      </c>
      <c r="AR302" s="0" t="s">
        <v>1403</v>
      </c>
      <c r="AS302" s="0" t="n">
        <v>2655589.84</v>
      </c>
      <c r="AT302" s="0" t="s">
        <v>1399</v>
      </c>
      <c r="AU302" s="0" t="s">
        <v>1397</v>
      </c>
      <c r="AW302" s="0" t="s">
        <v>1400</v>
      </c>
      <c r="AX302" s="0" t="s">
        <v>1396</v>
      </c>
      <c r="AY302" s="0" t="n">
        <v>1094894293</v>
      </c>
      <c r="AZ302" s="0" t="s">
        <v>89</v>
      </c>
      <c r="BA302" s="0" t="s">
        <v>89</v>
      </c>
      <c r="BB302" s="0" t="s">
        <v>90</v>
      </c>
      <c r="BC302" s="0" t="s">
        <v>241</v>
      </c>
      <c r="BD302" s="15" t="s">
        <v>1404</v>
      </c>
      <c r="BE302" s="37" t="s">
        <v>92</v>
      </c>
    </row>
    <row r="303" customFormat="false" ht="16.4" hidden="false" customHeight="false" outlineLevel="0" collapsed="false">
      <c r="A303" s="36" t="n">
        <f aca="false">IF(B303=0,"",MAX($A$3:A302)+1)</f>
        <v>223</v>
      </c>
      <c r="B303" s="36" t="n">
        <f aca="false">IF(OR(M303="FLETE",M303="FLETE ENVIO GARANTIA",M303="FLETE RECOLECCION GARANTIA",M303="COMPENSACION"),0,1)</f>
        <v>1</v>
      </c>
      <c r="D303" s="10" t="s">
        <v>1395</v>
      </c>
      <c r="J303" s="0" t="s">
        <v>1193</v>
      </c>
      <c r="K303" s="0" t="s">
        <v>479</v>
      </c>
      <c r="L303" s="0" t="s">
        <v>657</v>
      </c>
      <c r="M303" s="0" t="s">
        <v>658</v>
      </c>
      <c r="N303" s="0" t="n">
        <v>1</v>
      </c>
      <c r="P303" s="0" t="s">
        <v>217</v>
      </c>
      <c r="Q303" s="0" t="s">
        <v>482</v>
      </c>
      <c r="R303" s="0" t="s">
        <v>656</v>
      </c>
      <c r="S303" s="0" t="s">
        <v>454</v>
      </c>
      <c r="T303" s="0" t="s">
        <v>236</v>
      </c>
      <c r="U303" s="0" t="s">
        <v>199</v>
      </c>
      <c r="V303" s="0" t="s">
        <v>1396</v>
      </c>
      <c r="W303" s="12" t="n">
        <v>0</v>
      </c>
      <c r="Y303" s="12" t="s">
        <v>1397</v>
      </c>
      <c r="AG303" s="0" t="s">
        <v>10</v>
      </c>
      <c r="AL303" s="13" t="n">
        <v>567983.1933</v>
      </c>
      <c r="AM303" s="14" t="n">
        <v>32.993</v>
      </c>
      <c r="AN303" s="13" t="n">
        <v>452900.32</v>
      </c>
      <c r="AO303" s="13" t="n">
        <v>72311.82</v>
      </c>
      <c r="AR303" s="0" t="s">
        <v>1405</v>
      </c>
      <c r="AZ303" s="0" t="s">
        <v>89</v>
      </c>
      <c r="BA303" s="0" t="s">
        <v>89</v>
      </c>
      <c r="BB303" s="0" t="s">
        <v>90</v>
      </c>
      <c r="BC303" s="0" t="s">
        <v>241</v>
      </c>
      <c r="BD303" s="15" t="s">
        <v>1404</v>
      </c>
      <c r="BE303" s="37" t="s">
        <v>92</v>
      </c>
    </row>
    <row r="304" customFormat="false" ht="16.4" hidden="false" customHeight="false" outlineLevel="0" collapsed="false">
      <c r="A304" s="36" t="n">
        <f aca="false">IF(B304=0,"",MAX($A$3:A303)+1)</f>
        <v>224</v>
      </c>
      <c r="B304" s="36" t="n">
        <f aca="false">IF(OR(M304="FLETE",M304="FLETE ENVIO GARANTIA",M304="FLETE RECOLECCION GARANTIA",M304="COMPENSACION"),0,1)</f>
        <v>1</v>
      </c>
      <c r="D304" s="10" t="s">
        <v>1395</v>
      </c>
      <c r="J304" s="0" t="s">
        <v>1193</v>
      </c>
      <c r="K304" s="0" t="s">
        <v>529</v>
      </c>
      <c r="L304" s="0" t="s">
        <v>659</v>
      </c>
      <c r="M304" s="0" t="s">
        <v>660</v>
      </c>
      <c r="N304" s="0" t="n">
        <v>1</v>
      </c>
      <c r="P304" s="0" t="s">
        <v>217</v>
      </c>
      <c r="Q304" s="0" t="s">
        <v>541</v>
      </c>
      <c r="R304" s="0" t="s">
        <v>661</v>
      </c>
      <c r="T304" s="0" t="s">
        <v>198</v>
      </c>
      <c r="U304" s="0" t="s">
        <v>199</v>
      </c>
      <c r="V304" s="0" t="s">
        <v>1396</v>
      </c>
      <c r="W304" s="12" t="n">
        <v>0</v>
      </c>
      <c r="Y304" s="12" t="s">
        <v>1397</v>
      </c>
      <c r="AG304" s="0" t="s">
        <v>10</v>
      </c>
      <c r="AL304" s="13" t="n">
        <v>138571.4286</v>
      </c>
      <c r="AM304" s="14" t="n">
        <v>25</v>
      </c>
      <c r="AN304" s="13" t="n">
        <v>123675</v>
      </c>
      <c r="AO304" s="13" t="n">
        <v>19746.43</v>
      </c>
      <c r="AR304" s="0" t="s">
        <v>1406</v>
      </c>
      <c r="AZ304" s="0" t="s">
        <v>89</v>
      </c>
      <c r="BA304" s="0" t="s">
        <v>89</v>
      </c>
      <c r="BB304" s="0" t="s">
        <v>90</v>
      </c>
      <c r="BC304" s="0" t="s">
        <v>241</v>
      </c>
      <c r="BD304" s="15" t="s">
        <v>1404</v>
      </c>
      <c r="BE304" s="37" t="s">
        <v>92</v>
      </c>
    </row>
    <row r="305" customFormat="false" ht="16.4" hidden="false" customHeight="false" outlineLevel="0" collapsed="false">
      <c r="A305" s="36" t="n">
        <f aca="false">IF(B305=0,"",MAX($A$3:A304)+1)</f>
        <v>225</v>
      </c>
      <c r="B305" s="36" t="n">
        <f aca="false">IF(OR(M305="FLETE",M305="FLETE ENVIO GARANTIA",M305="FLETE RECOLECCION GARANTIA",M305="COMPENSACION"),0,1)</f>
        <v>1</v>
      </c>
      <c r="D305" s="10" t="s">
        <v>1395</v>
      </c>
      <c r="J305" s="0" t="s">
        <v>1193</v>
      </c>
      <c r="K305" s="0" t="s">
        <v>214</v>
      </c>
      <c r="L305" s="0" t="s">
        <v>1407</v>
      </c>
      <c r="M305" s="0" t="s">
        <v>1408</v>
      </c>
      <c r="N305" s="0" t="n">
        <v>1</v>
      </c>
      <c r="P305" s="0" t="s">
        <v>217</v>
      </c>
      <c r="Q305" s="0" t="s">
        <v>218</v>
      </c>
      <c r="R305" s="0" t="s">
        <v>855</v>
      </c>
      <c r="S305" s="0" t="s">
        <v>454</v>
      </c>
      <c r="T305" s="0" t="s">
        <v>236</v>
      </c>
      <c r="U305" s="0" t="s">
        <v>199</v>
      </c>
      <c r="V305" s="0" t="s">
        <v>1396</v>
      </c>
      <c r="W305" s="12" t="n">
        <v>0</v>
      </c>
      <c r="Y305" s="12" t="s">
        <v>1397</v>
      </c>
      <c r="AG305" s="0" t="s">
        <v>10</v>
      </c>
      <c r="AL305" s="13" t="n">
        <v>1475546.2185</v>
      </c>
      <c r="AM305" s="14" t="n">
        <v>44.9912</v>
      </c>
      <c r="AN305" s="13" t="n">
        <v>965899.52</v>
      </c>
      <c r="AO305" s="13" t="n">
        <v>154219.25</v>
      </c>
      <c r="AR305" s="0" t="s">
        <v>1409</v>
      </c>
      <c r="AZ305" s="0" t="s">
        <v>89</v>
      </c>
      <c r="BA305" s="0" t="s">
        <v>89</v>
      </c>
      <c r="BB305" s="0" t="s">
        <v>90</v>
      </c>
      <c r="BC305" s="0" t="s">
        <v>241</v>
      </c>
      <c r="BD305" s="15" t="s">
        <v>1404</v>
      </c>
      <c r="BE305" s="37" t="s">
        <v>92</v>
      </c>
    </row>
    <row r="306" customFormat="false" ht="16.4" hidden="false" customHeight="false" outlineLevel="0" collapsed="false">
      <c r="A306" s="36" t="n">
        <f aca="false">IF(B306=0,"",MAX($A$3:A305)+1)</f>
        <v>226</v>
      </c>
      <c r="B306" s="36" t="n">
        <f aca="false">IF(OR(M306="FLETE",M306="FLETE ENVIO GARANTIA",M306="FLETE RECOLECCION GARANTIA",M306="COMPENSACION"),0,1)</f>
        <v>1</v>
      </c>
      <c r="D306" s="10" t="s">
        <v>1395</v>
      </c>
      <c r="J306" s="0" t="s">
        <v>1193</v>
      </c>
      <c r="K306" s="0" t="s">
        <v>529</v>
      </c>
      <c r="L306" s="0" t="s">
        <v>1410</v>
      </c>
      <c r="M306" s="0" t="s">
        <v>1411</v>
      </c>
      <c r="N306" s="0" t="n">
        <v>1</v>
      </c>
      <c r="P306" s="0" t="s">
        <v>217</v>
      </c>
      <c r="Q306" s="0" t="s">
        <v>541</v>
      </c>
      <c r="R306" s="0" t="s">
        <v>1412</v>
      </c>
      <c r="T306" s="0" t="s">
        <v>198</v>
      </c>
      <c r="U306" s="0" t="s">
        <v>199</v>
      </c>
      <c r="V306" s="0" t="s">
        <v>1396</v>
      </c>
      <c r="W306" s="12" t="n">
        <v>0</v>
      </c>
      <c r="Y306" s="12" t="s">
        <v>1397</v>
      </c>
      <c r="AG306" s="0" t="s">
        <v>10</v>
      </c>
      <c r="AL306" s="13" t="n">
        <v>264621.8487</v>
      </c>
      <c r="AM306" s="14" t="n">
        <v>25</v>
      </c>
      <c r="AN306" s="13" t="n">
        <v>236175</v>
      </c>
      <c r="AO306" s="13" t="n">
        <v>37708.61</v>
      </c>
      <c r="AR306" s="0" t="s">
        <v>1413</v>
      </c>
      <c r="AZ306" s="0" t="s">
        <v>89</v>
      </c>
      <c r="BA306" s="0" t="s">
        <v>89</v>
      </c>
      <c r="BB306" s="0" t="s">
        <v>90</v>
      </c>
      <c r="BC306" s="0" t="s">
        <v>241</v>
      </c>
      <c r="BD306" s="15" t="s">
        <v>1404</v>
      </c>
      <c r="BE306" s="37" t="s">
        <v>92</v>
      </c>
    </row>
    <row r="307" customFormat="false" ht="16.4" hidden="false" customHeight="false" outlineLevel="0" collapsed="false">
      <c r="A307" s="36" t="str">
        <f aca="false">IF(B307=0,"",MAX($A$3:A306)+1)</f>
        <v/>
      </c>
      <c r="B307" s="36" t="n">
        <f aca="false">IF(OR(M307="FLETE",M307="FLETE ENVIO GARANTIA",M307="FLETE RECOLECCION GARANTIA",M307="COMPENSACION"),0,1)</f>
        <v>0</v>
      </c>
      <c r="D307" s="10" t="s">
        <v>1395</v>
      </c>
      <c r="J307" s="0" t="s">
        <v>1193</v>
      </c>
      <c r="K307" s="0" t="s">
        <v>93</v>
      </c>
      <c r="L307" s="0" t="s">
        <v>210</v>
      </c>
      <c r="M307" s="0" t="s">
        <v>211</v>
      </c>
      <c r="N307" s="0" t="n">
        <v>1</v>
      </c>
      <c r="P307" s="0" t="s">
        <v>73</v>
      </c>
      <c r="R307" s="0" t="s">
        <v>211</v>
      </c>
      <c r="V307" s="0" t="s">
        <v>1396</v>
      </c>
      <c r="W307" s="12" t="n">
        <v>0</v>
      </c>
      <c r="Y307" s="12" t="s">
        <v>1397</v>
      </c>
      <c r="AG307" s="0" t="s">
        <v>10</v>
      </c>
      <c r="AL307" s="13" t="n">
        <v>148000</v>
      </c>
      <c r="AM307" s="14" t="n">
        <v>0</v>
      </c>
      <c r="AN307" s="13" t="n">
        <v>148000</v>
      </c>
      <c r="AO307" s="13" t="n">
        <v>0</v>
      </c>
      <c r="AR307" s="0" t="s">
        <v>1414</v>
      </c>
      <c r="AZ307" s="0" t="s">
        <v>89</v>
      </c>
      <c r="BA307" s="0" t="s">
        <v>89</v>
      </c>
      <c r="BB307" s="0" t="s">
        <v>90</v>
      </c>
      <c r="BC307" s="0" t="s">
        <v>241</v>
      </c>
      <c r="BD307" s="15" t="s">
        <v>1404</v>
      </c>
      <c r="BE307" s="37" t="s">
        <v>92</v>
      </c>
    </row>
    <row r="308" customFormat="false" ht="16.4" hidden="false" customHeight="false" outlineLevel="0" collapsed="false">
      <c r="A308" s="36" t="n">
        <f aca="false">IF(B308=0,"",MAX($A$3:A307)+1)</f>
        <v>227</v>
      </c>
      <c r="B308" s="36" t="n">
        <f aca="false">IF(OR(M308="FLETE",M308="FLETE ENVIO GARANTIA",M308="FLETE RECOLECCION GARANTIA",M308="COMPENSACION"),0,1)</f>
        <v>1</v>
      </c>
      <c r="C308" s="0" t="s">
        <v>1415</v>
      </c>
      <c r="D308" s="10" t="s">
        <v>1416</v>
      </c>
      <c r="E308" s="11" t="n">
        <v>45698</v>
      </c>
      <c r="F308" s="11" t="n">
        <v>45715</v>
      </c>
      <c r="G308" s="11" t="n">
        <v>45719</v>
      </c>
      <c r="H308" s="11" t="n">
        <v>45716</v>
      </c>
      <c r="I308" s="11" t="n">
        <v>45716</v>
      </c>
      <c r="J308" s="0" t="s">
        <v>1193</v>
      </c>
      <c r="K308" s="0" t="s">
        <v>943</v>
      </c>
      <c r="L308" s="0" t="s">
        <v>1417</v>
      </c>
      <c r="M308" s="0" t="s">
        <v>1418</v>
      </c>
      <c r="N308" s="0" t="n">
        <v>1</v>
      </c>
      <c r="P308" s="0" t="s">
        <v>195</v>
      </c>
      <c r="Q308" s="0" t="s">
        <v>893</v>
      </c>
      <c r="R308" s="0" t="s">
        <v>1419</v>
      </c>
      <c r="T308" s="0" t="s">
        <v>1420</v>
      </c>
      <c r="U308" s="0" t="s">
        <v>199</v>
      </c>
      <c r="V308" s="0" t="s">
        <v>1421</v>
      </c>
      <c r="W308" s="12" t="s">
        <v>1422</v>
      </c>
      <c r="Y308" s="12" t="s">
        <v>143</v>
      </c>
      <c r="Z308" s="0" t="s">
        <v>144</v>
      </c>
      <c r="AA308" s="12" t="s">
        <v>1423</v>
      </c>
      <c r="AB308" s="0" t="n">
        <v>1002564952</v>
      </c>
      <c r="AC308" s="0" t="s">
        <v>1424</v>
      </c>
      <c r="AD308" s="0" t="s">
        <v>1425</v>
      </c>
      <c r="AG308" s="0" t="s">
        <v>2</v>
      </c>
      <c r="AH308" s="0" t="n">
        <v>3</v>
      </c>
      <c r="AI308" s="0" t="s">
        <v>1426</v>
      </c>
      <c r="AJ308" s="0" t="n">
        <v>1254900</v>
      </c>
      <c r="AK308" s="0" t="s">
        <v>85</v>
      </c>
      <c r="AL308" s="13" t="n">
        <v>1458739.4958</v>
      </c>
      <c r="AM308" s="14" t="n">
        <v>48</v>
      </c>
      <c r="AN308" s="13" t="n">
        <v>902668</v>
      </c>
      <c r="AO308" s="13" t="n">
        <v>144123.46</v>
      </c>
      <c r="AP308" s="0" t="s">
        <v>1427</v>
      </c>
      <c r="AQ308" s="0" t="s">
        <v>1428</v>
      </c>
      <c r="AR308" s="0" t="s">
        <v>1429</v>
      </c>
      <c r="AS308" s="0" t="n">
        <v>1754876</v>
      </c>
      <c r="AT308" s="0" t="s">
        <v>1424</v>
      </c>
      <c r="AU308" s="0" t="s">
        <v>143</v>
      </c>
      <c r="AW308" s="0" t="s">
        <v>1425</v>
      </c>
      <c r="AX308" s="0" t="s">
        <v>1421</v>
      </c>
      <c r="AY308" s="0" t="n">
        <v>1002564952</v>
      </c>
      <c r="AZ308" s="0" t="s">
        <v>89</v>
      </c>
      <c r="BA308" s="0" t="s">
        <v>89</v>
      </c>
      <c r="BB308" s="0" t="s">
        <v>90</v>
      </c>
      <c r="BC308" s="0" t="s">
        <v>150</v>
      </c>
      <c r="BD308" s="15" t="s">
        <v>1430</v>
      </c>
      <c r="BE308" s="37" t="s">
        <v>152</v>
      </c>
    </row>
    <row r="309" customFormat="false" ht="16.4" hidden="false" customHeight="false" outlineLevel="0" collapsed="false">
      <c r="A309" s="36" t="n">
        <f aca="false">IF(B309=0,"",MAX($A$3:A308)+1)</f>
        <v>228</v>
      </c>
      <c r="B309" s="36" t="n">
        <f aca="false">IF(OR(M309="FLETE",M309="FLETE ENVIO GARANTIA",M309="FLETE RECOLECCION GARANTIA",M309="COMPENSACION"),0,1)</f>
        <v>1</v>
      </c>
      <c r="D309" s="10" t="s">
        <v>1416</v>
      </c>
      <c r="J309" s="0" t="s">
        <v>1193</v>
      </c>
      <c r="K309" s="0" t="s">
        <v>479</v>
      </c>
      <c r="L309" s="0" t="s">
        <v>1431</v>
      </c>
      <c r="M309" s="0" t="s">
        <v>1432</v>
      </c>
      <c r="N309" s="0" t="n">
        <v>1</v>
      </c>
      <c r="P309" s="0" t="s">
        <v>217</v>
      </c>
      <c r="Q309" s="0" t="s">
        <v>482</v>
      </c>
      <c r="R309" s="0" t="s">
        <v>656</v>
      </c>
      <c r="S309" s="0" t="s">
        <v>591</v>
      </c>
      <c r="T309" s="0" t="s">
        <v>518</v>
      </c>
      <c r="U309" s="0" t="s">
        <v>199</v>
      </c>
      <c r="V309" s="0" t="s">
        <v>1421</v>
      </c>
      <c r="W309" s="12" t="s">
        <v>1422</v>
      </c>
      <c r="Y309" s="0" t="s">
        <v>143</v>
      </c>
      <c r="AG309" s="0" t="s">
        <v>2</v>
      </c>
      <c r="AL309" s="13" t="n">
        <v>592352.9412</v>
      </c>
      <c r="AM309" s="14" t="n">
        <v>33</v>
      </c>
      <c r="AN309" s="13" t="n">
        <v>472283</v>
      </c>
      <c r="AO309" s="13" t="n">
        <v>75406.53</v>
      </c>
      <c r="AR309" s="0" t="s">
        <v>1433</v>
      </c>
      <c r="AZ309" s="0" t="s">
        <v>89</v>
      </c>
      <c r="BA309" s="0" t="s">
        <v>89</v>
      </c>
      <c r="BB309" s="0" t="s">
        <v>90</v>
      </c>
      <c r="BC309" s="0" t="s">
        <v>150</v>
      </c>
      <c r="BD309" s="15" t="s">
        <v>1430</v>
      </c>
      <c r="BE309" s="37" t="s">
        <v>152</v>
      </c>
    </row>
    <row r="310" customFormat="false" ht="16.4" hidden="false" customHeight="false" outlineLevel="0" collapsed="false">
      <c r="A310" s="36" t="n">
        <f aca="false">IF(B310=0,"",MAX($A$3:A309)+1)</f>
        <v>229</v>
      </c>
      <c r="B310" s="36" t="n">
        <f aca="false">IF(OR(M310="FLETE",M310="FLETE ENVIO GARANTIA",M310="FLETE RECOLECCION GARANTIA",M310="COMPENSACION"),0,1)</f>
        <v>1</v>
      </c>
      <c r="D310" s="10" t="s">
        <v>1416</v>
      </c>
      <c r="J310" s="0" t="s">
        <v>1193</v>
      </c>
      <c r="K310" s="0" t="s">
        <v>697</v>
      </c>
      <c r="L310" s="0" t="s">
        <v>1434</v>
      </c>
      <c r="M310" s="0" t="s">
        <v>1435</v>
      </c>
      <c r="N310" s="0" t="n">
        <v>1</v>
      </c>
      <c r="P310" s="0" t="s">
        <v>195</v>
      </c>
      <c r="Q310" s="0" t="s">
        <v>700</v>
      </c>
      <c r="R310" s="0" t="s">
        <v>1436</v>
      </c>
      <c r="T310" s="0" t="s">
        <v>1437</v>
      </c>
      <c r="U310" s="0" t="s">
        <v>199</v>
      </c>
      <c r="V310" s="0" t="s">
        <v>1421</v>
      </c>
      <c r="W310" s="12" t="s">
        <v>1422</v>
      </c>
      <c r="Y310" s="0" t="s">
        <v>143</v>
      </c>
      <c r="AG310" s="0" t="s">
        <v>2</v>
      </c>
      <c r="AL310" s="13" t="n">
        <v>369663.8655</v>
      </c>
      <c r="AM310" s="14" t="n">
        <v>25</v>
      </c>
      <c r="AN310" s="13" t="n">
        <v>329925</v>
      </c>
      <c r="AO310" s="13" t="n">
        <v>52677.1</v>
      </c>
      <c r="AR310" s="0" t="s">
        <v>1438</v>
      </c>
      <c r="AZ310" s="0" t="s">
        <v>89</v>
      </c>
      <c r="BA310" s="0" t="s">
        <v>89</v>
      </c>
      <c r="BB310" s="0" t="s">
        <v>90</v>
      </c>
      <c r="BC310" s="0" t="s">
        <v>150</v>
      </c>
      <c r="BD310" s="15" t="s">
        <v>1430</v>
      </c>
      <c r="BE310" s="37" t="s">
        <v>152</v>
      </c>
    </row>
    <row r="311" customFormat="false" ht="16.4" hidden="false" customHeight="false" outlineLevel="0" collapsed="false">
      <c r="A311" s="36" t="str">
        <f aca="false">IF(B311=0,"",MAX($A$3:A310)+1)</f>
        <v/>
      </c>
      <c r="B311" s="36" t="n">
        <f aca="false">IF(OR(M311="FLETE",M311="FLETE ENVIO GARANTIA",M311="FLETE RECOLECCION GARANTIA",M311="COMPENSACION"),0,1)</f>
        <v>0</v>
      </c>
      <c r="D311" s="10" t="s">
        <v>1416</v>
      </c>
      <c r="J311" s="0" t="s">
        <v>1193</v>
      </c>
      <c r="K311" s="0" t="s">
        <v>93</v>
      </c>
      <c r="L311" s="0" t="s">
        <v>210</v>
      </c>
      <c r="M311" s="0" t="s">
        <v>211</v>
      </c>
      <c r="N311" s="0" t="n">
        <v>1</v>
      </c>
      <c r="P311" s="0" t="s">
        <v>73</v>
      </c>
      <c r="R311" s="0" t="s">
        <v>211</v>
      </c>
      <c r="V311" s="0" t="s">
        <v>1421</v>
      </c>
      <c r="W311" s="12" t="s">
        <v>1422</v>
      </c>
      <c r="Y311" s="0" t="s">
        <v>143</v>
      </c>
      <c r="AG311" s="0" t="s">
        <v>2</v>
      </c>
      <c r="AL311" s="13" t="n">
        <v>50000</v>
      </c>
      <c r="AM311" s="14" t="n">
        <v>0</v>
      </c>
      <c r="AN311" s="13" t="n">
        <v>50000</v>
      </c>
      <c r="AO311" s="13" t="n">
        <v>0</v>
      </c>
      <c r="AR311" s="0" t="s">
        <v>1439</v>
      </c>
      <c r="AZ311" s="0" t="s">
        <v>89</v>
      </c>
      <c r="BA311" s="0" t="s">
        <v>89</v>
      </c>
      <c r="BB311" s="0" t="s">
        <v>90</v>
      </c>
      <c r="BC311" s="0" t="s">
        <v>150</v>
      </c>
      <c r="BD311" s="15" t="s">
        <v>1430</v>
      </c>
      <c r="BE311" s="37" t="s">
        <v>152</v>
      </c>
    </row>
    <row r="312" customFormat="false" ht="16.4" hidden="false" customHeight="false" outlineLevel="0" collapsed="false">
      <c r="A312" s="36" t="str">
        <f aca="false">IF(B312=0,"",MAX($A$3:A311)+1)</f>
        <v/>
      </c>
      <c r="B312" s="36" t="n">
        <f aca="false">IF(OR(M312="FLETE",M312="FLETE ENVIO GARANTIA",M312="FLETE RECOLECCION GARANTIA",M312="COMPENSACION"),0,1)</f>
        <v>0</v>
      </c>
      <c r="D312" s="10" t="s">
        <v>1416</v>
      </c>
      <c r="J312" s="0" t="s">
        <v>1193</v>
      </c>
      <c r="K312" s="0" t="s">
        <v>93</v>
      </c>
      <c r="L312" s="0" t="s">
        <v>210</v>
      </c>
      <c r="M312" s="0" t="s">
        <v>211</v>
      </c>
      <c r="N312" s="0" t="n">
        <v>1</v>
      </c>
      <c r="P312" s="0" t="s">
        <v>73</v>
      </c>
      <c r="R312" s="0" t="s">
        <v>211</v>
      </c>
      <c r="V312" s="0" t="s">
        <v>1421</v>
      </c>
      <c r="W312" s="12" t="s">
        <v>1422</v>
      </c>
      <c r="Y312" s="12" t="s">
        <v>143</v>
      </c>
      <c r="AG312" s="0" t="s">
        <v>2</v>
      </c>
      <c r="AL312" s="13" t="n">
        <v>0</v>
      </c>
      <c r="AM312" s="14" t="n">
        <v>0</v>
      </c>
      <c r="AO312" s="13" t="n">
        <v>0</v>
      </c>
      <c r="AR312" s="0" t="s">
        <v>1440</v>
      </c>
      <c r="AZ312" s="0" t="s">
        <v>89</v>
      </c>
      <c r="BA312" s="0" t="s">
        <v>89</v>
      </c>
      <c r="BB312" s="0" t="s">
        <v>90</v>
      </c>
      <c r="BC312" s="0" t="s">
        <v>241</v>
      </c>
      <c r="BD312" s="15" t="s">
        <v>1441</v>
      </c>
      <c r="BE312" s="37" t="s">
        <v>152</v>
      </c>
    </row>
    <row r="313" customFormat="false" ht="16.4" hidden="false" customHeight="false" outlineLevel="0" collapsed="false">
      <c r="A313" s="36" t="n">
        <f aca="false">IF(B313=0,"",MAX($A$3:A312)+1)</f>
        <v>230</v>
      </c>
      <c r="B313" s="36" t="n">
        <f aca="false">IF(OR(M313="FLETE",M313="FLETE ENVIO GARANTIA",M313="FLETE RECOLECCION GARANTIA",M313="COMPENSACION"),0,1)</f>
        <v>1</v>
      </c>
      <c r="C313" s="0" t="s">
        <v>1442</v>
      </c>
      <c r="D313" s="10" t="s">
        <v>1443</v>
      </c>
      <c r="E313" s="11" t="n">
        <v>45697</v>
      </c>
      <c r="F313" s="11" t="n">
        <v>45717</v>
      </c>
      <c r="G313" s="11" t="n">
        <v>45719</v>
      </c>
      <c r="H313" s="11" t="n">
        <v>45714</v>
      </c>
      <c r="I313" s="11" t="n">
        <v>45714</v>
      </c>
      <c r="J313" s="0" t="s">
        <v>1444</v>
      </c>
      <c r="K313" s="0" t="s">
        <v>292</v>
      </c>
      <c r="L313" s="0" t="s">
        <v>293</v>
      </c>
      <c r="M313" s="0" t="s">
        <v>294</v>
      </c>
      <c r="N313" s="0" t="n">
        <v>1</v>
      </c>
      <c r="P313" s="0" t="s">
        <v>249</v>
      </c>
      <c r="Q313" s="0" t="s">
        <v>295</v>
      </c>
      <c r="R313" s="0" t="s">
        <v>296</v>
      </c>
      <c r="V313" s="0" t="s">
        <v>1444</v>
      </c>
      <c r="W313" s="12" t="n">
        <v>0</v>
      </c>
      <c r="Y313" s="0" t="s">
        <v>178</v>
      </c>
      <c r="Z313" s="0" t="s">
        <v>179</v>
      </c>
      <c r="AB313" s="0" t="n">
        <v>20202020</v>
      </c>
      <c r="AC313" s="0" t="s">
        <v>1445</v>
      </c>
      <c r="AD313" s="0" t="s">
        <v>1446</v>
      </c>
      <c r="AE313" s="0" t="s">
        <v>1446</v>
      </c>
      <c r="AG313" s="0" t="s">
        <v>11</v>
      </c>
      <c r="AH313" s="0" t="n">
        <v>3</v>
      </c>
      <c r="AI313" s="0" t="s">
        <v>1447</v>
      </c>
      <c r="AJ313" s="0" t="n">
        <v>3845900</v>
      </c>
      <c r="AK313" s="0" t="s">
        <v>85</v>
      </c>
      <c r="AL313" s="13" t="n">
        <v>53697.479</v>
      </c>
      <c r="AM313" s="14" t="n">
        <v>0</v>
      </c>
      <c r="AN313" s="13" t="n">
        <v>63900</v>
      </c>
      <c r="AO313" s="13" t="n">
        <v>10202.52</v>
      </c>
      <c r="AP313" s="0" t="s">
        <v>1448</v>
      </c>
      <c r="AQ313" s="0" t="s">
        <v>1449</v>
      </c>
      <c r="AR313" s="0" t="s">
        <v>1450</v>
      </c>
      <c r="AS313" s="0" t="n">
        <v>3845900.14</v>
      </c>
      <c r="AT313" s="0" t="s">
        <v>1445</v>
      </c>
      <c r="AU313" s="0" t="s">
        <v>178</v>
      </c>
      <c r="AV313" s="0" t="s">
        <v>1446</v>
      </c>
      <c r="AW313" s="0" t="s">
        <v>1446</v>
      </c>
      <c r="AX313" s="0" t="s">
        <v>1444</v>
      </c>
      <c r="AY313" s="0" t="n">
        <v>20202020</v>
      </c>
      <c r="AZ313" s="0" t="s">
        <v>257</v>
      </c>
      <c r="BA313" s="0" t="s">
        <v>257</v>
      </c>
      <c r="BB313" s="0" t="s">
        <v>90</v>
      </c>
      <c r="BC313" s="0" t="s">
        <v>241</v>
      </c>
      <c r="BD313" s="15" t="s">
        <v>1451</v>
      </c>
      <c r="BE313" s="37" t="s">
        <v>186</v>
      </c>
    </row>
    <row r="314" customFormat="false" ht="16.4" hidden="false" customHeight="false" outlineLevel="0" collapsed="false">
      <c r="A314" s="36" t="n">
        <f aca="false">IF(B314=0,"",MAX($A$3:A313)+1)</f>
        <v>231</v>
      </c>
      <c r="B314" s="36" t="n">
        <f aca="false">IF(OR(M314="FLETE",M314="FLETE ENVIO GARANTIA",M314="FLETE RECOLECCION GARANTIA",M314="COMPENSACION"),0,1)</f>
        <v>1</v>
      </c>
      <c r="D314" s="10" t="s">
        <v>1443</v>
      </c>
      <c r="J314" s="0" t="s">
        <v>1444</v>
      </c>
      <c r="K314" s="0" t="s">
        <v>292</v>
      </c>
      <c r="L314" s="0" t="s">
        <v>1452</v>
      </c>
      <c r="M314" s="0" t="s">
        <v>1453</v>
      </c>
      <c r="N314" s="0" t="n">
        <v>1</v>
      </c>
      <c r="P314" s="0" t="s">
        <v>249</v>
      </c>
      <c r="Q314" s="0" t="s">
        <v>295</v>
      </c>
      <c r="R314" s="0" t="s">
        <v>1454</v>
      </c>
      <c r="V314" s="0" t="s">
        <v>1444</v>
      </c>
      <c r="W314" s="12" t="n">
        <v>0</v>
      </c>
      <c r="Y314" s="12" t="s">
        <v>178</v>
      </c>
      <c r="AG314" s="0" t="s">
        <v>11</v>
      </c>
      <c r="AL314" s="13" t="n">
        <v>25126.0504</v>
      </c>
      <c r="AM314" s="14" t="n">
        <v>0</v>
      </c>
      <c r="AN314" s="13" t="n">
        <v>29900</v>
      </c>
      <c r="AO314" s="13" t="n">
        <v>4773.95</v>
      </c>
      <c r="AR314" s="0" t="s">
        <v>1455</v>
      </c>
      <c r="AZ314" s="0" t="s">
        <v>257</v>
      </c>
      <c r="BA314" s="0" t="s">
        <v>257</v>
      </c>
      <c r="BB314" s="0" t="s">
        <v>90</v>
      </c>
      <c r="BC314" s="0" t="s">
        <v>241</v>
      </c>
      <c r="BD314" s="15" t="s">
        <v>1451</v>
      </c>
      <c r="BE314" s="37" t="s">
        <v>186</v>
      </c>
    </row>
    <row r="315" customFormat="false" ht="16.4" hidden="false" customHeight="false" outlineLevel="0" collapsed="false">
      <c r="A315" s="36" t="n">
        <f aca="false">IF(B315=0,"",MAX($A$3:A314)+1)</f>
        <v>232</v>
      </c>
      <c r="B315" s="36" t="n">
        <f aca="false">IF(OR(M315="FLETE",M315="FLETE ENVIO GARANTIA",M315="FLETE RECOLECCION GARANTIA",M315="COMPENSACION"),0,1)</f>
        <v>1</v>
      </c>
      <c r="D315" s="10" t="s">
        <v>1443</v>
      </c>
      <c r="J315" s="0" t="s">
        <v>1444</v>
      </c>
      <c r="K315" s="0" t="s">
        <v>292</v>
      </c>
      <c r="L315" s="0" t="s">
        <v>1456</v>
      </c>
      <c r="M315" s="0" t="s">
        <v>1457</v>
      </c>
      <c r="N315" s="0" t="n">
        <v>1</v>
      </c>
      <c r="P315" s="0" t="s">
        <v>249</v>
      </c>
      <c r="Q315" s="0" t="s">
        <v>295</v>
      </c>
      <c r="R315" s="0" t="s">
        <v>1458</v>
      </c>
      <c r="V315" s="0" t="s">
        <v>1444</v>
      </c>
      <c r="W315" s="12" t="n">
        <v>0</v>
      </c>
      <c r="Y315" s="12" t="s">
        <v>178</v>
      </c>
      <c r="AG315" s="0" t="s">
        <v>11</v>
      </c>
      <c r="AL315" s="13" t="n">
        <v>51428.5714</v>
      </c>
      <c r="AM315" s="14" t="n">
        <v>0</v>
      </c>
      <c r="AN315" s="13" t="n">
        <v>61200</v>
      </c>
      <c r="AO315" s="13" t="n">
        <v>9771.43</v>
      </c>
      <c r="AR315" s="0" t="s">
        <v>1459</v>
      </c>
      <c r="AZ315" s="0" t="s">
        <v>257</v>
      </c>
      <c r="BA315" s="0" t="s">
        <v>257</v>
      </c>
      <c r="BB315" s="0" t="s">
        <v>90</v>
      </c>
      <c r="BC315" s="0" t="s">
        <v>241</v>
      </c>
      <c r="BD315" s="15" t="s">
        <v>1451</v>
      </c>
      <c r="BE315" s="37" t="s">
        <v>186</v>
      </c>
    </row>
    <row r="316" customFormat="false" ht="16.4" hidden="false" customHeight="false" outlineLevel="0" collapsed="false">
      <c r="A316" s="36" t="n">
        <f aca="false">IF(B316=0,"",MAX($A$3:A315)+1)</f>
        <v>233</v>
      </c>
      <c r="B316" s="36" t="n">
        <f aca="false">IF(OR(M316="FLETE",M316="FLETE ENVIO GARANTIA",M316="FLETE RECOLECCION GARANTIA",M316="COMPENSACION"),0,1)</f>
        <v>1</v>
      </c>
      <c r="D316" s="10" t="s">
        <v>1443</v>
      </c>
      <c r="J316" s="0" t="s">
        <v>1444</v>
      </c>
      <c r="K316" s="0" t="s">
        <v>292</v>
      </c>
      <c r="L316" s="0" t="s">
        <v>330</v>
      </c>
      <c r="M316" s="0" t="s">
        <v>331</v>
      </c>
      <c r="N316" s="0" t="n">
        <v>1</v>
      </c>
      <c r="P316" s="0" t="s">
        <v>249</v>
      </c>
      <c r="Q316" s="0" t="s">
        <v>295</v>
      </c>
      <c r="R316" s="0" t="s">
        <v>332</v>
      </c>
      <c r="V316" s="0" t="s">
        <v>1444</v>
      </c>
      <c r="W316" s="12" t="n">
        <v>0</v>
      </c>
      <c r="Y316" s="12" t="s">
        <v>178</v>
      </c>
      <c r="AG316" s="0" t="s">
        <v>11</v>
      </c>
      <c r="AL316" s="13" t="n">
        <v>41344.5378</v>
      </c>
      <c r="AM316" s="14" t="n">
        <v>0</v>
      </c>
      <c r="AN316" s="13" t="n">
        <v>49200</v>
      </c>
      <c r="AO316" s="13" t="n">
        <v>7855.46</v>
      </c>
      <c r="AR316" s="0" t="s">
        <v>1460</v>
      </c>
      <c r="AZ316" s="0" t="s">
        <v>257</v>
      </c>
      <c r="BA316" s="0" t="s">
        <v>257</v>
      </c>
      <c r="BB316" s="0" t="s">
        <v>90</v>
      </c>
      <c r="BC316" s="0" t="s">
        <v>241</v>
      </c>
      <c r="BD316" s="15" t="s">
        <v>1451</v>
      </c>
      <c r="BE316" s="37" t="s">
        <v>186</v>
      </c>
    </row>
    <row r="317" customFormat="false" ht="16.4" hidden="false" customHeight="false" outlineLevel="0" collapsed="false">
      <c r="A317" s="36" t="n">
        <f aca="false">IF(B317=0,"",MAX($A$3:A316)+1)</f>
        <v>234</v>
      </c>
      <c r="B317" s="36" t="n">
        <f aca="false">IF(OR(M317="FLETE",M317="FLETE ENVIO GARANTIA",M317="FLETE RECOLECCION GARANTIA",M317="COMPENSACION"),0,1)</f>
        <v>1</v>
      </c>
      <c r="D317" s="10" t="s">
        <v>1443</v>
      </c>
      <c r="J317" s="0" t="s">
        <v>1444</v>
      </c>
      <c r="K317" s="0" t="s">
        <v>292</v>
      </c>
      <c r="L317" s="0" t="s">
        <v>1461</v>
      </c>
      <c r="M317" s="0" t="s">
        <v>1462</v>
      </c>
      <c r="N317" s="0" t="n">
        <v>1</v>
      </c>
      <c r="P317" s="0" t="s">
        <v>249</v>
      </c>
      <c r="Q317" s="0" t="s">
        <v>295</v>
      </c>
      <c r="R317" s="0" t="s">
        <v>1463</v>
      </c>
      <c r="V317" s="0" t="s">
        <v>1444</v>
      </c>
      <c r="W317" s="12" t="n">
        <v>0</v>
      </c>
      <c r="Y317" s="0" t="s">
        <v>178</v>
      </c>
      <c r="AG317" s="0" t="s">
        <v>11</v>
      </c>
      <c r="AL317" s="13" t="n">
        <v>43613.4454</v>
      </c>
      <c r="AM317" s="14" t="n">
        <v>0</v>
      </c>
      <c r="AN317" s="13" t="n">
        <v>51900.01</v>
      </c>
      <c r="AO317" s="13" t="n">
        <v>8286.56</v>
      </c>
      <c r="AR317" s="0" t="s">
        <v>1464</v>
      </c>
      <c r="AZ317" s="0" t="s">
        <v>257</v>
      </c>
      <c r="BA317" s="0" t="s">
        <v>257</v>
      </c>
      <c r="BB317" s="0" t="s">
        <v>90</v>
      </c>
      <c r="BC317" s="0" t="s">
        <v>241</v>
      </c>
      <c r="BD317" s="15" t="s">
        <v>1451</v>
      </c>
      <c r="BE317" s="37" t="s">
        <v>186</v>
      </c>
    </row>
    <row r="318" customFormat="false" ht="16.4" hidden="false" customHeight="false" outlineLevel="0" collapsed="false">
      <c r="A318" s="36" t="n">
        <f aca="false">IF(B318=0,"",MAX($A$3:A317)+1)</f>
        <v>235</v>
      </c>
      <c r="B318" s="36" t="n">
        <f aca="false">IF(OR(M318="FLETE",M318="FLETE ENVIO GARANTIA",M318="FLETE RECOLECCION GARANTIA",M318="COMPENSACION"),0,1)</f>
        <v>1</v>
      </c>
      <c r="D318" s="10" t="s">
        <v>1443</v>
      </c>
      <c r="J318" s="0" t="s">
        <v>1444</v>
      </c>
      <c r="K318" s="0" t="s">
        <v>292</v>
      </c>
      <c r="L318" s="0" t="s">
        <v>297</v>
      </c>
      <c r="M318" s="0" t="s">
        <v>298</v>
      </c>
      <c r="N318" s="0" t="n">
        <v>1</v>
      </c>
      <c r="P318" s="0" t="s">
        <v>249</v>
      </c>
      <c r="Q318" s="0" t="s">
        <v>295</v>
      </c>
      <c r="R318" s="0" t="s">
        <v>299</v>
      </c>
      <c r="V318" s="0" t="s">
        <v>1444</v>
      </c>
      <c r="W318" s="12" t="n">
        <v>0</v>
      </c>
      <c r="Y318" s="12" t="s">
        <v>178</v>
      </c>
      <c r="AG318" s="0" t="s">
        <v>11</v>
      </c>
      <c r="AL318" s="13" t="n">
        <v>53697.479</v>
      </c>
      <c r="AM318" s="14" t="n">
        <v>0</v>
      </c>
      <c r="AN318" s="13" t="n">
        <v>63900</v>
      </c>
      <c r="AO318" s="13" t="n">
        <v>10202.52</v>
      </c>
      <c r="AR318" s="0" t="s">
        <v>1465</v>
      </c>
      <c r="AZ318" s="0" t="s">
        <v>257</v>
      </c>
      <c r="BA318" s="0" t="s">
        <v>257</v>
      </c>
      <c r="BB318" s="0" t="s">
        <v>90</v>
      </c>
      <c r="BC318" s="0" t="s">
        <v>241</v>
      </c>
      <c r="BD318" s="15" t="s">
        <v>1451</v>
      </c>
      <c r="BE318" s="37" t="s">
        <v>186</v>
      </c>
    </row>
    <row r="319" customFormat="false" ht="16.4" hidden="false" customHeight="false" outlineLevel="0" collapsed="false">
      <c r="A319" s="36" t="n">
        <f aca="false">IF(B319=0,"",MAX($A$3:A318)+1)</f>
        <v>236</v>
      </c>
      <c r="B319" s="36" t="n">
        <f aca="false">IF(OR(M319="FLETE",M319="FLETE ENVIO GARANTIA",M319="FLETE RECOLECCION GARANTIA",M319="COMPENSACION"),0,1)</f>
        <v>1</v>
      </c>
      <c r="D319" s="10" t="s">
        <v>1443</v>
      </c>
      <c r="J319" s="0" t="s">
        <v>1444</v>
      </c>
      <c r="K319" s="0" t="s">
        <v>292</v>
      </c>
      <c r="L319" s="0" t="s">
        <v>1466</v>
      </c>
      <c r="M319" s="0" t="s">
        <v>1467</v>
      </c>
      <c r="N319" s="0" t="n">
        <v>1</v>
      </c>
      <c r="P319" s="0" t="s">
        <v>249</v>
      </c>
      <c r="Q319" s="0" t="s">
        <v>295</v>
      </c>
      <c r="R319" s="0" t="s">
        <v>1468</v>
      </c>
      <c r="V319" s="0" t="s">
        <v>1444</v>
      </c>
      <c r="W319" s="12" t="n">
        <v>0</v>
      </c>
      <c r="Y319" s="12" t="s">
        <v>178</v>
      </c>
      <c r="AG319" s="0" t="s">
        <v>11</v>
      </c>
      <c r="AL319" s="13" t="n">
        <v>25126.0504</v>
      </c>
      <c r="AM319" s="14" t="n">
        <v>0</v>
      </c>
      <c r="AN319" s="13" t="n">
        <v>29900</v>
      </c>
      <c r="AO319" s="13" t="n">
        <v>4773.95</v>
      </c>
      <c r="AR319" s="0" t="s">
        <v>1469</v>
      </c>
      <c r="AZ319" s="0" t="s">
        <v>257</v>
      </c>
      <c r="BA319" s="0" t="s">
        <v>257</v>
      </c>
      <c r="BB319" s="0" t="s">
        <v>90</v>
      </c>
      <c r="BC319" s="0" t="s">
        <v>241</v>
      </c>
      <c r="BD319" s="15" t="s">
        <v>1451</v>
      </c>
      <c r="BE319" s="37" t="s">
        <v>186</v>
      </c>
    </row>
    <row r="320" customFormat="false" ht="16.4" hidden="false" customHeight="false" outlineLevel="0" collapsed="false">
      <c r="A320" s="36" t="n">
        <f aca="false">IF(B320=0,"",MAX($A$3:A319)+1)</f>
        <v>237</v>
      </c>
      <c r="B320" s="36" t="n">
        <f aca="false">IF(OR(M320="FLETE",M320="FLETE ENVIO GARANTIA",M320="FLETE RECOLECCION GARANTIA",M320="COMPENSACION"),0,1)</f>
        <v>1</v>
      </c>
      <c r="D320" s="10" t="s">
        <v>1443</v>
      </c>
      <c r="J320" s="0" t="s">
        <v>1444</v>
      </c>
      <c r="K320" s="0" t="s">
        <v>292</v>
      </c>
      <c r="L320" s="0" t="s">
        <v>1470</v>
      </c>
      <c r="M320" s="0" t="s">
        <v>1471</v>
      </c>
      <c r="N320" s="0" t="n">
        <v>1</v>
      </c>
      <c r="P320" s="0" t="s">
        <v>249</v>
      </c>
      <c r="Q320" s="0" t="s">
        <v>295</v>
      </c>
      <c r="R320" s="0" t="s">
        <v>1472</v>
      </c>
      <c r="V320" s="0" t="s">
        <v>1444</v>
      </c>
      <c r="W320" s="12" t="n">
        <v>0</v>
      </c>
      <c r="Y320" s="12" t="s">
        <v>178</v>
      </c>
      <c r="AG320" s="0" t="s">
        <v>11</v>
      </c>
      <c r="AL320" s="13" t="n">
        <v>43613.4454</v>
      </c>
      <c r="AM320" s="14" t="n">
        <v>0</v>
      </c>
      <c r="AN320" s="13" t="n">
        <v>51900.01</v>
      </c>
      <c r="AO320" s="13" t="n">
        <v>8286.56</v>
      </c>
      <c r="AR320" s="0" t="s">
        <v>1473</v>
      </c>
      <c r="AZ320" s="0" t="s">
        <v>257</v>
      </c>
      <c r="BA320" s="0" t="s">
        <v>257</v>
      </c>
      <c r="BB320" s="0" t="s">
        <v>90</v>
      </c>
      <c r="BC320" s="0" t="s">
        <v>241</v>
      </c>
      <c r="BD320" s="15" t="s">
        <v>1451</v>
      </c>
      <c r="BE320" s="37" t="s">
        <v>186</v>
      </c>
    </row>
    <row r="321" customFormat="false" ht="16.4" hidden="false" customHeight="false" outlineLevel="0" collapsed="false">
      <c r="A321" s="36" t="n">
        <f aca="false">IF(B321=0,"",MAX($A$3:A320)+1)</f>
        <v>238</v>
      </c>
      <c r="B321" s="36" t="n">
        <f aca="false">IF(OR(M321="FLETE",M321="FLETE ENVIO GARANTIA",M321="FLETE RECOLECCION GARANTIA",M321="COMPENSACION"),0,1)</f>
        <v>1</v>
      </c>
      <c r="D321" s="10" t="s">
        <v>1443</v>
      </c>
      <c r="J321" s="0" t="s">
        <v>1444</v>
      </c>
      <c r="K321" s="0" t="s">
        <v>292</v>
      </c>
      <c r="L321" s="0" t="s">
        <v>303</v>
      </c>
      <c r="M321" s="0" t="s">
        <v>304</v>
      </c>
      <c r="N321" s="0" t="n">
        <v>1</v>
      </c>
      <c r="P321" s="0" t="s">
        <v>249</v>
      </c>
      <c r="Q321" s="0" t="s">
        <v>295</v>
      </c>
      <c r="R321" s="0" t="s">
        <v>305</v>
      </c>
      <c r="V321" s="0" t="s">
        <v>1444</v>
      </c>
      <c r="W321" s="12" t="n">
        <v>0</v>
      </c>
      <c r="Y321" s="0" t="s">
        <v>178</v>
      </c>
      <c r="AG321" s="0" t="s">
        <v>11</v>
      </c>
      <c r="AL321" s="13" t="n">
        <v>43613.4454</v>
      </c>
      <c r="AM321" s="14" t="n">
        <v>0</v>
      </c>
      <c r="AN321" s="13" t="n">
        <v>51900.01</v>
      </c>
      <c r="AO321" s="13" t="n">
        <v>8286.56</v>
      </c>
      <c r="AR321" s="0" t="s">
        <v>1474</v>
      </c>
      <c r="AZ321" s="0" t="s">
        <v>257</v>
      </c>
      <c r="BA321" s="0" t="s">
        <v>257</v>
      </c>
      <c r="BB321" s="0" t="s">
        <v>90</v>
      </c>
      <c r="BC321" s="0" t="s">
        <v>241</v>
      </c>
      <c r="BD321" s="15" t="s">
        <v>1451</v>
      </c>
      <c r="BE321" s="37" t="s">
        <v>186</v>
      </c>
    </row>
    <row r="322" customFormat="false" ht="16.4" hidden="false" customHeight="false" outlineLevel="0" collapsed="false">
      <c r="A322" s="36" t="n">
        <f aca="false">IF(B322=0,"",MAX($A$3:A321)+1)</f>
        <v>239</v>
      </c>
      <c r="B322" s="36" t="n">
        <f aca="false">IF(OR(M322="FLETE",M322="FLETE ENVIO GARANTIA",M322="FLETE RECOLECCION GARANTIA",M322="COMPENSACION"),0,1)</f>
        <v>1</v>
      </c>
      <c r="D322" s="10" t="s">
        <v>1443</v>
      </c>
      <c r="J322" s="0" t="s">
        <v>1444</v>
      </c>
      <c r="K322" s="0" t="s">
        <v>292</v>
      </c>
      <c r="L322" s="0" t="s">
        <v>1475</v>
      </c>
      <c r="M322" s="0" t="s">
        <v>1476</v>
      </c>
      <c r="N322" s="0" t="n">
        <v>1</v>
      </c>
      <c r="P322" s="0" t="s">
        <v>249</v>
      </c>
      <c r="Q322" s="0" t="s">
        <v>295</v>
      </c>
      <c r="R322" s="0" t="s">
        <v>1477</v>
      </c>
      <c r="V322" s="0" t="s">
        <v>1444</v>
      </c>
      <c r="W322" s="12" t="n">
        <v>0</v>
      </c>
      <c r="Y322" s="12" t="s">
        <v>178</v>
      </c>
      <c r="AG322" s="0" t="s">
        <v>11</v>
      </c>
      <c r="AL322" s="13" t="n">
        <v>53697.479</v>
      </c>
      <c r="AM322" s="14" t="n">
        <v>0</v>
      </c>
      <c r="AN322" s="13" t="n">
        <v>63900</v>
      </c>
      <c r="AO322" s="13" t="n">
        <v>10202.52</v>
      </c>
      <c r="AR322" s="0" t="s">
        <v>1478</v>
      </c>
      <c r="AZ322" s="0" t="s">
        <v>257</v>
      </c>
      <c r="BA322" s="0" t="s">
        <v>257</v>
      </c>
      <c r="BB322" s="0" t="s">
        <v>90</v>
      </c>
      <c r="BC322" s="0" t="s">
        <v>241</v>
      </c>
      <c r="BD322" s="15" t="s">
        <v>1451</v>
      </c>
      <c r="BE322" s="37" t="s">
        <v>186</v>
      </c>
    </row>
    <row r="323" customFormat="false" ht="16.4" hidden="false" customHeight="false" outlineLevel="0" collapsed="false">
      <c r="A323" s="36" t="n">
        <f aca="false">IF(B323=0,"",MAX($A$3:A322)+1)</f>
        <v>240</v>
      </c>
      <c r="B323" s="36" t="n">
        <f aca="false">IF(OR(M323="FLETE",M323="FLETE ENVIO GARANTIA",M323="FLETE RECOLECCION GARANTIA",M323="COMPENSACION"),0,1)</f>
        <v>1</v>
      </c>
      <c r="D323" s="10" t="s">
        <v>1443</v>
      </c>
      <c r="J323" s="0" t="s">
        <v>1444</v>
      </c>
      <c r="K323" s="0" t="s">
        <v>292</v>
      </c>
      <c r="L323" s="0" t="s">
        <v>1479</v>
      </c>
      <c r="M323" s="0" t="s">
        <v>1480</v>
      </c>
      <c r="N323" s="0" t="n">
        <v>1</v>
      </c>
      <c r="P323" s="0" t="s">
        <v>249</v>
      </c>
      <c r="Q323" s="0" t="s">
        <v>295</v>
      </c>
      <c r="R323" s="0" t="s">
        <v>1481</v>
      </c>
      <c r="V323" s="0" t="s">
        <v>1444</v>
      </c>
      <c r="W323" s="12" t="n">
        <v>0</v>
      </c>
      <c r="Y323" s="0" t="s">
        <v>178</v>
      </c>
      <c r="AG323" s="0" t="s">
        <v>11</v>
      </c>
      <c r="AL323" s="13" t="n">
        <v>43613.4454</v>
      </c>
      <c r="AM323" s="14" t="n">
        <v>0</v>
      </c>
      <c r="AN323" s="13" t="n">
        <v>51900.01</v>
      </c>
      <c r="AO323" s="13" t="n">
        <v>8286.56</v>
      </c>
      <c r="AR323" s="0" t="s">
        <v>1482</v>
      </c>
      <c r="AZ323" s="0" t="s">
        <v>257</v>
      </c>
      <c r="BA323" s="0" t="s">
        <v>257</v>
      </c>
      <c r="BB323" s="0" t="s">
        <v>90</v>
      </c>
      <c r="BC323" s="0" t="s">
        <v>241</v>
      </c>
      <c r="BD323" s="15" t="s">
        <v>1451</v>
      </c>
      <c r="BE323" s="37" t="s">
        <v>186</v>
      </c>
    </row>
    <row r="324" customFormat="false" ht="16.4" hidden="false" customHeight="false" outlineLevel="0" collapsed="false">
      <c r="A324" s="36" t="n">
        <f aca="false">IF(B324=0,"",MAX($A$3:A323)+1)</f>
        <v>241</v>
      </c>
      <c r="B324" s="36" t="n">
        <f aca="false">IF(OR(M324="FLETE",M324="FLETE ENVIO GARANTIA",M324="FLETE RECOLECCION GARANTIA",M324="COMPENSACION"),0,1)</f>
        <v>1</v>
      </c>
      <c r="D324" s="10" t="s">
        <v>1443</v>
      </c>
      <c r="J324" s="0" t="s">
        <v>1444</v>
      </c>
      <c r="K324" s="0" t="s">
        <v>292</v>
      </c>
      <c r="L324" s="0" t="s">
        <v>1483</v>
      </c>
      <c r="M324" s="0" t="s">
        <v>1484</v>
      </c>
      <c r="N324" s="0" t="n">
        <v>1</v>
      </c>
      <c r="P324" s="0" t="s">
        <v>249</v>
      </c>
      <c r="Q324" s="0" t="s">
        <v>295</v>
      </c>
      <c r="R324" s="0" t="s">
        <v>1485</v>
      </c>
      <c r="V324" s="0" t="s">
        <v>1444</v>
      </c>
      <c r="W324" s="12" t="n">
        <v>0</v>
      </c>
      <c r="Y324" s="12" t="s">
        <v>178</v>
      </c>
      <c r="AG324" s="0" t="s">
        <v>11</v>
      </c>
      <c r="AL324" s="13" t="n">
        <v>25126.0504</v>
      </c>
      <c r="AM324" s="14" t="n">
        <v>0</v>
      </c>
      <c r="AN324" s="13" t="n">
        <v>29900</v>
      </c>
      <c r="AO324" s="13" t="n">
        <v>4773.95</v>
      </c>
      <c r="AR324" s="0" t="s">
        <v>1486</v>
      </c>
      <c r="AZ324" s="0" t="s">
        <v>257</v>
      </c>
      <c r="BA324" s="0" t="s">
        <v>257</v>
      </c>
      <c r="BB324" s="0" t="s">
        <v>90</v>
      </c>
      <c r="BC324" s="0" t="s">
        <v>241</v>
      </c>
      <c r="BD324" s="15" t="s">
        <v>1451</v>
      </c>
      <c r="BE324" s="37" t="s">
        <v>186</v>
      </c>
    </row>
    <row r="325" customFormat="false" ht="16.4" hidden="false" customHeight="false" outlineLevel="0" collapsed="false">
      <c r="A325" s="36" t="n">
        <f aca="false">IF(B325=0,"",MAX($A$3:A324)+1)</f>
        <v>242</v>
      </c>
      <c r="B325" s="36" t="n">
        <f aca="false">IF(OR(M325="FLETE",M325="FLETE ENVIO GARANTIA",M325="FLETE RECOLECCION GARANTIA",M325="COMPENSACION"),0,1)</f>
        <v>1</v>
      </c>
      <c r="D325" s="10" t="s">
        <v>1443</v>
      </c>
      <c r="J325" s="0" t="s">
        <v>1444</v>
      </c>
      <c r="K325" s="0" t="s">
        <v>292</v>
      </c>
      <c r="L325" s="0" t="s">
        <v>1487</v>
      </c>
      <c r="M325" s="0" t="s">
        <v>1488</v>
      </c>
      <c r="N325" s="0" t="n">
        <v>1</v>
      </c>
      <c r="P325" s="0" t="s">
        <v>249</v>
      </c>
      <c r="Q325" s="0" t="s">
        <v>295</v>
      </c>
      <c r="R325" s="0" t="s">
        <v>1489</v>
      </c>
      <c r="V325" s="0" t="s">
        <v>1444</v>
      </c>
      <c r="W325" s="12" t="n">
        <v>0</v>
      </c>
      <c r="Y325" s="12" t="s">
        <v>178</v>
      </c>
      <c r="AG325" s="0" t="s">
        <v>11</v>
      </c>
      <c r="AL325" s="13" t="n">
        <v>53697.479</v>
      </c>
      <c r="AM325" s="14" t="n">
        <v>0</v>
      </c>
      <c r="AN325" s="13" t="n">
        <v>63900</v>
      </c>
      <c r="AO325" s="13" t="n">
        <v>10202.52</v>
      </c>
      <c r="AR325" s="0" t="s">
        <v>1490</v>
      </c>
      <c r="AZ325" s="0" t="s">
        <v>257</v>
      </c>
      <c r="BA325" s="0" t="s">
        <v>257</v>
      </c>
      <c r="BB325" s="0" t="s">
        <v>90</v>
      </c>
      <c r="BC325" s="0" t="s">
        <v>241</v>
      </c>
      <c r="BD325" s="15" t="s">
        <v>1451</v>
      </c>
      <c r="BE325" s="37" t="s">
        <v>186</v>
      </c>
    </row>
    <row r="326" customFormat="false" ht="16.4" hidden="false" customHeight="false" outlineLevel="0" collapsed="false">
      <c r="A326" s="36" t="n">
        <f aca="false">IF(B326=0,"",MAX($A$3:A325)+1)</f>
        <v>243</v>
      </c>
      <c r="B326" s="36" t="n">
        <f aca="false">IF(OR(M326="FLETE",M326="FLETE ENVIO GARANTIA",M326="FLETE RECOLECCION GARANTIA",M326="COMPENSACION"),0,1)</f>
        <v>1</v>
      </c>
      <c r="D326" s="10" t="s">
        <v>1443</v>
      </c>
      <c r="J326" s="0" t="s">
        <v>1444</v>
      </c>
      <c r="K326" s="0" t="s">
        <v>292</v>
      </c>
      <c r="L326" s="0" t="s">
        <v>1491</v>
      </c>
      <c r="M326" s="0" t="s">
        <v>1492</v>
      </c>
      <c r="N326" s="0" t="n">
        <v>1</v>
      </c>
      <c r="P326" s="0" t="s">
        <v>249</v>
      </c>
      <c r="Q326" s="0" t="s">
        <v>295</v>
      </c>
      <c r="R326" s="0" t="s">
        <v>1493</v>
      </c>
      <c r="V326" s="0" t="s">
        <v>1444</v>
      </c>
      <c r="W326" s="12" t="n">
        <v>0</v>
      </c>
      <c r="Y326" s="12" t="s">
        <v>178</v>
      </c>
      <c r="AG326" s="0" t="s">
        <v>11</v>
      </c>
      <c r="AL326" s="13" t="n">
        <v>43613.4454</v>
      </c>
      <c r="AM326" s="14" t="n">
        <v>0</v>
      </c>
      <c r="AN326" s="13" t="n">
        <v>51900.01</v>
      </c>
      <c r="AO326" s="13" t="n">
        <v>8286.56</v>
      </c>
      <c r="AR326" s="0" t="s">
        <v>1494</v>
      </c>
      <c r="AZ326" s="0" t="s">
        <v>257</v>
      </c>
      <c r="BA326" s="0" t="s">
        <v>257</v>
      </c>
      <c r="BB326" s="0" t="s">
        <v>90</v>
      </c>
      <c r="BC326" s="0" t="s">
        <v>241</v>
      </c>
      <c r="BD326" s="15" t="s">
        <v>1451</v>
      </c>
      <c r="BE326" s="37" t="s">
        <v>186</v>
      </c>
    </row>
    <row r="327" customFormat="false" ht="16.4" hidden="false" customHeight="false" outlineLevel="0" collapsed="false">
      <c r="A327" s="36" t="n">
        <f aca="false">IF(B327=0,"",MAX($A$3:A326)+1)</f>
        <v>244</v>
      </c>
      <c r="B327" s="36" t="n">
        <f aca="false">IF(OR(M327="FLETE",M327="FLETE ENVIO GARANTIA",M327="FLETE RECOLECCION GARANTIA",M327="COMPENSACION"),0,1)</f>
        <v>1</v>
      </c>
      <c r="D327" s="10" t="s">
        <v>1443</v>
      </c>
      <c r="J327" s="0" t="s">
        <v>1444</v>
      </c>
      <c r="K327" s="0" t="s">
        <v>292</v>
      </c>
      <c r="L327" s="0" t="s">
        <v>1495</v>
      </c>
      <c r="M327" s="0" t="s">
        <v>1496</v>
      </c>
      <c r="N327" s="0" t="n">
        <v>1</v>
      </c>
      <c r="P327" s="0" t="s">
        <v>249</v>
      </c>
      <c r="Q327" s="0" t="s">
        <v>295</v>
      </c>
      <c r="R327" s="0" t="s">
        <v>1497</v>
      </c>
      <c r="V327" s="0" t="s">
        <v>1444</v>
      </c>
      <c r="W327" s="12" t="n">
        <v>0</v>
      </c>
      <c r="Y327" s="0" t="s">
        <v>178</v>
      </c>
      <c r="AG327" s="0" t="s">
        <v>11</v>
      </c>
      <c r="AL327" s="13" t="n">
        <v>43613.4454</v>
      </c>
      <c r="AM327" s="14" t="n">
        <v>0</v>
      </c>
      <c r="AN327" s="13" t="n">
        <v>51900.01</v>
      </c>
      <c r="AO327" s="13" t="n">
        <v>8286.56</v>
      </c>
      <c r="AR327" s="0" t="s">
        <v>1498</v>
      </c>
      <c r="AZ327" s="0" t="s">
        <v>257</v>
      </c>
      <c r="BA327" s="0" t="s">
        <v>257</v>
      </c>
      <c r="BB327" s="0" t="s">
        <v>90</v>
      </c>
      <c r="BC327" s="0" t="s">
        <v>241</v>
      </c>
      <c r="BD327" s="15" t="s">
        <v>1451</v>
      </c>
      <c r="BE327" s="37" t="s">
        <v>186</v>
      </c>
    </row>
    <row r="328" customFormat="false" ht="16.4" hidden="false" customHeight="false" outlineLevel="0" collapsed="false">
      <c r="A328" s="36" t="n">
        <f aca="false">IF(B328=0,"",MAX($A$3:A327)+1)</f>
        <v>245</v>
      </c>
      <c r="B328" s="36" t="n">
        <f aca="false">IF(OR(M328="FLETE",M328="FLETE ENVIO GARANTIA",M328="FLETE RECOLECCION GARANTIA",M328="COMPENSACION"),0,1)</f>
        <v>1</v>
      </c>
      <c r="D328" s="10" t="s">
        <v>1443</v>
      </c>
      <c r="J328" s="0" t="s">
        <v>1444</v>
      </c>
      <c r="K328" s="0" t="s">
        <v>292</v>
      </c>
      <c r="L328" s="0" t="s">
        <v>339</v>
      </c>
      <c r="M328" s="0" t="s">
        <v>340</v>
      </c>
      <c r="N328" s="0" t="n">
        <v>1</v>
      </c>
      <c r="P328" s="0" t="s">
        <v>249</v>
      </c>
      <c r="Q328" s="0" t="s">
        <v>295</v>
      </c>
      <c r="R328" s="0" t="s">
        <v>341</v>
      </c>
      <c r="V328" s="0" t="s">
        <v>1444</v>
      </c>
      <c r="W328" s="12" t="n">
        <v>0</v>
      </c>
      <c r="Y328" s="12" t="s">
        <v>178</v>
      </c>
      <c r="AG328" s="0" t="s">
        <v>11</v>
      </c>
      <c r="AL328" s="13" t="n">
        <v>41344.5378</v>
      </c>
      <c r="AM328" s="14" t="n">
        <v>0</v>
      </c>
      <c r="AN328" s="13" t="n">
        <v>49200</v>
      </c>
      <c r="AO328" s="13" t="n">
        <v>7855.46</v>
      </c>
      <c r="AR328" s="0" t="s">
        <v>1499</v>
      </c>
      <c r="AZ328" s="0" t="s">
        <v>257</v>
      </c>
      <c r="BA328" s="0" t="s">
        <v>257</v>
      </c>
      <c r="BB328" s="0" t="s">
        <v>90</v>
      </c>
      <c r="BC328" s="0" t="s">
        <v>241</v>
      </c>
      <c r="BD328" s="15" t="s">
        <v>1451</v>
      </c>
      <c r="BE328" s="37" t="s">
        <v>186</v>
      </c>
    </row>
    <row r="329" customFormat="false" ht="16.4" hidden="false" customHeight="false" outlineLevel="0" collapsed="false">
      <c r="A329" s="36" t="n">
        <f aca="false">IF(B329=0,"",MAX($A$3:A328)+1)</f>
        <v>246</v>
      </c>
      <c r="B329" s="36" t="n">
        <f aca="false">IF(OR(M329="FLETE",M329="FLETE ENVIO GARANTIA",M329="FLETE RECOLECCION GARANTIA",M329="COMPENSACION"),0,1)</f>
        <v>1</v>
      </c>
      <c r="D329" s="10" t="s">
        <v>1443</v>
      </c>
      <c r="J329" s="0" t="s">
        <v>1444</v>
      </c>
      <c r="K329" s="0" t="s">
        <v>292</v>
      </c>
      <c r="L329" s="0" t="s">
        <v>309</v>
      </c>
      <c r="M329" s="0" t="s">
        <v>310</v>
      </c>
      <c r="N329" s="0" t="n">
        <v>1</v>
      </c>
      <c r="P329" s="0" t="s">
        <v>249</v>
      </c>
      <c r="Q329" s="0" t="s">
        <v>295</v>
      </c>
      <c r="R329" s="0" t="s">
        <v>311</v>
      </c>
      <c r="V329" s="0" t="s">
        <v>1444</v>
      </c>
      <c r="W329" s="12" t="n">
        <v>0</v>
      </c>
      <c r="Y329" s="12" t="s">
        <v>178</v>
      </c>
      <c r="AG329" s="0" t="s">
        <v>11</v>
      </c>
      <c r="AL329" s="13" t="n">
        <v>53697.479</v>
      </c>
      <c r="AM329" s="14" t="n">
        <v>0</v>
      </c>
      <c r="AN329" s="13" t="n">
        <v>63900</v>
      </c>
      <c r="AO329" s="13" t="n">
        <v>10202.52</v>
      </c>
      <c r="AR329" s="0" t="s">
        <v>1500</v>
      </c>
      <c r="AZ329" s="0" t="s">
        <v>257</v>
      </c>
      <c r="BA329" s="0" t="s">
        <v>257</v>
      </c>
      <c r="BB329" s="0" t="s">
        <v>90</v>
      </c>
      <c r="BC329" s="0" t="s">
        <v>241</v>
      </c>
      <c r="BD329" s="15" t="s">
        <v>1451</v>
      </c>
      <c r="BE329" s="37" t="s">
        <v>186</v>
      </c>
    </row>
    <row r="330" customFormat="false" ht="16.4" hidden="false" customHeight="false" outlineLevel="0" collapsed="false">
      <c r="A330" s="36" t="n">
        <f aca="false">IF(B330=0,"",MAX($A$3:A329)+1)</f>
        <v>247</v>
      </c>
      <c r="B330" s="36" t="n">
        <f aca="false">IF(OR(M330="FLETE",M330="FLETE ENVIO GARANTIA",M330="FLETE RECOLECCION GARANTIA",M330="COMPENSACION"),0,1)</f>
        <v>1</v>
      </c>
      <c r="D330" s="10" t="s">
        <v>1443</v>
      </c>
      <c r="J330" s="0" t="s">
        <v>1444</v>
      </c>
      <c r="K330" s="0" t="s">
        <v>292</v>
      </c>
      <c r="L330" s="0" t="s">
        <v>312</v>
      </c>
      <c r="M330" s="0" t="s">
        <v>313</v>
      </c>
      <c r="N330" s="0" t="n">
        <v>1</v>
      </c>
      <c r="P330" s="0" t="s">
        <v>249</v>
      </c>
      <c r="Q330" s="0" t="s">
        <v>295</v>
      </c>
      <c r="R330" s="0" t="s">
        <v>314</v>
      </c>
      <c r="V330" s="0" t="s">
        <v>1444</v>
      </c>
      <c r="W330" s="12" t="n">
        <v>0</v>
      </c>
      <c r="Y330" s="0" t="s">
        <v>178</v>
      </c>
      <c r="AG330" s="0" t="s">
        <v>11</v>
      </c>
      <c r="AL330" s="13" t="n">
        <v>43613.4454</v>
      </c>
      <c r="AM330" s="14" t="n">
        <v>0</v>
      </c>
      <c r="AN330" s="13" t="n">
        <v>51900.01</v>
      </c>
      <c r="AO330" s="13" t="n">
        <v>8286.56</v>
      </c>
      <c r="AR330" s="0" t="s">
        <v>1501</v>
      </c>
      <c r="AZ330" s="0" t="s">
        <v>257</v>
      </c>
      <c r="BA330" s="0" t="s">
        <v>257</v>
      </c>
      <c r="BB330" s="0" t="s">
        <v>90</v>
      </c>
      <c r="BC330" s="0" t="s">
        <v>241</v>
      </c>
      <c r="BD330" s="15" t="s">
        <v>1451</v>
      </c>
      <c r="BE330" s="37" t="s">
        <v>186</v>
      </c>
    </row>
    <row r="331" customFormat="false" ht="16.4" hidden="false" customHeight="false" outlineLevel="0" collapsed="false">
      <c r="A331" s="36" t="n">
        <f aca="false">IF(B331=0,"",MAX($A$3:A330)+1)</f>
        <v>248</v>
      </c>
      <c r="B331" s="36" t="n">
        <f aca="false">IF(OR(M331="FLETE",M331="FLETE ENVIO GARANTIA",M331="FLETE RECOLECCION GARANTIA",M331="COMPENSACION"),0,1)</f>
        <v>1</v>
      </c>
      <c r="D331" s="10" t="s">
        <v>1443</v>
      </c>
      <c r="J331" s="0" t="s">
        <v>1444</v>
      </c>
      <c r="K331" s="0" t="s">
        <v>292</v>
      </c>
      <c r="L331" s="0" t="s">
        <v>1502</v>
      </c>
      <c r="M331" s="0" t="s">
        <v>1503</v>
      </c>
      <c r="N331" s="0" t="n">
        <v>1</v>
      </c>
      <c r="P331" s="0" t="s">
        <v>249</v>
      </c>
      <c r="Q331" s="0" t="s">
        <v>295</v>
      </c>
      <c r="R331" s="0" t="s">
        <v>1504</v>
      </c>
      <c r="V331" s="0" t="s">
        <v>1444</v>
      </c>
      <c r="W331" s="12" t="n">
        <v>0</v>
      </c>
      <c r="Y331" s="12" t="s">
        <v>178</v>
      </c>
      <c r="AG331" s="0" t="s">
        <v>11</v>
      </c>
      <c r="AL331" s="13" t="n">
        <v>100756.3025</v>
      </c>
      <c r="AM331" s="14" t="n">
        <v>0</v>
      </c>
      <c r="AN331" s="13" t="n">
        <v>119900</v>
      </c>
      <c r="AO331" s="13" t="n">
        <v>19143.7</v>
      </c>
      <c r="AR331" s="0" t="s">
        <v>1505</v>
      </c>
      <c r="AZ331" s="0" t="s">
        <v>257</v>
      </c>
      <c r="BA331" s="0" t="s">
        <v>257</v>
      </c>
      <c r="BB331" s="0" t="s">
        <v>90</v>
      </c>
      <c r="BC331" s="0" t="s">
        <v>241</v>
      </c>
      <c r="BD331" s="15" t="s">
        <v>1451</v>
      </c>
      <c r="BE331" s="37" t="s">
        <v>186</v>
      </c>
    </row>
    <row r="332" customFormat="false" ht="16.4" hidden="false" customHeight="false" outlineLevel="0" collapsed="false">
      <c r="A332" s="36" t="n">
        <f aca="false">IF(B332=0,"",MAX($A$3:A331)+1)</f>
        <v>249</v>
      </c>
      <c r="B332" s="36" t="n">
        <f aca="false">IF(OR(M332="FLETE",M332="FLETE ENVIO GARANTIA",M332="FLETE RECOLECCION GARANTIA",M332="COMPENSACION"),0,1)</f>
        <v>1</v>
      </c>
      <c r="D332" s="10" t="s">
        <v>1443</v>
      </c>
      <c r="J332" s="0" t="s">
        <v>1444</v>
      </c>
      <c r="K332" s="0" t="s">
        <v>292</v>
      </c>
      <c r="L332" s="0" t="s">
        <v>315</v>
      </c>
      <c r="M332" s="0" t="s">
        <v>316</v>
      </c>
      <c r="N332" s="0" t="n">
        <v>1</v>
      </c>
      <c r="P332" s="0" t="s">
        <v>249</v>
      </c>
      <c r="Q332" s="0" t="s">
        <v>295</v>
      </c>
      <c r="R332" s="0" t="s">
        <v>317</v>
      </c>
      <c r="V332" s="0" t="s">
        <v>1444</v>
      </c>
      <c r="W332" s="12" t="n">
        <v>0</v>
      </c>
      <c r="Y332" s="12" t="s">
        <v>178</v>
      </c>
      <c r="AG332" s="0" t="s">
        <v>11</v>
      </c>
      <c r="AL332" s="13" t="n">
        <v>53697.479</v>
      </c>
      <c r="AM332" s="14" t="n">
        <v>0</v>
      </c>
      <c r="AN332" s="13" t="n">
        <v>63900</v>
      </c>
      <c r="AO332" s="13" t="n">
        <v>10202.52</v>
      </c>
      <c r="AR332" s="0" t="s">
        <v>1506</v>
      </c>
      <c r="AZ332" s="0" t="s">
        <v>257</v>
      </c>
      <c r="BA332" s="0" t="s">
        <v>257</v>
      </c>
      <c r="BB332" s="0" t="s">
        <v>90</v>
      </c>
      <c r="BC332" s="0" t="s">
        <v>241</v>
      </c>
      <c r="BD332" s="15" t="s">
        <v>1451</v>
      </c>
      <c r="BE332" s="37" t="s">
        <v>186</v>
      </c>
    </row>
    <row r="333" customFormat="false" ht="16.4" hidden="false" customHeight="false" outlineLevel="0" collapsed="false">
      <c r="A333" s="36" t="n">
        <f aca="false">IF(B333=0,"",MAX($A$3:A332)+1)</f>
        <v>250</v>
      </c>
      <c r="B333" s="36" t="n">
        <f aca="false">IF(OR(M333="FLETE",M333="FLETE ENVIO GARANTIA",M333="FLETE RECOLECCION GARANTIA",M333="COMPENSACION"),0,1)</f>
        <v>1</v>
      </c>
      <c r="D333" s="10" t="s">
        <v>1443</v>
      </c>
      <c r="J333" s="0" t="s">
        <v>1444</v>
      </c>
      <c r="K333" s="0" t="s">
        <v>292</v>
      </c>
      <c r="L333" s="0" t="s">
        <v>1507</v>
      </c>
      <c r="M333" s="0" t="s">
        <v>1508</v>
      </c>
      <c r="N333" s="0" t="n">
        <v>1</v>
      </c>
      <c r="P333" s="0" t="s">
        <v>249</v>
      </c>
      <c r="Q333" s="0" t="s">
        <v>295</v>
      </c>
      <c r="R333" s="0" t="s">
        <v>1509</v>
      </c>
      <c r="V333" s="0" t="s">
        <v>1444</v>
      </c>
      <c r="W333" s="12" t="n">
        <v>0</v>
      </c>
      <c r="Y333" s="12" t="s">
        <v>178</v>
      </c>
      <c r="AG333" s="0" t="s">
        <v>11</v>
      </c>
      <c r="AL333" s="13" t="n">
        <v>100756.3025</v>
      </c>
      <c r="AM333" s="14" t="n">
        <v>0</v>
      </c>
      <c r="AN333" s="13" t="n">
        <v>119900</v>
      </c>
      <c r="AO333" s="13" t="n">
        <v>19143.7</v>
      </c>
      <c r="AR333" s="0" t="s">
        <v>1510</v>
      </c>
      <c r="AZ333" s="0" t="s">
        <v>257</v>
      </c>
      <c r="BA333" s="0" t="s">
        <v>257</v>
      </c>
      <c r="BB333" s="0" t="s">
        <v>90</v>
      </c>
      <c r="BC333" s="0" t="s">
        <v>241</v>
      </c>
      <c r="BD333" s="15" t="s">
        <v>1451</v>
      </c>
      <c r="BE333" s="37" t="s">
        <v>186</v>
      </c>
    </row>
    <row r="334" customFormat="false" ht="16.4" hidden="false" customHeight="false" outlineLevel="0" collapsed="false">
      <c r="A334" s="36" t="n">
        <f aca="false">IF(B334=0,"",MAX($A$3:A333)+1)</f>
        <v>251</v>
      </c>
      <c r="B334" s="36" t="n">
        <f aca="false">IF(OR(M334="FLETE",M334="FLETE ENVIO GARANTIA",M334="FLETE RECOLECCION GARANTIA",M334="COMPENSACION"),0,1)</f>
        <v>1</v>
      </c>
      <c r="D334" s="10" t="s">
        <v>1443</v>
      </c>
      <c r="J334" s="0" t="s">
        <v>1444</v>
      </c>
      <c r="K334" s="0" t="s">
        <v>292</v>
      </c>
      <c r="L334" s="0" t="s">
        <v>1511</v>
      </c>
      <c r="M334" s="0" t="s">
        <v>1512</v>
      </c>
      <c r="N334" s="0" t="n">
        <v>2</v>
      </c>
      <c r="P334" s="0" t="s">
        <v>249</v>
      </c>
      <c r="Q334" s="0" t="s">
        <v>295</v>
      </c>
      <c r="R334" s="0" t="s">
        <v>1513</v>
      </c>
      <c r="V334" s="0" t="s">
        <v>1444</v>
      </c>
      <c r="W334" s="12" t="n">
        <v>0</v>
      </c>
      <c r="Y334" s="12" t="s">
        <v>178</v>
      </c>
      <c r="AG334" s="0" t="s">
        <v>11</v>
      </c>
      <c r="AL334" s="13" t="n">
        <v>100756.3025</v>
      </c>
      <c r="AM334" s="14" t="n">
        <v>0</v>
      </c>
      <c r="AN334" s="13" t="n">
        <v>239800.01</v>
      </c>
      <c r="AO334" s="13" t="n">
        <v>38287.4</v>
      </c>
      <c r="AR334" s="0" t="s">
        <v>1514</v>
      </c>
      <c r="AZ334" s="0" t="s">
        <v>257</v>
      </c>
      <c r="BA334" s="0" t="s">
        <v>257</v>
      </c>
      <c r="BB334" s="0" t="s">
        <v>90</v>
      </c>
      <c r="BC334" s="0" t="s">
        <v>241</v>
      </c>
      <c r="BD334" s="15" t="s">
        <v>1451</v>
      </c>
      <c r="BE334" s="37" t="s">
        <v>186</v>
      </c>
    </row>
    <row r="335" customFormat="false" ht="16.4" hidden="false" customHeight="false" outlineLevel="0" collapsed="false">
      <c r="A335" s="36" t="n">
        <f aca="false">IF(B335=0,"",MAX($A$3:A334)+1)</f>
        <v>252</v>
      </c>
      <c r="B335" s="36" t="n">
        <f aca="false">IF(OR(M335="FLETE",M335="FLETE ENVIO GARANTIA",M335="FLETE RECOLECCION GARANTIA",M335="COMPENSACION"),0,1)</f>
        <v>1</v>
      </c>
      <c r="D335" s="10" t="s">
        <v>1443</v>
      </c>
      <c r="J335" s="0" t="s">
        <v>1444</v>
      </c>
      <c r="K335" s="0" t="s">
        <v>292</v>
      </c>
      <c r="L335" s="0" t="s">
        <v>1515</v>
      </c>
      <c r="M335" s="0" t="s">
        <v>1516</v>
      </c>
      <c r="N335" s="0" t="n">
        <v>1</v>
      </c>
      <c r="P335" s="0" t="s">
        <v>249</v>
      </c>
      <c r="Q335" s="0" t="s">
        <v>295</v>
      </c>
      <c r="R335" s="0" t="s">
        <v>1517</v>
      </c>
      <c r="V335" s="0" t="s">
        <v>1444</v>
      </c>
      <c r="W335" s="12" t="n">
        <v>0</v>
      </c>
      <c r="Y335" s="12" t="s">
        <v>178</v>
      </c>
      <c r="AG335" s="0" t="s">
        <v>11</v>
      </c>
      <c r="AL335" s="13" t="n">
        <v>53697.479</v>
      </c>
      <c r="AM335" s="14" t="n">
        <v>0</v>
      </c>
      <c r="AN335" s="13" t="n">
        <v>63900</v>
      </c>
      <c r="AO335" s="13" t="n">
        <v>10202.52</v>
      </c>
      <c r="AR335" s="0" t="s">
        <v>1518</v>
      </c>
      <c r="AZ335" s="0" t="s">
        <v>257</v>
      </c>
      <c r="BA335" s="0" t="s">
        <v>257</v>
      </c>
      <c r="BB335" s="0" t="s">
        <v>90</v>
      </c>
      <c r="BC335" s="0" t="s">
        <v>241</v>
      </c>
      <c r="BD335" s="15" t="s">
        <v>1451</v>
      </c>
      <c r="BE335" s="37" t="s">
        <v>186</v>
      </c>
    </row>
    <row r="336" customFormat="false" ht="16.4" hidden="false" customHeight="false" outlineLevel="0" collapsed="false">
      <c r="A336" s="36" t="n">
        <f aca="false">IF(B336=0,"",MAX($A$3:A335)+1)</f>
        <v>253</v>
      </c>
      <c r="B336" s="36" t="n">
        <f aca="false">IF(OR(M336="FLETE",M336="FLETE ENVIO GARANTIA",M336="FLETE RECOLECCION GARANTIA",M336="COMPENSACION"),0,1)</f>
        <v>1</v>
      </c>
      <c r="D336" s="10" t="s">
        <v>1443</v>
      </c>
      <c r="J336" s="0" t="s">
        <v>1444</v>
      </c>
      <c r="K336" s="0" t="s">
        <v>292</v>
      </c>
      <c r="L336" s="0" t="s">
        <v>1519</v>
      </c>
      <c r="M336" s="0" t="s">
        <v>1520</v>
      </c>
      <c r="N336" s="0" t="n">
        <v>1</v>
      </c>
      <c r="P336" s="0" t="s">
        <v>249</v>
      </c>
      <c r="Q336" s="0" t="s">
        <v>295</v>
      </c>
      <c r="R336" s="0" t="s">
        <v>1521</v>
      </c>
      <c r="V336" s="0" t="s">
        <v>1444</v>
      </c>
      <c r="W336" s="12" t="n">
        <v>0</v>
      </c>
      <c r="Y336" s="0" t="s">
        <v>178</v>
      </c>
      <c r="AG336" s="0" t="s">
        <v>11</v>
      </c>
      <c r="AL336" s="13" t="n">
        <v>53697.479</v>
      </c>
      <c r="AM336" s="14" t="n">
        <v>0</v>
      </c>
      <c r="AN336" s="13" t="n">
        <v>63900</v>
      </c>
      <c r="AO336" s="13" t="n">
        <v>10202.52</v>
      </c>
      <c r="AR336" s="0" t="s">
        <v>1522</v>
      </c>
      <c r="AZ336" s="0" t="s">
        <v>257</v>
      </c>
      <c r="BA336" s="0" t="s">
        <v>257</v>
      </c>
      <c r="BB336" s="0" t="s">
        <v>90</v>
      </c>
      <c r="BC336" s="0" t="s">
        <v>241</v>
      </c>
      <c r="BD336" s="15" t="s">
        <v>1451</v>
      </c>
      <c r="BE336" s="37" t="s">
        <v>186</v>
      </c>
    </row>
    <row r="337" customFormat="false" ht="16.4" hidden="false" customHeight="false" outlineLevel="0" collapsed="false">
      <c r="A337" s="36" t="n">
        <f aca="false">IF(B337=0,"",MAX($A$3:A336)+1)</f>
        <v>254</v>
      </c>
      <c r="B337" s="36" t="n">
        <f aca="false">IF(OR(M337="FLETE",M337="FLETE ENVIO GARANTIA",M337="FLETE RECOLECCION GARANTIA",M337="COMPENSACION"),0,1)</f>
        <v>1</v>
      </c>
      <c r="D337" s="10" t="s">
        <v>1443</v>
      </c>
      <c r="J337" s="0" t="s">
        <v>1444</v>
      </c>
      <c r="K337" s="0" t="s">
        <v>292</v>
      </c>
      <c r="L337" s="0" t="s">
        <v>1523</v>
      </c>
      <c r="M337" s="0" t="s">
        <v>1524</v>
      </c>
      <c r="N337" s="0" t="n">
        <v>2</v>
      </c>
      <c r="P337" s="0" t="s">
        <v>249</v>
      </c>
      <c r="Q337" s="0" t="s">
        <v>295</v>
      </c>
      <c r="R337" s="0" t="s">
        <v>1525</v>
      </c>
      <c r="V337" s="0" t="s">
        <v>1444</v>
      </c>
      <c r="W337" s="12" t="n">
        <v>0</v>
      </c>
      <c r="Y337" s="12" t="s">
        <v>178</v>
      </c>
      <c r="AG337" s="0" t="s">
        <v>11</v>
      </c>
      <c r="AL337" s="13" t="n">
        <v>43613.4454</v>
      </c>
      <c r="AM337" s="14" t="n">
        <v>0</v>
      </c>
      <c r="AN337" s="13" t="n">
        <v>103800</v>
      </c>
      <c r="AO337" s="13" t="n">
        <v>16573.11</v>
      </c>
      <c r="AR337" s="0" t="s">
        <v>1526</v>
      </c>
      <c r="AZ337" s="0" t="s">
        <v>257</v>
      </c>
      <c r="BA337" s="0" t="s">
        <v>257</v>
      </c>
      <c r="BB337" s="0" t="s">
        <v>90</v>
      </c>
      <c r="BC337" s="0" t="s">
        <v>241</v>
      </c>
      <c r="BD337" s="15" t="s">
        <v>1451</v>
      </c>
      <c r="BE337" s="37" t="s">
        <v>186</v>
      </c>
    </row>
    <row r="338" customFormat="false" ht="16.4" hidden="false" customHeight="false" outlineLevel="0" collapsed="false">
      <c r="A338" s="36" t="n">
        <f aca="false">IF(B338=0,"",MAX($A$3:A337)+1)</f>
        <v>255</v>
      </c>
      <c r="B338" s="36" t="n">
        <f aca="false">IF(OR(M338="FLETE",M338="FLETE ENVIO GARANTIA",M338="FLETE RECOLECCION GARANTIA",M338="COMPENSACION"),0,1)</f>
        <v>1</v>
      </c>
      <c r="D338" s="10" t="s">
        <v>1443</v>
      </c>
      <c r="J338" s="0" t="s">
        <v>1444</v>
      </c>
      <c r="K338" s="0" t="s">
        <v>292</v>
      </c>
      <c r="L338" s="0" t="s">
        <v>1527</v>
      </c>
      <c r="M338" s="0" t="s">
        <v>1528</v>
      </c>
      <c r="N338" s="0" t="n">
        <v>1</v>
      </c>
      <c r="P338" s="0" t="s">
        <v>249</v>
      </c>
      <c r="Q338" s="0" t="s">
        <v>295</v>
      </c>
      <c r="R338" s="0" t="s">
        <v>1529</v>
      </c>
      <c r="V338" s="0" t="s">
        <v>1444</v>
      </c>
      <c r="W338" s="12" t="n">
        <v>0</v>
      </c>
      <c r="Y338" s="0" t="s">
        <v>178</v>
      </c>
      <c r="AG338" s="0" t="s">
        <v>11</v>
      </c>
      <c r="AL338" s="13" t="n">
        <v>100756.3025</v>
      </c>
      <c r="AM338" s="14" t="n">
        <v>0</v>
      </c>
      <c r="AN338" s="13" t="n">
        <v>119900</v>
      </c>
      <c r="AO338" s="13" t="n">
        <v>19143.7</v>
      </c>
      <c r="AR338" s="0" t="s">
        <v>1530</v>
      </c>
      <c r="AZ338" s="0" t="s">
        <v>257</v>
      </c>
      <c r="BA338" s="0" t="s">
        <v>257</v>
      </c>
      <c r="BB338" s="0" t="s">
        <v>90</v>
      </c>
      <c r="BC338" s="0" t="s">
        <v>241</v>
      </c>
      <c r="BD338" s="15" t="s">
        <v>1451</v>
      </c>
      <c r="BE338" s="37" t="s">
        <v>186</v>
      </c>
    </row>
    <row r="339" customFormat="false" ht="16.4" hidden="false" customHeight="false" outlineLevel="0" collapsed="false">
      <c r="A339" s="36" t="n">
        <f aca="false">IF(B339=0,"",MAX($A$3:A338)+1)</f>
        <v>256</v>
      </c>
      <c r="B339" s="36" t="n">
        <f aca="false">IF(OR(M339="FLETE",M339="FLETE ENVIO GARANTIA",M339="FLETE RECOLECCION GARANTIA",M339="COMPENSACION"),0,1)</f>
        <v>1</v>
      </c>
      <c r="D339" s="10" t="s">
        <v>1443</v>
      </c>
      <c r="J339" s="0" t="s">
        <v>1444</v>
      </c>
      <c r="K339" s="0" t="s">
        <v>292</v>
      </c>
      <c r="L339" s="0" t="s">
        <v>1531</v>
      </c>
      <c r="M339" s="0" t="s">
        <v>1532</v>
      </c>
      <c r="N339" s="0" t="n">
        <v>2</v>
      </c>
      <c r="P339" s="0" t="s">
        <v>249</v>
      </c>
      <c r="Q339" s="0" t="s">
        <v>295</v>
      </c>
      <c r="R339" s="0" t="s">
        <v>1533</v>
      </c>
      <c r="V339" s="0" t="s">
        <v>1444</v>
      </c>
      <c r="W339" s="12" t="n">
        <v>0</v>
      </c>
      <c r="Y339" s="12" t="s">
        <v>178</v>
      </c>
      <c r="AG339" s="0" t="s">
        <v>11</v>
      </c>
      <c r="AL339" s="13" t="n">
        <v>53697.479</v>
      </c>
      <c r="AM339" s="14" t="n">
        <v>0</v>
      </c>
      <c r="AN339" s="13" t="n">
        <v>127800</v>
      </c>
      <c r="AO339" s="13" t="n">
        <v>20405.04</v>
      </c>
      <c r="AR339" s="0" t="s">
        <v>1534</v>
      </c>
      <c r="AZ339" s="0" t="s">
        <v>257</v>
      </c>
      <c r="BA339" s="0" t="s">
        <v>257</v>
      </c>
      <c r="BB339" s="0" t="s">
        <v>90</v>
      </c>
      <c r="BC339" s="0" t="s">
        <v>241</v>
      </c>
      <c r="BD339" s="15" t="s">
        <v>1451</v>
      </c>
      <c r="BE339" s="37" t="s">
        <v>186</v>
      </c>
    </row>
    <row r="340" customFormat="false" ht="16.4" hidden="false" customHeight="false" outlineLevel="0" collapsed="false">
      <c r="A340" s="36" t="n">
        <f aca="false">IF(B340=0,"",MAX($A$3:A339)+1)</f>
        <v>257</v>
      </c>
      <c r="B340" s="36" t="n">
        <f aca="false">IF(OR(M340="FLETE",M340="FLETE ENVIO GARANTIA",M340="FLETE RECOLECCION GARANTIA",M340="COMPENSACION"),0,1)</f>
        <v>1</v>
      </c>
      <c r="D340" s="10" t="s">
        <v>1443</v>
      </c>
      <c r="J340" s="0" t="s">
        <v>1444</v>
      </c>
      <c r="K340" s="0" t="s">
        <v>292</v>
      </c>
      <c r="L340" s="0" t="s">
        <v>1535</v>
      </c>
      <c r="M340" s="0" t="s">
        <v>1536</v>
      </c>
      <c r="N340" s="0" t="n">
        <v>2</v>
      </c>
      <c r="P340" s="0" t="s">
        <v>249</v>
      </c>
      <c r="Q340" s="0" t="s">
        <v>295</v>
      </c>
      <c r="R340" s="0" t="s">
        <v>1537</v>
      </c>
      <c r="V340" s="0" t="s">
        <v>1444</v>
      </c>
      <c r="W340" s="12" t="n">
        <v>0</v>
      </c>
      <c r="Y340" s="0" t="s">
        <v>178</v>
      </c>
      <c r="AG340" s="0" t="s">
        <v>11</v>
      </c>
      <c r="AL340" s="13" t="n">
        <v>43613.4454</v>
      </c>
      <c r="AM340" s="14" t="n">
        <v>0</v>
      </c>
      <c r="AN340" s="13" t="n">
        <v>103800</v>
      </c>
      <c r="AO340" s="13" t="n">
        <v>16573.11</v>
      </c>
      <c r="AR340" s="0" t="s">
        <v>1538</v>
      </c>
      <c r="AZ340" s="0" t="s">
        <v>257</v>
      </c>
      <c r="BA340" s="0" t="s">
        <v>257</v>
      </c>
      <c r="BB340" s="0" t="s">
        <v>90</v>
      </c>
      <c r="BC340" s="0" t="s">
        <v>241</v>
      </c>
      <c r="BD340" s="15" t="s">
        <v>1451</v>
      </c>
      <c r="BE340" s="37" t="s">
        <v>186</v>
      </c>
    </row>
    <row r="341" customFormat="false" ht="16.4" hidden="false" customHeight="false" outlineLevel="0" collapsed="false">
      <c r="A341" s="36" t="n">
        <f aca="false">IF(B341=0,"",MAX($A$3:A340)+1)</f>
        <v>258</v>
      </c>
      <c r="B341" s="36" t="n">
        <f aca="false">IF(OR(M341="FLETE",M341="FLETE ENVIO GARANTIA",M341="FLETE RECOLECCION GARANTIA",M341="COMPENSACION"),0,1)</f>
        <v>1</v>
      </c>
      <c r="D341" s="10" t="s">
        <v>1443</v>
      </c>
      <c r="J341" s="0" t="s">
        <v>1444</v>
      </c>
      <c r="K341" s="0" t="s">
        <v>292</v>
      </c>
      <c r="L341" s="0" t="s">
        <v>318</v>
      </c>
      <c r="M341" s="0" t="s">
        <v>319</v>
      </c>
      <c r="N341" s="0" t="n">
        <v>1</v>
      </c>
      <c r="P341" s="0" t="s">
        <v>249</v>
      </c>
      <c r="Q341" s="0" t="s">
        <v>295</v>
      </c>
      <c r="R341" s="0" t="s">
        <v>320</v>
      </c>
      <c r="V341" s="0" t="s">
        <v>1444</v>
      </c>
      <c r="W341" s="12" t="n">
        <v>0</v>
      </c>
      <c r="Y341" s="0" t="s">
        <v>178</v>
      </c>
      <c r="AG341" s="0" t="s">
        <v>11</v>
      </c>
      <c r="AL341" s="13" t="n">
        <v>100756.3025</v>
      </c>
      <c r="AM341" s="14" t="n">
        <v>0</v>
      </c>
      <c r="AN341" s="13" t="n">
        <v>119900</v>
      </c>
      <c r="AO341" s="13" t="n">
        <v>19143.7</v>
      </c>
      <c r="AR341" s="0" t="s">
        <v>1539</v>
      </c>
      <c r="AZ341" s="0" t="s">
        <v>257</v>
      </c>
      <c r="BA341" s="0" t="s">
        <v>257</v>
      </c>
      <c r="BB341" s="0" t="s">
        <v>90</v>
      </c>
      <c r="BC341" s="0" t="s">
        <v>241</v>
      </c>
      <c r="BD341" s="15" t="s">
        <v>1451</v>
      </c>
      <c r="BE341" s="37" t="s">
        <v>186</v>
      </c>
    </row>
    <row r="342" customFormat="false" ht="16.4" hidden="false" customHeight="false" outlineLevel="0" collapsed="false">
      <c r="A342" s="36" t="n">
        <f aca="false">IF(B342=0,"",MAX($A$3:A341)+1)</f>
        <v>259</v>
      </c>
      <c r="B342" s="36" t="n">
        <f aca="false">IF(OR(M342="FLETE",M342="FLETE ENVIO GARANTIA",M342="FLETE RECOLECCION GARANTIA",M342="COMPENSACION"),0,1)</f>
        <v>1</v>
      </c>
      <c r="D342" s="10" t="s">
        <v>1443</v>
      </c>
      <c r="J342" s="0" t="s">
        <v>1444</v>
      </c>
      <c r="K342" s="0" t="s">
        <v>292</v>
      </c>
      <c r="L342" s="0" t="s">
        <v>1170</v>
      </c>
      <c r="M342" s="0" t="s">
        <v>1171</v>
      </c>
      <c r="N342" s="0" t="n">
        <v>1</v>
      </c>
      <c r="P342" s="0" t="s">
        <v>249</v>
      </c>
      <c r="Q342" s="0" t="s">
        <v>295</v>
      </c>
      <c r="R342" s="0" t="s">
        <v>1172</v>
      </c>
      <c r="V342" s="0" t="s">
        <v>1444</v>
      </c>
      <c r="W342" s="12" t="n">
        <v>0</v>
      </c>
      <c r="Y342" s="0" t="s">
        <v>178</v>
      </c>
      <c r="AG342" s="0" t="s">
        <v>11</v>
      </c>
      <c r="AL342" s="13" t="n">
        <v>43613.4454</v>
      </c>
      <c r="AM342" s="14" t="n">
        <v>0</v>
      </c>
      <c r="AN342" s="13" t="n">
        <v>51900.01</v>
      </c>
      <c r="AO342" s="13" t="n">
        <v>8286.56</v>
      </c>
      <c r="AR342" s="0" t="s">
        <v>1540</v>
      </c>
      <c r="AZ342" s="0" t="s">
        <v>257</v>
      </c>
      <c r="BA342" s="0" t="s">
        <v>257</v>
      </c>
      <c r="BB342" s="0" t="s">
        <v>90</v>
      </c>
      <c r="BC342" s="0" t="s">
        <v>241</v>
      </c>
      <c r="BD342" s="15" t="s">
        <v>1451</v>
      </c>
      <c r="BE342" s="37" t="s">
        <v>186</v>
      </c>
    </row>
    <row r="343" customFormat="false" ht="16.4" hidden="false" customHeight="false" outlineLevel="0" collapsed="false">
      <c r="A343" s="36" t="n">
        <f aca="false">IF(B343=0,"",MAX($A$3:A342)+1)</f>
        <v>260</v>
      </c>
      <c r="B343" s="36" t="n">
        <f aca="false">IF(OR(M343="FLETE",M343="FLETE ENVIO GARANTIA",M343="FLETE RECOLECCION GARANTIA",M343="COMPENSACION"),0,1)</f>
        <v>1</v>
      </c>
      <c r="D343" s="10" t="s">
        <v>1443</v>
      </c>
      <c r="J343" s="0" t="s">
        <v>1444</v>
      </c>
      <c r="K343" s="0" t="s">
        <v>292</v>
      </c>
      <c r="L343" s="0" t="s">
        <v>1541</v>
      </c>
      <c r="M343" s="0" t="s">
        <v>1542</v>
      </c>
      <c r="N343" s="0" t="n">
        <v>1</v>
      </c>
      <c r="P343" s="0" t="s">
        <v>249</v>
      </c>
      <c r="Q343" s="0" t="s">
        <v>295</v>
      </c>
      <c r="R343" s="0" t="s">
        <v>1543</v>
      </c>
      <c r="V343" s="0" t="s">
        <v>1444</v>
      </c>
      <c r="W343" s="12" t="n">
        <v>0</v>
      </c>
      <c r="Y343" s="0" t="s">
        <v>178</v>
      </c>
      <c r="AG343" s="0" t="s">
        <v>11</v>
      </c>
      <c r="AL343" s="13" t="n">
        <v>100756.3025</v>
      </c>
      <c r="AM343" s="14" t="n">
        <v>0</v>
      </c>
      <c r="AN343" s="13" t="n">
        <v>119900</v>
      </c>
      <c r="AO343" s="13" t="n">
        <v>19143.7</v>
      </c>
      <c r="AR343" s="0" t="s">
        <v>1544</v>
      </c>
      <c r="AZ343" s="0" t="s">
        <v>257</v>
      </c>
      <c r="BA343" s="0" t="s">
        <v>257</v>
      </c>
      <c r="BB343" s="0" t="s">
        <v>90</v>
      </c>
      <c r="BC343" s="0" t="s">
        <v>241</v>
      </c>
      <c r="BD343" s="15" t="s">
        <v>1451</v>
      </c>
      <c r="BE343" s="37" t="s">
        <v>186</v>
      </c>
    </row>
    <row r="344" customFormat="false" ht="16.4" hidden="false" customHeight="false" outlineLevel="0" collapsed="false">
      <c r="A344" s="36" t="n">
        <f aca="false">IF(B344=0,"",MAX($A$3:A343)+1)</f>
        <v>261</v>
      </c>
      <c r="B344" s="36" t="n">
        <f aca="false">IF(OR(M344="FLETE",M344="FLETE ENVIO GARANTIA",M344="FLETE RECOLECCION GARANTIA",M344="COMPENSACION"),0,1)</f>
        <v>1</v>
      </c>
      <c r="D344" s="10" t="s">
        <v>1443</v>
      </c>
      <c r="J344" s="0" t="s">
        <v>1444</v>
      </c>
      <c r="K344" s="0" t="s">
        <v>292</v>
      </c>
      <c r="L344" s="0" t="s">
        <v>1545</v>
      </c>
      <c r="M344" s="0" t="s">
        <v>1546</v>
      </c>
      <c r="N344" s="0" t="n">
        <v>1</v>
      </c>
      <c r="P344" s="0" t="s">
        <v>249</v>
      </c>
      <c r="Q344" s="0" t="s">
        <v>295</v>
      </c>
      <c r="R344" s="0" t="s">
        <v>1547</v>
      </c>
      <c r="V344" s="0" t="s">
        <v>1444</v>
      </c>
      <c r="W344" s="12" t="n">
        <v>0</v>
      </c>
      <c r="Y344" s="0" t="s">
        <v>178</v>
      </c>
      <c r="AG344" s="0" t="s">
        <v>11</v>
      </c>
      <c r="AL344" s="13" t="n">
        <v>53697.479</v>
      </c>
      <c r="AM344" s="14" t="n">
        <v>0</v>
      </c>
      <c r="AN344" s="13" t="n">
        <v>63900</v>
      </c>
      <c r="AO344" s="13" t="n">
        <v>10202.52</v>
      </c>
      <c r="AR344" s="0" t="s">
        <v>1548</v>
      </c>
      <c r="AZ344" s="0" t="s">
        <v>257</v>
      </c>
      <c r="BA344" s="0" t="s">
        <v>257</v>
      </c>
      <c r="BB344" s="0" t="s">
        <v>90</v>
      </c>
      <c r="BC344" s="0" t="s">
        <v>241</v>
      </c>
      <c r="BD344" s="15" t="s">
        <v>1451</v>
      </c>
      <c r="BE344" s="37" t="s">
        <v>186</v>
      </c>
    </row>
    <row r="345" customFormat="false" ht="16.4" hidden="false" customHeight="false" outlineLevel="0" collapsed="false">
      <c r="A345" s="36" t="n">
        <f aca="false">IF(B345=0,"",MAX($A$3:A344)+1)</f>
        <v>262</v>
      </c>
      <c r="B345" s="36" t="n">
        <f aca="false">IF(OR(M345="FLETE",M345="FLETE ENVIO GARANTIA",M345="FLETE RECOLECCION GARANTIA",M345="COMPENSACION"),0,1)</f>
        <v>1</v>
      </c>
      <c r="D345" s="10" t="s">
        <v>1443</v>
      </c>
      <c r="J345" s="0" t="s">
        <v>1444</v>
      </c>
      <c r="K345" s="0" t="s">
        <v>292</v>
      </c>
      <c r="L345" s="0" t="s">
        <v>1549</v>
      </c>
      <c r="M345" s="0" t="s">
        <v>1550</v>
      </c>
      <c r="N345" s="0" t="n">
        <v>1</v>
      </c>
      <c r="P345" s="0" t="s">
        <v>249</v>
      </c>
      <c r="Q345" s="0" t="s">
        <v>295</v>
      </c>
      <c r="R345" s="0" t="s">
        <v>1551</v>
      </c>
      <c r="V345" s="0" t="s">
        <v>1444</v>
      </c>
      <c r="W345" s="12" t="n">
        <v>0</v>
      </c>
      <c r="Y345" s="12" t="s">
        <v>178</v>
      </c>
      <c r="AG345" s="0" t="s">
        <v>11</v>
      </c>
      <c r="AL345" s="13" t="n">
        <v>100756.3025</v>
      </c>
      <c r="AM345" s="14" t="n">
        <v>0</v>
      </c>
      <c r="AN345" s="13" t="n">
        <v>119900</v>
      </c>
      <c r="AO345" s="13" t="n">
        <v>19143.7</v>
      </c>
      <c r="AR345" s="0" t="s">
        <v>1552</v>
      </c>
      <c r="AZ345" s="0" t="s">
        <v>257</v>
      </c>
      <c r="BA345" s="0" t="s">
        <v>257</v>
      </c>
      <c r="BB345" s="0" t="s">
        <v>90</v>
      </c>
      <c r="BC345" s="0" t="s">
        <v>241</v>
      </c>
      <c r="BD345" s="15" t="s">
        <v>1451</v>
      </c>
      <c r="BE345" s="37" t="s">
        <v>186</v>
      </c>
    </row>
    <row r="346" customFormat="false" ht="16.4" hidden="false" customHeight="false" outlineLevel="0" collapsed="false">
      <c r="A346" s="36" t="n">
        <f aca="false">IF(B346=0,"",MAX($A$3:A345)+1)</f>
        <v>263</v>
      </c>
      <c r="B346" s="36" t="n">
        <f aca="false">IF(OR(M346="FLETE",M346="FLETE ENVIO GARANTIA",M346="FLETE RECOLECCION GARANTIA",M346="COMPENSACION"),0,1)</f>
        <v>1</v>
      </c>
      <c r="D346" s="10" t="s">
        <v>1443</v>
      </c>
      <c r="J346" s="0" t="s">
        <v>1444</v>
      </c>
      <c r="K346" s="0" t="s">
        <v>292</v>
      </c>
      <c r="L346" s="0" t="s">
        <v>1553</v>
      </c>
      <c r="M346" s="0" t="s">
        <v>1554</v>
      </c>
      <c r="N346" s="0" t="n">
        <v>1</v>
      </c>
      <c r="P346" s="0" t="s">
        <v>249</v>
      </c>
      <c r="Q346" s="0" t="s">
        <v>295</v>
      </c>
      <c r="R346" s="0" t="s">
        <v>1555</v>
      </c>
      <c r="V346" s="0" t="s">
        <v>1444</v>
      </c>
      <c r="W346" s="12" t="n">
        <v>0</v>
      </c>
      <c r="Y346" s="0" t="s">
        <v>178</v>
      </c>
      <c r="AG346" s="0" t="s">
        <v>11</v>
      </c>
      <c r="AL346" s="13" t="n">
        <v>43613.4454</v>
      </c>
      <c r="AM346" s="14" t="n">
        <v>0</v>
      </c>
      <c r="AN346" s="13" t="n">
        <v>51900.01</v>
      </c>
      <c r="AO346" s="13" t="n">
        <v>8286.56</v>
      </c>
      <c r="AR346" s="0" t="s">
        <v>1556</v>
      </c>
      <c r="AZ346" s="0" t="s">
        <v>257</v>
      </c>
      <c r="BA346" s="0" t="s">
        <v>257</v>
      </c>
      <c r="BB346" s="0" t="s">
        <v>90</v>
      </c>
      <c r="BC346" s="0" t="s">
        <v>241</v>
      </c>
      <c r="BD346" s="15" t="s">
        <v>1451</v>
      </c>
      <c r="BE346" s="37" t="s">
        <v>186</v>
      </c>
    </row>
    <row r="347" customFormat="false" ht="16.4" hidden="false" customHeight="false" outlineLevel="0" collapsed="false">
      <c r="A347" s="36" t="n">
        <f aca="false">IF(B347=0,"",MAX($A$3:A346)+1)</f>
        <v>264</v>
      </c>
      <c r="B347" s="36" t="n">
        <f aca="false">IF(OR(M347="FLETE",M347="FLETE ENVIO GARANTIA",M347="FLETE RECOLECCION GARANTIA",M347="COMPENSACION"),0,1)</f>
        <v>1</v>
      </c>
      <c r="D347" s="10" t="s">
        <v>1443</v>
      </c>
      <c r="J347" s="0" t="s">
        <v>1444</v>
      </c>
      <c r="K347" s="0" t="s">
        <v>292</v>
      </c>
      <c r="L347" s="0" t="s">
        <v>1557</v>
      </c>
      <c r="M347" s="0" t="s">
        <v>1558</v>
      </c>
      <c r="N347" s="0" t="n">
        <v>1</v>
      </c>
      <c r="P347" s="0" t="s">
        <v>249</v>
      </c>
      <c r="Q347" s="0" t="s">
        <v>295</v>
      </c>
      <c r="R347" s="0" t="s">
        <v>1559</v>
      </c>
      <c r="V347" s="0" t="s">
        <v>1444</v>
      </c>
      <c r="W347" s="12" t="n">
        <v>0</v>
      </c>
      <c r="Y347" s="12" t="s">
        <v>178</v>
      </c>
      <c r="AG347" s="0" t="s">
        <v>11</v>
      </c>
      <c r="AL347" s="13" t="n">
        <v>43613.4454</v>
      </c>
      <c r="AM347" s="14" t="n">
        <v>0</v>
      </c>
      <c r="AN347" s="13" t="n">
        <v>51900.01</v>
      </c>
      <c r="AO347" s="13" t="n">
        <v>8286.56</v>
      </c>
      <c r="AR347" s="0" t="s">
        <v>1560</v>
      </c>
      <c r="AZ347" s="0" t="s">
        <v>257</v>
      </c>
      <c r="BA347" s="0" t="s">
        <v>257</v>
      </c>
      <c r="BB347" s="0" t="s">
        <v>90</v>
      </c>
      <c r="BC347" s="0" t="s">
        <v>241</v>
      </c>
      <c r="BD347" s="15" t="s">
        <v>1451</v>
      </c>
      <c r="BE347" s="37" t="s">
        <v>186</v>
      </c>
    </row>
    <row r="348" customFormat="false" ht="16.4" hidden="false" customHeight="false" outlineLevel="0" collapsed="false">
      <c r="A348" s="36" t="n">
        <f aca="false">IF(B348=0,"",MAX($A$3:A347)+1)</f>
        <v>265</v>
      </c>
      <c r="B348" s="36" t="n">
        <f aca="false">IF(OR(M348="FLETE",M348="FLETE ENVIO GARANTIA",M348="FLETE RECOLECCION GARANTIA",M348="COMPENSACION"),0,1)</f>
        <v>1</v>
      </c>
      <c r="D348" s="10" t="s">
        <v>1443</v>
      </c>
      <c r="J348" s="0" t="s">
        <v>1444</v>
      </c>
      <c r="K348" s="0" t="s">
        <v>292</v>
      </c>
      <c r="L348" s="0" t="s">
        <v>1561</v>
      </c>
      <c r="M348" s="0" t="s">
        <v>1562</v>
      </c>
      <c r="N348" s="0" t="n">
        <v>1</v>
      </c>
      <c r="P348" s="0" t="s">
        <v>249</v>
      </c>
      <c r="Q348" s="0" t="s">
        <v>295</v>
      </c>
      <c r="R348" s="0" t="s">
        <v>1563</v>
      </c>
      <c r="V348" s="0" t="s">
        <v>1444</v>
      </c>
      <c r="W348" s="12" t="n">
        <v>0</v>
      </c>
      <c r="Y348" s="0" t="s">
        <v>178</v>
      </c>
      <c r="AG348" s="0" t="s">
        <v>11</v>
      </c>
      <c r="AL348" s="13" t="n">
        <v>43613.4454</v>
      </c>
      <c r="AM348" s="14" t="n">
        <v>0</v>
      </c>
      <c r="AN348" s="13" t="n">
        <v>51900.01</v>
      </c>
      <c r="AO348" s="13" t="n">
        <v>8286.56</v>
      </c>
      <c r="AR348" s="0" t="s">
        <v>1564</v>
      </c>
      <c r="AZ348" s="0" t="s">
        <v>257</v>
      </c>
      <c r="BA348" s="0" t="s">
        <v>257</v>
      </c>
      <c r="BB348" s="0" t="s">
        <v>90</v>
      </c>
      <c r="BC348" s="0" t="s">
        <v>241</v>
      </c>
      <c r="BD348" s="15" t="s">
        <v>1451</v>
      </c>
      <c r="BE348" s="37" t="s">
        <v>186</v>
      </c>
    </row>
    <row r="349" customFormat="false" ht="16.4" hidden="false" customHeight="false" outlineLevel="0" collapsed="false">
      <c r="A349" s="36" t="n">
        <f aca="false">IF(B349=0,"",MAX($A$3:A348)+1)</f>
        <v>266</v>
      </c>
      <c r="B349" s="36" t="n">
        <f aca="false">IF(OR(M349="FLETE",M349="FLETE ENVIO GARANTIA",M349="FLETE RECOLECCION GARANTIA",M349="COMPENSACION"),0,1)</f>
        <v>1</v>
      </c>
      <c r="D349" s="10" t="s">
        <v>1443</v>
      </c>
      <c r="J349" s="0" t="s">
        <v>1444</v>
      </c>
      <c r="K349" s="0" t="s">
        <v>292</v>
      </c>
      <c r="L349" s="0" t="s">
        <v>1565</v>
      </c>
      <c r="M349" s="0" t="s">
        <v>1566</v>
      </c>
      <c r="N349" s="0" t="n">
        <v>1</v>
      </c>
      <c r="P349" s="0" t="s">
        <v>249</v>
      </c>
      <c r="Q349" s="0" t="s">
        <v>295</v>
      </c>
      <c r="R349" s="0" t="s">
        <v>1567</v>
      </c>
      <c r="V349" s="0" t="s">
        <v>1444</v>
      </c>
      <c r="W349" s="12" t="n">
        <v>0</v>
      </c>
      <c r="Y349" s="12" t="s">
        <v>178</v>
      </c>
      <c r="AG349" s="0" t="s">
        <v>11</v>
      </c>
      <c r="AL349" s="13" t="n">
        <v>25126.0504</v>
      </c>
      <c r="AM349" s="14" t="n">
        <v>0</v>
      </c>
      <c r="AN349" s="13" t="n">
        <v>29900</v>
      </c>
      <c r="AO349" s="13" t="n">
        <v>4773.95</v>
      </c>
      <c r="AR349" s="0" t="s">
        <v>1568</v>
      </c>
      <c r="AZ349" s="0" t="s">
        <v>257</v>
      </c>
      <c r="BA349" s="0" t="s">
        <v>257</v>
      </c>
      <c r="BB349" s="0" t="s">
        <v>90</v>
      </c>
      <c r="BC349" s="0" t="s">
        <v>241</v>
      </c>
      <c r="BD349" s="15" t="s">
        <v>1451</v>
      </c>
      <c r="BE349" s="37" t="s">
        <v>186</v>
      </c>
    </row>
    <row r="350" customFormat="false" ht="16.4" hidden="false" customHeight="false" outlineLevel="0" collapsed="false">
      <c r="A350" s="36" t="n">
        <f aca="false">IF(B350=0,"",MAX($A$3:A349)+1)</f>
        <v>267</v>
      </c>
      <c r="B350" s="36" t="n">
        <f aca="false">IF(OR(M350="FLETE",M350="FLETE ENVIO GARANTIA",M350="FLETE RECOLECCION GARANTIA",M350="COMPENSACION"),0,1)</f>
        <v>1</v>
      </c>
      <c r="D350" s="10" t="s">
        <v>1443</v>
      </c>
      <c r="J350" s="0" t="s">
        <v>1444</v>
      </c>
      <c r="K350" s="0" t="s">
        <v>292</v>
      </c>
      <c r="L350" s="0" t="s">
        <v>1569</v>
      </c>
      <c r="M350" s="0" t="s">
        <v>1570</v>
      </c>
      <c r="N350" s="0" t="n">
        <v>1</v>
      </c>
      <c r="P350" s="0" t="s">
        <v>249</v>
      </c>
      <c r="Q350" s="0" t="s">
        <v>295</v>
      </c>
      <c r="R350" s="0" t="s">
        <v>1571</v>
      </c>
      <c r="V350" s="0" t="s">
        <v>1444</v>
      </c>
      <c r="W350" s="12" t="n">
        <v>0</v>
      </c>
      <c r="Y350" s="12" t="s">
        <v>178</v>
      </c>
      <c r="AG350" s="0" t="s">
        <v>11</v>
      </c>
      <c r="AL350" s="13" t="n">
        <v>53697.479</v>
      </c>
      <c r="AM350" s="14" t="n">
        <v>0</v>
      </c>
      <c r="AN350" s="13" t="n">
        <v>63900</v>
      </c>
      <c r="AO350" s="13" t="n">
        <v>10202.52</v>
      </c>
      <c r="AR350" s="0" t="s">
        <v>1572</v>
      </c>
      <c r="AZ350" s="0" t="s">
        <v>257</v>
      </c>
      <c r="BA350" s="0" t="s">
        <v>257</v>
      </c>
      <c r="BB350" s="0" t="s">
        <v>90</v>
      </c>
      <c r="BC350" s="0" t="s">
        <v>241</v>
      </c>
      <c r="BD350" s="15" t="s">
        <v>1451</v>
      </c>
      <c r="BE350" s="37" t="s">
        <v>186</v>
      </c>
    </row>
    <row r="351" customFormat="false" ht="16.4" hidden="false" customHeight="false" outlineLevel="0" collapsed="false">
      <c r="A351" s="36" t="n">
        <f aca="false">IF(B351=0,"",MAX($A$3:A350)+1)</f>
        <v>268</v>
      </c>
      <c r="B351" s="36" t="n">
        <f aca="false">IF(OR(M351="FLETE",M351="FLETE ENVIO GARANTIA",M351="FLETE RECOLECCION GARANTIA",M351="COMPENSACION"),0,1)</f>
        <v>1</v>
      </c>
      <c r="D351" s="10" t="s">
        <v>1443</v>
      </c>
      <c r="J351" s="0" t="s">
        <v>1444</v>
      </c>
      <c r="K351" s="0" t="s">
        <v>292</v>
      </c>
      <c r="L351" s="0" t="s">
        <v>342</v>
      </c>
      <c r="M351" s="0" t="s">
        <v>343</v>
      </c>
      <c r="N351" s="0" t="n">
        <v>1</v>
      </c>
      <c r="P351" s="0" t="s">
        <v>249</v>
      </c>
      <c r="Q351" s="0" t="s">
        <v>295</v>
      </c>
      <c r="R351" s="0" t="s">
        <v>344</v>
      </c>
      <c r="V351" s="0" t="s">
        <v>1444</v>
      </c>
      <c r="W351" s="12" t="n">
        <v>0</v>
      </c>
      <c r="Y351" s="0" t="s">
        <v>178</v>
      </c>
      <c r="AG351" s="0" t="s">
        <v>11</v>
      </c>
      <c r="AL351" s="13" t="n">
        <v>53697.479</v>
      </c>
      <c r="AM351" s="14" t="n">
        <v>0</v>
      </c>
      <c r="AN351" s="13" t="n">
        <v>63900</v>
      </c>
      <c r="AO351" s="13" t="n">
        <v>10202.52</v>
      </c>
      <c r="AR351" s="0" t="s">
        <v>1573</v>
      </c>
      <c r="AZ351" s="0" t="s">
        <v>257</v>
      </c>
      <c r="BA351" s="0" t="s">
        <v>257</v>
      </c>
      <c r="BB351" s="0" t="s">
        <v>90</v>
      </c>
      <c r="BC351" s="0" t="s">
        <v>241</v>
      </c>
      <c r="BD351" s="15" t="s">
        <v>1451</v>
      </c>
      <c r="BE351" s="37" t="s">
        <v>186</v>
      </c>
    </row>
    <row r="352" customFormat="false" ht="16.4" hidden="false" customHeight="false" outlineLevel="0" collapsed="false">
      <c r="A352" s="36" t="n">
        <f aca="false">IF(B352=0,"",MAX($A$3:A351)+1)</f>
        <v>269</v>
      </c>
      <c r="B352" s="36" t="n">
        <f aca="false">IF(OR(M352="FLETE",M352="FLETE ENVIO GARANTIA",M352="FLETE RECOLECCION GARANTIA",M352="COMPENSACION"),0,1)</f>
        <v>1</v>
      </c>
      <c r="D352" s="10" t="s">
        <v>1443</v>
      </c>
      <c r="J352" s="0" t="s">
        <v>1444</v>
      </c>
      <c r="K352" s="0" t="s">
        <v>292</v>
      </c>
      <c r="L352" s="0" t="s">
        <v>870</v>
      </c>
      <c r="M352" s="0" t="s">
        <v>871</v>
      </c>
      <c r="N352" s="0" t="n">
        <v>1</v>
      </c>
      <c r="P352" s="0" t="s">
        <v>249</v>
      </c>
      <c r="Q352" s="0" t="s">
        <v>295</v>
      </c>
      <c r="R352" s="0" t="s">
        <v>872</v>
      </c>
      <c r="V352" s="0" t="s">
        <v>1444</v>
      </c>
      <c r="W352" s="12" t="n">
        <v>0</v>
      </c>
      <c r="Y352" s="12" t="s">
        <v>178</v>
      </c>
      <c r="AG352" s="0" t="s">
        <v>11</v>
      </c>
      <c r="AL352" s="13" t="n">
        <v>53697.479</v>
      </c>
      <c r="AM352" s="14" t="n">
        <v>0</v>
      </c>
      <c r="AN352" s="13" t="n">
        <v>63900</v>
      </c>
      <c r="AO352" s="13" t="n">
        <v>10202.52</v>
      </c>
      <c r="AR352" s="0" t="s">
        <v>1574</v>
      </c>
      <c r="AZ352" s="0" t="s">
        <v>257</v>
      </c>
      <c r="BA352" s="0" t="s">
        <v>257</v>
      </c>
      <c r="BB352" s="0" t="s">
        <v>90</v>
      </c>
      <c r="BC352" s="0" t="s">
        <v>241</v>
      </c>
      <c r="BD352" s="15" t="s">
        <v>1451</v>
      </c>
      <c r="BE352" s="37" t="s">
        <v>186</v>
      </c>
    </row>
    <row r="353" customFormat="false" ht="16.4" hidden="false" customHeight="false" outlineLevel="0" collapsed="false">
      <c r="A353" s="36" t="n">
        <f aca="false">IF(B353=0,"",MAX($A$3:A352)+1)</f>
        <v>270</v>
      </c>
      <c r="B353" s="36" t="n">
        <f aca="false">IF(OR(M353="FLETE",M353="FLETE ENVIO GARANTIA",M353="FLETE RECOLECCION GARANTIA",M353="COMPENSACION"),0,1)</f>
        <v>1</v>
      </c>
      <c r="D353" s="10" t="s">
        <v>1443</v>
      </c>
      <c r="J353" s="0" t="s">
        <v>1444</v>
      </c>
      <c r="K353" s="0" t="s">
        <v>292</v>
      </c>
      <c r="L353" s="0" t="s">
        <v>321</v>
      </c>
      <c r="M353" s="0" t="s">
        <v>322</v>
      </c>
      <c r="N353" s="0" t="n">
        <v>2</v>
      </c>
      <c r="P353" s="0" t="s">
        <v>249</v>
      </c>
      <c r="Q353" s="0" t="s">
        <v>295</v>
      </c>
      <c r="R353" s="0" t="s">
        <v>323</v>
      </c>
      <c r="V353" s="0" t="s">
        <v>1444</v>
      </c>
      <c r="W353" s="12" t="n">
        <v>0</v>
      </c>
      <c r="Y353" s="0" t="s">
        <v>178</v>
      </c>
      <c r="AG353" s="0" t="s">
        <v>11</v>
      </c>
      <c r="AL353" s="13" t="n">
        <v>43613.4454</v>
      </c>
      <c r="AM353" s="14" t="n">
        <v>0</v>
      </c>
      <c r="AN353" s="13" t="n">
        <v>103800</v>
      </c>
      <c r="AO353" s="13" t="n">
        <v>16573.11</v>
      </c>
      <c r="AR353" s="0" t="s">
        <v>1575</v>
      </c>
      <c r="AZ353" s="0" t="s">
        <v>257</v>
      </c>
      <c r="BA353" s="0" t="s">
        <v>257</v>
      </c>
      <c r="BB353" s="0" t="s">
        <v>90</v>
      </c>
      <c r="BC353" s="0" t="s">
        <v>241</v>
      </c>
      <c r="BD353" s="15" t="s">
        <v>1451</v>
      </c>
      <c r="BE353" s="37" t="s">
        <v>186</v>
      </c>
    </row>
    <row r="354" customFormat="false" ht="16.4" hidden="false" customHeight="false" outlineLevel="0" collapsed="false">
      <c r="A354" s="36" t="n">
        <f aca="false">IF(B354=0,"",MAX($A$3:A353)+1)</f>
        <v>271</v>
      </c>
      <c r="B354" s="36" t="n">
        <f aca="false">IF(OR(M354="FLETE",M354="FLETE ENVIO GARANTIA",M354="FLETE RECOLECCION GARANTIA",M354="COMPENSACION"),0,1)</f>
        <v>1</v>
      </c>
      <c r="D354" s="10" t="s">
        <v>1443</v>
      </c>
      <c r="J354" s="0" t="s">
        <v>1444</v>
      </c>
      <c r="K354" s="0" t="s">
        <v>292</v>
      </c>
      <c r="L354" s="0" t="s">
        <v>1576</v>
      </c>
      <c r="M354" s="0" t="s">
        <v>1577</v>
      </c>
      <c r="N354" s="0" t="n">
        <v>1</v>
      </c>
      <c r="P354" s="0" t="s">
        <v>249</v>
      </c>
      <c r="Q354" s="0" t="s">
        <v>295</v>
      </c>
      <c r="R354" s="0" t="s">
        <v>1578</v>
      </c>
      <c r="V354" s="0" t="s">
        <v>1444</v>
      </c>
      <c r="W354" s="12" t="n">
        <v>0</v>
      </c>
      <c r="Y354" s="12" t="s">
        <v>178</v>
      </c>
      <c r="AG354" s="0" t="s">
        <v>11</v>
      </c>
      <c r="AL354" s="13" t="n">
        <v>100756.3025</v>
      </c>
      <c r="AM354" s="14" t="n">
        <v>0</v>
      </c>
      <c r="AN354" s="13" t="n">
        <v>119900</v>
      </c>
      <c r="AO354" s="13" t="n">
        <v>19143.7</v>
      </c>
      <c r="AR354" s="0" t="s">
        <v>1579</v>
      </c>
      <c r="AZ354" s="0" t="s">
        <v>257</v>
      </c>
      <c r="BA354" s="0" t="s">
        <v>257</v>
      </c>
      <c r="BB354" s="0" t="s">
        <v>90</v>
      </c>
      <c r="BC354" s="0" t="s">
        <v>241</v>
      </c>
      <c r="BD354" s="15" t="s">
        <v>1451</v>
      </c>
      <c r="BE354" s="37" t="s">
        <v>186</v>
      </c>
    </row>
    <row r="355" customFormat="false" ht="16.4" hidden="false" customHeight="false" outlineLevel="0" collapsed="false">
      <c r="A355" s="36" t="n">
        <f aca="false">IF(B355=0,"",MAX($A$3:A354)+1)</f>
        <v>272</v>
      </c>
      <c r="B355" s="36" t="n">
        <f aca="false">IF(OR(M355="FLETE",M355="FLETE ENVIO GARANTIA",M355="FLETE RECOLECCION GARANTIA",M355="COMPENSACION"),0,1)</f>
        <v>1</v>
      </c>
      <c r="D355" s="10" t="s">
        <v>1443</v>
      </c>
      <c r="J355" s="0" t="s">
        <v>1444</v>
      </c>
      <c r="K355" s="0" t="s">
        <v>292</v>
      </c>
      <c r="L355" s="0" t="s">
        <v>1580</v>
      </c>
      <c r="M355" s="0" t="s">
        <v>1581</v>
      </c>
      <c r="N355" s="0" t="n">
        <v>1</v>
      </c>
      <c r="P355" s="0" t="s">
        <v>249</v>
      </c>
      <c r="Q355" s="0" t="s">
        <v>295</v>
      </c>
      <c r="R355" s="0" t="s">
        <v>1582</v>
      </c>
      <c r="V355" s="0" t="s">
        <v>1444</v>
      </c>
      <c r="W355" s="12" t="n">
        <v>0</v>
      </c>
      <c r="Y355" s="0" t="s">
        <v>178</v>
      </c>
      <c r="AG355" s="0" t="s">
        <v>11</v>
      </c>
      <c r="AL355" s="13" t="n">
        <v>53697.479</v>
      </c>
      <c r="AM355" s="14" t="n">
        <v>0</v>
      </c>
      <c r="AN355" s="13" t="n">
        <v>63900</v>
      </c>
      <c r="AO355" s="13" t="n">
        <v>10202.52</v>
      </c>
      <c r="AR355" s="0" t="s">
        <v>1583</v>
      </c>
      <c r="AZ355" s="0" t="s">
        <v>257</v>
      </c>
      <c r="BA355" s="0" t="s">
        <v>257</v>
      </c>
      <c r="BB355" s="0" t="s">
        <v>90</v>
      </c>
      <c r="BC355" s="0" t="s">
        <v>241</v>
      </c>
      <c r="BD355" s="15" t="s">
        <v>1451</v>
      </c>
      <c r="BE355" s="37" t="s">
        <v>186</v>
      </c>
    </row>
    <row r="356" customFormat="false" ht="16.4" hidden="false" customHeight="false" outlineLevel="0" collapsed="false">
      <c r="A356" s="36" t="n">
        <f aca="false">IF(B356=0,"",MAX($A$3:A355)+1)</f>
        <v>273</v>
      </c>
      <c r="B356" s="36" t="n">
        <f aca="false">IF(OR(M356="FLETE",M356="FLETE ENVIO GARANTIA",M356="FLETE RECOLECCION GARANTIA",M356="COMPENSACION"),0,1)</f>
        <v>1</v>
      </c>
      <c r="D356" s="10" t="s">
        <v>1443</v>
      </c>
      <c r="J356" s="0" t="s">
        <v>1444</v>
      </c>
      <c r="K356" s="0" t="s">
        <v>292</v>
      </c>
      <c r="L356" s="0" t="s">
        <v>1584</v>
      </c>
      <c r="M356" s="0" t="s">
        <v>1585</v>
      </c>
      <c r="N356" s="0" t="n">
        <v>1</v>
      </c>
      <c r="P356" s="0" t="s">
        <v>249</v>
      </c>
      <c r="Q356" s="0" t="s">
        <v>295</v>
      </c>
      <c r="R356" s="0" t="s">
        <v>1586</v>
      </c>
      <c r="V356" s="0" t="s">
        <v>1444</v>
      </c>
      <c r="W356" s="12" t="n">
        <v>0</v>
      </c>
      <c r="Y356" s="0" t="s">
        <v>178</v>
      </c>
      <c r="AG356" s="0" t="s">
        <v>11</v>
      </c>
      <c r="AL356" s="13" t="n">
        <v>43613.4454</v>
      </c>
      <c r="AM356" s="14" t="n">
        <v>0</v>
      </c>
      <c r="AN356" s="13" t="n">
        <v>51900.01</v>
      </c>
      <c r="AO356" s="13" t="n">
        <v>8286.56</v>
      </c>
      <c r="AR356" s="0" t="s">
        <v>1587</v>
      </c>
      <c r="AZ356" s="0" t="s">
        <v>257</v>
      </c>
      <c r="BA356" s="0" t="s">
        <v>257</v>
      </c>
      <c r="BB356" s="0" t="s">
        <v>90</v>
      </c>
      <c r="BC356" s="0" t="s">
        <v>241</v>
      </c>
      <c r="BD356" s="15" t="s">
        <v>1451</v>
      </c>
      <c r="BE356" s="37" t="s">
        <v>186</v>
      </c>
    </row>
    <row r="357" customFormat="false" ht="16.4" hidden="false" customHeight="false" outlineLevel="0" collapsed="false">
      <c r="A357" s="36" t="n">
        <f aca="false">IF(B357=0,"",MAX($A$3:A356)+1)</f>
        <v>274</v>
      </c>
      <c r="B357" s="36" t="n">
        <f aca="false">IF(OR(M357="FLETE",M357="FLETE ENVIO GARANTIA",M357="FLETE RECOLECCION GARANTIA",M357="COMPENSACION"),0,1)</f>
        <v>1</v>
      </c>
      <c r="D357" s="10" t="s">
        <v>1443</v>
      </c>
      <c r="J357" s="0" t="s">
        <v>1444</v>
      </c>
      <c r="K357" s="0" t="s">
        <v>292</v>
      </c>
      <c r="L357" s="0" t="s">
        <v>1588</v>
      </c>
      <c r="M357" s="0" t="s">
        <v>1589</v>
      </c>
      <c r="N357" s="0" t="n">
        <v>1</v>
      </c>
      <c r="P357" s="0" t="s">
        <v>249</v>
      </c>
      <c r="Q357" s="0" t="s">
        <v>295</v>
      </c>
      <c r="R357" s="0" t="s">
        <v>1590</v>
      </c>
      <c r="V357" s="0" t="s">
        <v>1444</v>
      </c>
      <c r="W357" s="12" t="n">
        <v>0</v>
      </c>
      <c r="Y357" s="0" t="s">
        <v>178</v>
      </c>
      <c r="AG357" s="0" t="s">
        <v>11</v>
      </c>
      <c r="AL357" s="13" t="n">
        <v>100756.3025</v>
      </c>
      <c r="AM357" s="14" t="n">
        <v>0</v>
      </c>
      <c r="AN357" s="13" t="n">
        <v>119900</v>
      </c>
      <c r="AO357" s="13" t="n">
        <v>19143.7</v>
      </c>
      <c r="AR357" s="0" t="s">
        <v>1591</v>
      </c>
      <c r="AZ357" s="0" t="s">
        <v>257</v>
      </c>
      <c r="BA357" s="0" t="s">
        <v>257</v>
      </c>
      <c r="BB357" s="0" t="s">
        <v>90</v>
      </c>
      <c r="BC357" s="0" t="s">
        <v>241</v>
      </c>
      <c r="BD357" s="15" t="s">
        <v>1451</v>
      </c>
      <c r="BE357" s="37" t="s">
        <v>186</v>
      </c>
    </row>
    <row r="358" customFormat="false" ht="16.4" hidden="false" customHeight="false" outlineLevel="0" collapsed="false">
      <c r="A358" s="36" t="n">
        <f aca="false">IF(B358=0,"",MAX($A$3:A357)+1)</f>
        <v>275</v>
      </c>
      <c r="B358" s="36" t="n">
        <f aca="false">IF(OR(M358="FLETE",M358="FLETE ENVIO GARANTIA",M358="FLETE RECOLECCION GARANTIA",M358="COMPENSACION"),0,1)</f>
        <v>1</v>
      </c>
      <c r="D358" s="10" t="s">
        <v>1443</v>
      </c>
      <c r="J358" s="0" t="s">
        <v>1444</v>
      </c>
      <c r="K358" s="0" t="s">
        <v>292</v>
      </c>
      <c r="L358" s="0" t="s">
        <v>1592</v>
      </c>
      <c r="M358" s="0" t="s">
        <v>1593</v>
      </c>
      <c r="N358" s="0" t="n">
        <v>1</v>
      </c>
      <c r="P358" s="0" t="s">
        <v>249</v>
      </c>
      <c r="Q358" s="0" t="s">
        <v>295</v>
      </c>
      <c r="R358" s="0" t="s">
        <v>1594</v>
      </c>
      <c r="V358" s="0" t="s">
        <v>1444</v>
      </c>
      <c r="W358" s="12" t="n">
        <v>0</v>
      </c>
      <c r="Y358" s="12" t="s">
        <v>178</v>
      </c>
      <c r="AG358" s="0" t="s">
        <v>11</v>
      </c>
      <c r="AL358" s="13" t="n">
        <v>51428.5714</v>
      </c>
      <c r="AM358" s="14" t="n">
        <v>0</v>
      </c>
      <c r="AN358" s="13" t="n">
        <v>61200</v>
      </c>
      <c r="AO358" s="13" t="n">
        <v>9771.43</v>
      </c>
      <c r="AR358" s="0" t="s">
        <v>1595</v>
      </c>
      <c r="AZ358" s="0" t="s">
        <v>257</v>
      </c>
      <c r="BA358" s="0" t="s">
        <v>257</v>
      </c>
      <c r="BB358" s="0" t="s">
        <v>90</v>
      </c>
      <c r="BC358" s="0" t="s">
        <v>241</v>
      </c>
      <c r="BD358" s="15" t="s">
        <v>1451</v>
      </c>
      <c r="BE358" s="37" t="s">
        <v>186</v>
      </c>
    </row>
    <row r="359" customFormat="false" ht="16.4" hidden="false" customHeight="false" outlineLevel="0" collapsed="false">
      <c r="A359" s="36" t="n">
        <f aca="false">IF(B359=0,"",MAX($A$3:A358)+1)</f>
        <v>276</v>
      </c>
      <c r="B359" s="36" t="n">
        <f aca="false">IF(OR(M359="FLETE",M359="FLETE ENVIO GARANTIA",M359="FLETE RECOLECCION GARANTIA",M359="COMPENSACION"),0,1)</f>
        <v>1</v>
      </c>
      <c r="D359" s="10" t="s">
        <v>1443</v>
      </c>
      <c r="J359" s="0" t="s">
        <v>1444</v>
      </c>
      <c r="K359" s="0" t="s">
        <v>292</v>
      </c>
      <c r="L359" s="0" t="s">
        <v>327</v>
      </c>
      <c r="M359" s="0" t="s">
        <v>328</v>
      </c>
      <c r="N359" s="0" t="n">
        <v>1</v>
      </c>
      <c r="P359" s="0" t="s">
        <v>249</v>
      </c>
      <c r="Q359" s="0" t="s">
        <v>295</v>
      </c>
      <c r="R359" s="0" t="s">
        <v>329</v>
      </c>
      <c r="V359" s="0" t="s">
        <v>1444</v>
      </c>
      <c r="W359" s="12" t="n">
        <v>0</v>
      </c>
      <c r="Y359" s="0" t="s">
        <v>178</v>
      </c>
      <c r="AG359" s="0" t="s">
        <v>11</v>
      </c>
      <c r="AL359" s="13" t="n">
        <v>41344.5378</v>
      </c>
      <c r="AM359" s="14" t="n">
        <v>0</v>
      </c>
      <c r="AN359" s="13" t="n">
        <v>49200</v>
      </c>
      <c r="AO359" s="13" t="n">
        <v>7855.46</v>
      </c>
      <c r="AR359" s="0" t="s">
        <v>1596</v>
      </c>
      <c r="AZ359" s="0" t="s">
        <v>257</v>
      </c>
      <c r="BA359" s="0" t="s">
        <v>257</v>
      </c>
      <c r="BB359" s="0" t="s">
        <v>90</v>
      </c>
      <c r="BC359" s="0" t="s">
        <v>241</v>
      </c>
      <c r="BD359" s="15" t="s">
        <v>1451</v>
      </c>
      <c r="BE359" s="37" t="s">
        <v>186</v>
      </c>
    </row>
    <row r="360" customFormat="false" ht="16.4" hidden="false" customHeight="false" outlineLevel="0" collapsed="false">
      <c r="A360" s="36" t="n">
        <f aca="false">IF(B360=0,"",MAX($A$3:A359)+1)</f>
        <v>277</v>
      </c>
      <c r="B360" s="36" t="n">
        <f aca="false">IF(OR(M360="FLETE",M360="FLETE ENVIO GARANTIA",M360="FLETE RECOLECCION GARANTIA",M360="COMPENSACION"),0,1)</f>
        <v>1</v>
      </c>
      <c r="D360" s="10" t="s">
        <v>1443</v>
      </c>
      <c r="J360" s="0" t="s">
        <v>1444</v>
      </c>
      <c r="K360" s="0" t="s">
        <v>292</v>
      </c>
      <c r="L360" s="0" t="s">
        <v>1597</v>
      </c>
      <c r="M360" s="0" t="s">
        <v>1598</v>
      </c>
      <c r="N360" s="0" t="n">
        <v>1</v>
      </c>
      <c r="P360" s="0" t="s">
        <v>249</v>
      </c>
      <c r="Q360" s="0" t="s">
        <v>295</v>
      </c>
      <c r="R360" s="0" t="s">
        <v>1599</v>
      </c>
      <c r="V360" s="0" t="s">
        <v>1444</v>
      </c>
      <c r="W360" s="12" t="n">
        <v>0</v>
      </c>
      <c r="Y360" s="12" t="s">
        <v>178</v>
      </c>
      <c r="AG360" s="0" t="s">
        <v>11</v>
      </c>
      <c r="AL360" s="13" t="n">
        <v>25126.0504</v>
      </c>
      <c r="AM360" s="14" t="n">
        <v>0</v>
      </c>
      <c r="AN360" s="13" t="n">
        <v>29900</v>
      </c>
      <c r="AO360" s="13" t="n">
        <v>4773.95</v>
      </c>
      <c r="AR360" s="0" t="s">
        <v>1600</v>
      </c>
      <c r="AZ360" s="0" t="s">
        <v>257</v>
      </c>
      <c r="BA360" s="0" t="s">
        <v>257</v>
      </c>
      <c r="BB360" s="0" t="s">
        <v>90</v>
      </c>
      <c r="BC360" s="0" t="s">
        <v>241</v>
      </c>
      <c r="BD360" s="15" t="s">
        <v>1451</v>
      </c>
      <c r="BE360" s="37" t="s">
        <v>186</v>
      </c>
    </row>
    <row r="361" customFormat="false" ht="16.4" hidden="false" customHeight="false" outlineLevel="0" collapsed="false">
      <c r="A361" s="36" t="n">
        <f aca="false">IF(B361=0,"",MAX($A$3:A360)+1)</f>
        <v>278</v>
      </c>
      <c r="B361" s="36" t="n">
        <f aca="false">IF(OR(M361="FLETE",M361="FLETE ENVIO GARANTIA",M361="FLETE RECOLECCION GARANTIA",M361="COMPENSACION"),0,1)</f>
        <v>1</v>
      </c>
      <c r="D361" s="10" t="s">
        <v>1443</v>
      </c>
      <c r="J361" s="0" t="s">
        <v>1444</v>
      </c>
      <c r="K361" s="0" t="s">
        <v>292</v>
      </c>
      <c r="L361" s="0" t="s">
        <v>1601</v>
      </c>
      <c r="M361" s="0" t="s">
        <v>1602</v>
      </c>
      <c r="N361" s="0" t="n">
        <v>1</v>
      </c>
      <c r="P361" s="0" t="s">
        <v>249</v>
      </c>
      <c r="Q361" s="0" t="s">
        <v>295</v>
      </c>
      <c r="R361" s="0" t="s">
        <v>1603</v>
      </c>
      <c r="V361" s="0" t="s">
        <v>1444</v>
      </c>
      <c r="W361" s="12" t="n">
        <v>0</v>
      </c>
      <c r="Y361" s="0" t="s">
        <v>178</v>
      </c>
      <c r="AG361" s="0" t="s">
        <v>11</v>
      </c>
      <c r="AL361" s="13" t="n">
        <v>96302.521</v>
      </c>
      <c r="AM361" s="14" t="n">
        <v>0</v>
      </c>
      <c r="AN361" s="13" t="n">
        <v>114600</v>
      </c>
      <c r="AO361" s="13" t="n">
        <v>18297.48</v>
      </c>
      <c r="AR361" s="0" t="s">
        <v>1604</v>
      </c>
      <c r="AZ361" s="0" t="s">
        <v>257</v>
      </c>
      <c r="BA361" s="0" t="s">
        <v>257</v>
      </c>
      <c r="BB361" s="0" t="s">
        <v>90</v>
      </c>
      <c r="BC361" s="0" t="s">
        <v>241</v>
      </c>
      <c r="BD361" s="15" t="s">
        <v>1451</v>
      </c>
      <c r="BE361" s="37" t="s">
        <v>186</v>
      </c>
    </row>
    <row r="362" customFormat="false" ht="16.4" hidden="false" customHeight="false" outlineLevel="0" collapsed="false">
      <c r="A362" s="36" t="n">
        <f aca="false">IF(B362=0,"",MAX($A$3:A361)+1)</f>
        <v>279</v>
      </c>
      <c r="B362" s="36" t="n">
        <f aca="false">IF(OR(M362="FLETE",M362="FLETE ENVIO GARANTIA",M362="FLETE RECOLECCION GARANTIA",M362="COMPENSACION"),0,1)</f>
        <v>1</v>
      </c>
      <c r="D362" s="10" t="s">
        <v>1443</v>
      </c>
      <c r="J362" s="0" t="s">
        <v>1444</v>
      </c>
      <c r="K362" s="0" t="s">
        <v>292</v>
      </c>
      <c r="L362" s="0" t="s">
        <v>1605</v>
      </c>
      <c r="M362" s="0" t="s">
        <v>1606</v>
      </c>
      <c r="N362" s="0" t="n">
        <v>1</v>
      </c>
      <c r="P362" s="0" t="s">
        <v>249</v>
      </c>
      <c r="Q362" s="0" t="s">
        <v>295</v>
      </c>
      <c r="R362" s="0" t="s">
        <v>1607</v>
      </c>
      <c r="V362" s="0" t="s">
        <v>1444</v>
      </c>
      <c r="W362" s="12" t="n">
        <v>0</v>
      </c>
      <c r="Y362" s="12" t="s">
        <v>178</v>
      </c>
      <c r="AG362" s="0" t="s">
        <v>11</v>
      </c>
      <c r="AL362" s="13" t="n">
        <v>51428.5714</v>
      </c>
      <c r="AM362" s="14" t="n">
        <v>0</v>
      </c>
      <c r="AN362" s="13" t="n">
        <v>61200</v>
      </c>
      <c r="AO362" s="13" t="n">
        <v>9771.43</v>
      </c>
      <c r="AR362" s="0" t="s">
        <v>1608</v>
      </c>
      <c r="AZ362" s="0" t="s">
        <v>257</v>
      </c>
      <c r="BA362" s="0" t="s">
        <v>257</v>
      </c>
      <c r="BB362" s="0" t="s">
        <v>90</v>
      </c>
      <c r="BC362" s="0" t="s">
        <v>241</v>
      </c>
      <c r="BD362" s="15" t="s">
        <v>1451</v>
      </c>
      <c r="BE362" s="37" t="s">
        <v>186</v>
      </c>
    </row>
    <row r="363" customFormat="false" ht="16.4" hidden="false" customHeight="false" outlineLevel="0" collapsed="false">
      <c r="A363" s="36" t="n">
        <f aca="false">IF(B363=0,"",MAX($A$3:A362)+1)</f>
        <v>280</v>
      </c>
      <c r="B363" s="36" t="n">
        <f aca="false">IF(OR(M363="FLETE",M363="FLETE ENVIO GARANTIA",M363="FLETE RECOLECCION GARANTIA",M363="COMPENSACION"),0,1)</f>
        <v>1</v>
      </c>
      <c r="D363" s="10" t="s">
        <v>1443</v>
      </c>
      <c r="J363" s="0" t="s">
        <v>1444</v>
      </c>
      <c r="K363" s="0" t="s">
        <v>292</v>
      </c>
      <c r="L363" s="0" t="s">
        <v>1609</v>
      </c>
      <c r="M363" s="0" t="s">
        <v>1610</v>
      </c>
      <c r="N363" s="0" t="n">
        <v>1</v>
      </c>
      <c r="P363" s="0" t="s">
        <v>249</v>
      </c>
      <c r="Q363" s="0" t="s">
        <v>295</v>
      </c>
      <c r="R363" s="0" t="s">
        <v>1611</v>
      </c>
      <c r="V363" s="0" t="s">
        <v>1444</v>
      </c>
      <c r="W363" s="12" t="n">
        <v>0</v>
      </c>
      <c r="Y363" s="0" t="s">
        <v>178</v>
      </c>
      <c r="AG363" s="0" t="s">
        <v>11</v>
      </c>
      <c r="AL363" s="13" t="n">
        <v>41344.5378</v>
      </c>
      <c r="AM363" s="14" t="n">
        <v>0</v>
      </c>
      <c r="AN363" s="13" t="n">
        <v>49200</v>
      </c>
      <c r="AO363" s="13" t="n">
        <v>7855.46</v>
      </c>
      <c r="AR363" s="0" t="s">
        <v>1612</v>
      </c>
      <c r="AZ363" s="0" t="s">
        <v>257</v>
      </c>
      <c r="BA363" s="0" t="s">
        <v>257</v>
      </c>
      <c r="BB363" s="0" t="s">
        <v>90</v>
      </c>
      <c r="BC363" s="0" t="s">
        <v>241</v>
      </c>
      <c r="BD363" s="15" t="s">
        <v>1451</v>
      </c>
      <c r="BE363" s="37" t="s">
        <v>186</v>
      </c>
    </row>
    <row r="364" customFormat="false" ht="16.4" hidden="false" customHeight="false" outlineLevel="0" collapsed="false">
      <c r="A364" s="36" t="n">
        <f aca="false">IF(B364=0,"",MAX($A$3:A363)+1)</f>
        <v>281</v>
      </c>
      <c r="B364" s="36" t="n">
        <f aca="false">IF(OR(M364="FLETE",M364="FLETE ENVIO GARANTIA",M364="FLETE RECOLECCION GARANTIA",M364="COMPENSACION"),0,1)</f>
        <v>1</v>
      </c>
      <c r="D364" s="10" t="s">
        <v>1443</v>
      </c>
      <c r="J364" s="0" t="s">
        <v>1444</v>
      </c>
      <c r="K364" s="0" t="s">
        <v>292</v>
      </c>
      <c r="L364" s="0" t="s">
        <v>1613</v>
      </c>
      <c r="M364" s="0" t="s">
        <v>1614</v>
      </c>
      <c r="N364" s="0" t="n">
        <v>1</v>
      </c>
      <c r="P364" s="0" t="s">
        <v>249</v>
      </c>
      <c r="Q364" s="0" t="s">
        <v>295</v>
      </c>
      <c r="R364" s="0" t="s">
        <v>1615</v>
      </c>
      <c r="V364" s="0" t="s">
        <v>1444</v>
      </c>
      <c r="W364" s="12" t="n">
        <v>0</v>
      </c>
      <c r="Y364" s="12" t="s">
        <v>178</v>
      </c>
      <c r="AG364" s="0" t="s">
        <v>11</v>
      </c>
      <c r="AL364" s="13" t="n">
        <v>23445.3782</v>
      </c>
      <c r="AM364" s="14" t="n">
        <v>0</v>
      </c>
      <c r="AN364" s="13" t="n">
        <v>27900</v>
      </c>
      <c r="AO364" s="13" t="n">
        <v>4454.62</v>
      </c>
      <c r="AR364" s="0" t="s">
        <v>1616</v>
      </c>
      <c r="AZ364" s="0" t="s">
        <v>257</v>
      </c>
      <c r="BA364" s="0" t="s">
        <v>257</v>
      </c>
      <c r="BB364" s="0" t="s">
        <v>90</v>
      </c>
      <c r="BC364" s="0" t="s">
        <v>241</v>
      </c>
      <c r="BD364" s="15" t="s">
        <v>1451</v>
      </c>
      <c r="BE364" s="37" t="s">
        <v>186</v>
      </c>
    </row>
    <row r="365" customFormat="false" ht="16.4" hidden="false" customHeight="false" outlineLevel="0" collapsed="false">
      <c r="A365" s="36" t="n">
        <f aca="false">IF(B365=0,"",MAX($A$3:A364)+1)</f>
        <v>282</v>
      </c>
      <c r="B365" s="36" t="n">
        <f aca="false">IF(OR(M365="FLETE",M365="FLETE ENVIO GARANTIA",M365="FLETE RECOLECCION GARANTIA",M365="COMPENSACION"),0,1)</f>
        <v>1</v>
      </c>
      <c r="D365" s="10" t="s">
        <v>1443</v>
      </c>
      <c r="J365" s="0" t="s">
        <v>1444</v>
      </c>
      <c r="K365" s="0" t="s">
        <v>292</v>
      </c>
      <c r="L365" s="0" t="s">
        <v>1617</v>
      </c>
      <c r="M365" s="0" t="s">
        <v>1618</v>
      </c>
      <c r="N365" s="0" t="n">
        <v>1</v>
      </c>
      <c r="P365" s="0" t="s">
        <v>249</v>
      </c>
      <c r="Q365" s="0" t="s">
        <v>295</v>
      </c>
      <c r="R365" s="0" t="s">
        <v>1619</v>
      </c>
      <c r="V365" s="0" t="s">
        <v>1444</v>
      </c>
      <c r="W365" s="12" t="n">
        <v>0</v>
      </c>
      <c r="Y365" s="12" t="s">
        <v>178</v>
      </c>
      <c r="AG365" s="0" t="s">
        <v>11</v>
      </c>
      <c r="AL365" s="13" t="n">
        <v>43613.4454</v>
      </c>
      <c r="AM365" s="14" t="n">
        <v>0</v>
      </c>
      <c r="AN365" s="13" t="n">
        <v>51900.01</v>
      </c>
      <c r="AO365" s="13" t="n">
        <v>8286.56</v>
      </c>
      <c r="AR365" s="0" t="s">
        <v>1620</v>
      </c>
      <c r="AZ365" s="0" t="s">
        <v>257</v>
      </c>
      <c r="BA365" s="0" t="s">
        <v>257</v>
      </c>
      <c r="BB365" s="0" t="s">
        <v>90</v>
      </c>
      <c r="BC365" s="0" t="s">
        <v>241</v>
      </c>
      <c r="BD365" s="15" t="s">
        <v>1451</v>
      </c>
      <c r="BE365" s="37" t="s">
        <v>186</v>
      </c>
    </row>
    <row r="366" customFormat="false" ht="16.4" hidden="false" customHeight="false" outlineLevel="0" collapsed="false">
      <c r="A366" s="36" t="n">
        <f aca="false">IF(B366=0,"",MAX($A$3:A365)+1)</f>
        <v>283</v>
      </c>
      <c r="B366" s="36" t="n">
        <f aca="false">IF(OR(M366="FLETE",M366="FLETE ENVIO GARANTIA",M366="FLETE RECOLECCION GARANTIA",M366="COMPENSACION"),0,1)</f>
        <v>1</v>
      </c>
      <c r="D366" s="10" t="s">
        <v>1443</v>
      </c>
      <c r="J366" s="0" t="s">
        <v>1444</v>
      </c>
      <c r="K366" s="0" t="s">
        <v>292</v>
      </c>
      <c r="L366" s="0" t="s">
        <v>1621</v>
      </c>
      <c r="M366" s="0" t="s">
        <v>1622</v>
      </c>
      <c r="N366" s="0" t="n">
        <v>1</v>
      </c>
      <c r="P366" s="0" t="s">
        <v>249</v>
      </c>
      <c r="Q366" s="0" t="s">
        <v>295</v>
      </c>
      <c r="R366" s="0" t="s">
        <v>1623</v>
      </c>
      <c r="V366" s="0" t="s">
        <v>1444</v>
      </c>
      <c r="W366" s="12" t="n">
        <v>0</v>
      </c>
      <c r="Y366" s="12" t="s">
        <v>178</v>
      </c>
      <c r="AG366" s="0" t="s">
        <v>11</v>
      </c>
      <c r="AL366" s="13" t="n">
        <v>25126.0504</v>
      </c>
      <c r="AM366" s="14" t="n">
        <v>0</v>
      </c>
      <c r="AN366" s="13" t="n">
        <v>29900</v>
      </c>
      <c r="AO366" s="13" t="n">
        <v>4773.95</v>
      </c>
      <c r="AR366" s="0" t="s">
        <v>1624</v>
      </c>
      <c r="AZ366" s="0" t="s">
        <v>257</v>
      </c>
      <c r="BA366" s="0" t="s">
        <v>257</v>
      </c>
      <c r="BB366" s="0" t="s">
        <v>90</v>
      </c>
      <c r="BC366" s="0" t="s">
        <v>241</v>
      </c>
      <c r="BD366" s="15" t="s">
        <v>1451</v>
      </c>
      <c r="BE366" s="37" t="s">
        <v>186</v>
      </c>
    </row>
    <row r="367" customFormat="false" ht="16.4" hidden="false" customHeight="false" outlineLevel="0" collapsed="false">
      <c r="A367" s="36" t="n">
        <f aca="false">IF(B367=0,"",MAX($A$3:A366)+1)</f>
        <v>284</v>
      </c>
      <c r="B367" s="36" t="n">
        <f aca="false">IF(OR(M367="FLETE",M367="FLETE ENVIO GARANTIA",M367="FLETE RECOLECCION GARANTIA",M367="COMPENSACION"),0,1)</f>
        <v>1</v>
      </c>
      <c r="C367" s="0" t="s">
        <v>1625</v>
      </c>
      <c r="D367" s="10" t="s">
        <v>1626</v>
      </c>
      <c r="E367" s="11" t="n">
        <v>45697</v>
      </c>
      <c r="F367" s="11" t="n">
        <v>45714</v>
      </c>
      <c r="G367" s="11" t="n">
        <v>45719</v>
      </c>
      <c r="H367" s="11" t="n">
        <v>45716</v>
      </c>
      <c r="I367" s="11" t="n">
        <v>45716</v>
      </c>
      <c r="J367" s="0" t="s">
        <v>1627</v>
      </c>
      <c r="K367" s="0" t="s">
        <v>153</v>
      </c>
      <c r="L367" s="0" t="s">
        <v>1628</v>
      </c>
      <c r="M367" s="0" t="s">
        <v>1629</v>
      </c>
      <c r="N367" s="0" t="n">
        <v>2</v>
      </c>
      <c r="P367" s="0" t="s">
        <v>138</v>
      </c>
      <c r="Q367" s="0" t="s">
        <v>156</v>
      </c>
      <c r="R367" s="0" t="s">
        <v>1630</v>
      </c>
      <c r="S367" s="0" t="s">
        <v>591</v>
      </c>
      <c r="T367" s="0" t="s">
        <v>667</v>
      </c>
      <c r="U367" s="0" t="s">
        <v>160</v>
      </c>
      <c r="V367" s="0" t="s">
        <v>1631</v>
      </c>
      <c r="W367" s="12" t="n">
        <v>0</v>
      </c>
      <c r="Y367" s="0" t="s">
        <v>178</v>
      </c>
      <c r="Z367" s="0" t="s">
        <v>179</v>
      </c>
      <c r="AB367" s="0" t="n">
        <v>1019007909</v>
      </c>
      <c r="AC367" s="0" t="s">
        <v>1632</v>
      </c>
      <c r="AD367" s="0" t="s">
        <v>1633</v>
      </c>
      <c r="AG367" s="0" t="s">
        <v>11</v>
      </c>
      <c r="AH367" s="0" t="n">
        <v>7</v>
      </c>
      <c r="AI367" s="0" t="s">
        <v>1634</v>
      </c>
      <c r="AK367" s="0" t="s">
        <v>85</v>
      </c>
      <c r="AL367" s="13" t="n">
        <v>509159.6639</v>
      </c>
      <c r="AM367" s="14" t="n">
        <v>25</v>
      </c>
      <c r="AN367" s="13" t="n">
        <v>908850.01</v>
      </c>
      <c r="AO367" s="13" t="n">
        <v>145110.51</v>
      </c>
      <c r="AP367" s="0" t="s">
        <v>1635</v>
      </c>
      <c r="AQ367" s="0" t="s">
        <v>1636</v>
      </c>
      <c r="AR367" s="0" t="s">
        <v>1637</v>
      </c>
      <c r="AS367" s="0" t="n">
        <v>3603994.45</v>
      </c>
      <c r="AT367" s="0" t="s">
        <v>1632</v>
      </c>
      <c r="AU367" s="0" t="s">
        <v>178</v>
      </c>
      <c r="AW367" s="0" t="s">
        <v>1633</v>
      </c>
      <c r="AX367" s="0" t="s">
        <v>1631</v>
      </c>
      <c r="AY367" s="0" t="n">
        <v>1019007909</v>
      </c>
      <c r="AZ367" s="0" t="s">
        <v>89</v>
      </c>
      <c r="BA367" s="0" t="s">
        <v>89</v>
      </c>
      <c r="BB367" s="0" t="s">
        <v>90</v>
      </c>
      <c r="BC367" s="0" t="s">
        <v>150</v>
      </c>
      <c r="BD367" s="15" t="s">
        <v>1638</v>
      </c>
      <c r="BE367" s="37" t="s">
        <v>186</v>
      </c>
    </row>
    <row r="368" customFormat="false" ht="16.4" hidden="false" customHeight="false" outlineLevel="0" collapsed="false">
      <c r="A368" s="36" t="n">
        <f aca="false">IF(B368=0,"",MAX($A$3:A367)+1)</f>
        <v>285</v>
      </c>
      <c r="B368" s="36" t="n">
        <f aca="false">IF(OR(M368="FLETE",M368="FLETE ENVIO GARANTIA",M368="FLETE RECOLECCION GARANTIA",M368="COMPENSACION"),0,1)</f>
        <v>1</v>
      </c>
      <c r="D368" s="10" t="s">
        <v>1626</v>
      </c>
      <c r="J368" s="0" t="s">
        <v>1627</v>
      </c>
      <c r="K368" s="0" t="s">
        <v>214</v>
      </c>
      <c r="L368" s="0" t="s">
        <v>1639</v>
      </c>
      <c r="M368" s="0" t="s">
        <v>1640</v>
      </c>
      <c r="N368" s="0" t="n">
        <v>1</v>
      </c>
      <c r="P368" s="0" t="s">
        <v>217</v>
      </c>
      <c r="Q368" s="0" t="s">
        <v>218</v>
      </c>
      <c r="R368" s="0" t="s">
        <v>855</v>
      </c>
      <c r="S368" s="0" t="s">
        <v>591</v>
      </c>
      <c r="T368" s="0" t="s">
        <v>667</v>
      </c>
      <c r="U368" s="0" t="s">
        <v>160</v>
      </c>
      <c r="V368" s="0" t="s">
        <v>1631</v>
      </c>
      <c r="W368" s="12" t="n">
        <v>0</v>
      </c>
      <c r="Y368" s="12" t="s">
        <v>178</v>
      </c>
      <c r="AG368" s="0" t="s">
        <v>11</v>
      </c>
      <c r="AL368" s="13" t="n">
        <v>1512521.0084</v>
      </c>
      <c r="AM368" s="14" t="n">
        <v>45</v>
      </c>
      <c r="AN368" s="13" t="n">
        <v>989944.99</v>
      </c>
      <c r="AO368" s="13" t="n">
        <v>158058.44</v>
      </c>
      <c r="AR368" s="0" t="s">
        <v>1641</v>
      </c>
      <c r="AZ368" s="0" t="s">
        <v>89</v>
      </c>
      <c r="BA368" s="0" t="s">
        <v>89</v>
      </c>
      <c r="BB368" s="0" t="s">
        <v>90</v>
      </c>
      <c r="BC368" s="0" t="s">
        <v>150</v>
      </c>
      <c r="BD368" s="15" t="s">
        <v>1638</v>
      </c>
      <c r="BE368" s="37" t="s">
        <v>186</v>
      </c>
    </row>
    <row r="369" customFormat="false" ht="16.4" hidden="false" customHeight="false" outlineLevel="0" collapsed="false">
      <c r="A369" s="36" t="n">
        <f aca="false">IF(B369=0,"",MAX($A$3:A368)+1)</f>
        <v>286</v>
      </c>
      <c r="B369" s="36" t="n">
        <f aca="false">IF(OR(M369="FLETE",M369="FLETE ENVIO GARANTIA",M369="FLETE RECOLECCION GARANTIA",M369="COMPENSACION"),0,1)</f>
        <v>1</v>
      </c>
      <c r="D369" s="10" t="s">
        <v>1626</v>
      </c>
      <c r="J369" s="0" t="s">
        <v>1627</v>
      </c>
      <c r="K369" s="0" t="s">
        <v>479</v>
      </c>
      <c r="L369" s="0" t="s">
        <v>1642</v>
      </c>
      <c r="M369" s="0" t="s">
        <v>1643</v>
      </c>
      <c r="N369" s="0" t="n">
        <v>1</v>
      </c>
      <c r="P369" s="0" t="s">
        <v>217</v>
      </c>
      <c r="Q369" s="0" t="s">
        <v>482</v>
      </c>
      <c r="R369" s="0" t="s">
        <v>855</v>
      </c>
      <c r="S369" s="0" t="s">
        <v>591</v>
      </c>
      <c r="T369" s="0" t="s">
        <v>592</v>
      </c>
      <c r="U369" s="0" t="s">
        <v>160</v>
      </c>
      <c r="V369" s="0" t="s">
        <v>1631</v>
      </c>
      <c r="W369" s="12" t="n">
        <v>0</v>
      </c>
      <c r="Y369" s="0" t="s">
        <v>178</v>
      </c>
      <c r="AG369" s="0" t="s">
        <v>11</v>
      </c>
      <c r="AL369" s="13" t="n">
        <v>560420.1681</v>
      </c>
      <c r="AM369" s="14" t="n">
        <v>25</v>
      </c>
      <c r="AN369" s="13" t="n">
        <v>500175</v>
      </c>
      <c r="AO369" s="13" t="n">
        <v>79859.87</v>
      </c>
      <c r="AR369" s="0" t="s">
        <v>1644</v>
      </c>
      <c r="AZ369" s="0" t="s">
        <v>89</v>
      </c>
      <c r="BA369" s="0" t="s">
        <v>89</v>
      </c>
      <c r="BB369" s="0" t="s">
        <v>90</v>
      </c>
      <c r="BC369" s="0" t="s">
        <v>150</v>
      </c>
      <c r="BD369" s="15" t="s">
        <v>1638</v>
      </c>
      <c r="BE369" s="37" t="s">
        <v>186</v>
      </c>
    </row>
    <row r="370" customFormat="false" ht="16.4" hidden="false" customHeight="false" outlineLevel="0" collapsed="false">
      <c r="A370" s="36" t="n">
        <f aca="false">IF(B370=0,"",MAX($A$3:A369)+1)</f>
        <v>287</v>
      </c>
      <c r="B370" s="36" t="n">
        <f aca="false">IF(OR(M370="FLETE",M370="FLETE ENVIO GARANTIA",M370="FLETE RECOLECCION GARANTIA",M370="COMPENSACION"),0,1)</f>
        <v>1</v>
      </c>
      <c r="D370" s="10" t="s">
        <v>1626</v>
      </c>
      <c r="J370" s="0" t="s">
        <v>1627</v>
      </c>
      <c r="K370" s="0" t="s">
        <v>529</v>
      </c>
      <c r="L370" s="0" t="s">
        <v>1645</v>
      </c>
      <c r="M370" s="0" t="s">
        <v>1646</v>
      </c>
      <c r="N370" s="0" t="n">
        <v>1</v>
      </c>
      <c r="P370" s="0" t="s">
        <v>217</v>
      </c>
      <c r="Q370" s="0" t="s">
        <v>541</v>
      </c>
      <c r="R370" s="0" t="s">
        <v>868</v>
      </c>
      <c r="T370" s="0" t="s">
        <v>141</v>
      </c>
      <c r="U370" s="0" t="s">
        <v>160</v>
      </c>
      <c r="V370" s="0" t="s">
        <v>1631</v>
      </c>
      <c r="W370" s="12" t="n">
        <v>0</v>
      </c>
      <c r="Y370" s="0" t="s">
        <v>178</v>
      </c>
      <c r="AG370" s="0" t="s">
        <v>11</v>
      </c>
      <c r="AL370" s="13" t="n">
        <v>209159.6639</v>
      </c>
      <c r="AM370" s="14" t="n">
        <v>25</v>
      </c>
      <c r="AN370" s="13" t="n">
        <v>186675</v>
      </c>
      <c r="AO370" s="13" t="n">
        <v>29805.25</v>
      </c>
      <c r="AR370" s="0" t="s">
        <v>1647</v>
      </c>
      <c r="AZ370" s="0" t="s">
        <v>89</v>
      </c>
      <c r="BA370" s="0" t="s">
        <v>89</v>
      </c>
      <c r="BB370" s="0" t="s">
        <v>90</v>
      </c>
      <c r="BC370" s="0" t="s">
        <v>150</v>
      </c>
      <c r="BD370" s="15" t="s">
        <v>1638</v>
      </c>
      <c r="BE370" s="37" t="s">
        <v>186</v>
      </c>
    </row>
    <row r="371" customFormat="false" ht="16.4" hidden="false" customHeight="false" outlineLevel="0" collapsed="false">
      <c r="A371" s="36" t="n">
        <f aca="false">IF(B371=0,"",MAX($A$3:A370)+1)</f>
        <v>288</v>
      </c>
      <c r="B371" s="36" t="n">
        <f aca="false">IF(OR(M371="FLETE",M371="FLETE ENVIO GARANTIA",M371="FLETE RECOLECCION GARANTIA",M371="COMPENSACION"),0,1)</f>
        <v>1</v>
      </c>
      <c r="D371" s="10" t="s">
        <v>1626</v>
      </c>
      <c r="J371" s="0" t="s">
        <v>1627</v>
      </c>
      <c r="K371" s="0" t="s">
        <v>697</v>
      </c>
      <c r="L371" s="0" t="s">
        <v>1648</v>
      </c>
      <c r="M371" s="0" t="s">
        <v>1649</v>
      </c>
      <c r="N371" s="0" t="n">
        <v>2</v>
      </c>
      <c r="P371" s="0" t="s">
        <v>195</v>
      </c>
      <c r="Q371" s="0" t="s">
        <v>700</v>
      </c>
      <c r="R371" s="0" t="s">
        <v>1650</v>
      </c>
      <c r="T371" s="0" t="s">
        <v>1651</v>
      </c>
      <c r="V371" s="0" t="s">
        <v>1631</v>
      </c>
      <c r="W371" s="12" t="n">
        <v>0</v>
      </c>
      <c r="Y371" s="0" t="s">
        <v>178</v>
      </c>
      <c r="AG371" s="0" t="s">
        <v>11</v>
      </c>
      <c r="AL371" s="13" t="n">
        <v>503277</v>
      </c>
      <c r="AM371" s="14" t="n">
        <v>25</v>
      </c>
      <c r="AN371" s="13" t="n">
        <v>898349.45</v>
      </c>
      <c r="AO371" s="13" t="n">
        <v>143433.95</v>
      </c>
      <c r="AR371" s="0" t="s">
        <v>1652</v>
      </c>
      <c r="AZ371" s="0" t="s">
        <v>89</v>
      </c>
      <c r="BA371" s="0" t="s">
        <v>89</v>
      </c>
      <c r="BB371" s="0" t="s">
        <v>90</v>
      </c>
      <c r="BC371" s="0" t="s">
        <v>150</v>
      </c>
      <c r="BD371" s="15" t="s">
        <v>1638</v>
      </c>
      <c r="BE371" s="37" t="s">
        <v>186</v>
      </c>
    </row>
    <row r="372" customFormat="false" ht="16.4" hidden="false" customHeight="false" outlineLevel="0" collapsed="false">
      <c r="A372" s="36" t="str">
        <f aca="false">IF(B372=0,"",MAX($A$3:A371)+1)</f>
        <v/>
      </c>
      <c r="B372" s="36" t="n">
        <f aca="false">IF(OR(M372="FLETE",M372="FLETE ENVIO GARANTIA",M372="FLETE RECOLECCION GARANTIA",M372="COMPENSACION"),0,1)</f>
        <v>0</v>
      </c>
      <c r="D372" s="10" t="s">
        <v>1626</v>
      </c>
      <c r="J372" s="0" t="s">
        <v>1627</v>
      </c>
      <c r="K372" s="0" t="s">
        <v>93</v>
      </c>
      <c r="L372" s="0" t="s">
        <v>210</v>
      </c>
      <c r="M372" s="0" t="s">
        <v>211</v>
      </c>
      <c r="N372" s="0" t="n">
        <v>1</v>
      </c>
      <c r="P372" s="0" t="s">
        <v>73</v>
      </c>
      <c r="R372" s="0" t="s">
        <v>211</v>
      </c>
      <c r="V372" s="0" t="s">
        <v>1631</v>
      </c>
      <c r="W372" s="12" t="n">
        <v>0</v>
      </c>
      <c r="Y372" s="12" t="s">
        <v>178</v>
      </c>
      <c r="AG372" s="0" t="s">
        <v>11</v>
      </c>
      <c r="AL372" s="13" t="n">
        <v>120000</v>
      </c>
      <c r="AM372" s="14" t="n">
        <v>0</v>
      </c>
      <c r="AN372" s="13" t="n">
        <v>120000</v>
      </c>
      <c r="AO372" s="13" t="n">
        <v>0</v>
      </c>
      <c r="AR372" s="0" t="s">
        <v>1653</v>
      </c>
      <c r="AZ372" s="0" t="s">
        <v>89</v>
      </c>
      <c r="BA372" s="0" t="s">
        <v>89</v>
      </c>
      <c r="BB372" s="0" t="s">
        <v>90</v>
      </c>
      <c r="BC372" s="0" t="s">
        <v>150</v>
      </c>
      <c r="BD372" s="15" t="s">
        <v>1638</v>
      </c>
      <c r="BE372" s="37" t="s">
        <v>186</v>
      </c>
    </row>
    <row r="373" customFormat="false" ht="16.4" hidden="false" customHeight="false" outlineLevel="0" collapsed="false">
      <c r="A373" s="36" t="n">
        <f aca="false">IF(B373=0,"",MAX($A$3:A372)+1)</f>
        <v>289</v>
      </c>
      <c r="B373" s="36" t="n">
        <f aca="false">IF(OR(M373="FLETE",M373="FLETE ENVIO GARANTIA",M373="FLETE RECOLECCION GARANTIA",M373="COMPENSACION"),0,1)</f>
        <v>1</v>
      </c>
      <c r="C373" s="0" t="s">
        <v>1654</v>
      </c>
      <c r="D373" s="10" t="s">
        <v>1655</v>
      </c>
      <c r="E373" s="11" t="n">
        <v>45697</v>
      </c>
      <c r="F373" s="11" t="n">
        <v>45715</v>
      </c>
      <c r="G373" s="11" t="n">
        <v>45719</v>
      </c>
      <c r="H373" s="11" t="n">
        <v>45716</v>
      </c>
      <c r="I373" s="11" t="n">
        <v>45716</v>
      </c>
      <c r="J373" s="0" t="s">
        <v>1369</v>
      </c>
      <c r="K373" s="0" t="s">
        <v>214</v>
      </c>
      <c r="L373" s="0" t="s">
        <v>1656</v>
      </c>
      <c r="M373" s="0" t="s">
        <v>1657</v>
      </c>
      <c r="N373" s="0" t="n">
        <v>1</v>
      </c>
      <c r="P373" s="0" t="s">
        <v>217</v>
      </c>
      <c r="Q373" s="0" t="s">
        <v>218</v>
      </c>
      <c r="R373" s="0" t="s">
        <v>1658</v>
      </c>
      <c r="S373" s="0" t="s">
        <v>158</v>
      </c>
      <c r="T373" s="0" t="s">
        <v>513</v>
      </c>
      <c r="U373" s="0" t="s">
        <v>160</v>
      </c>
      <c r="V373" s="0" t="s">
        <v>1659</v>
      </c>
      <c r="W373" s="12" t="n">
        <v>0</v>
      </c>
      <c r="Y373" s="0" t="s">
        <v>178</v>
      </c>
      <c r="Z373" s="0" t="s">
        <v>179</v>
      </c>
      <c r="AB373" s="0" t="n">
        <v>1019086675</v>
      </c>
      <c r="AC373" s="0" t="s">
        <v>1660</v>
      </c>
      <c r="AD373" s="0" t="s">
        <v>1661</v>
      </c>
      <c r="AE373" s="0" t="s">
        <v>1661</v>
      </c>
      <c r="AG373" s="0" t="s">
        <v>11</v>
      </c>
      <c r="AH373" s="0" t="n">
        <v>4</v>
      </c>
      <c r="AI373" s="0" t="s">
        <v>1662</v>
      </c>
      <c r="AK373" s="0" t="s">
        <v>85</v>
      </c>
      <c r="AL373" s="13" t="n">
        <v>1330168.0672</v>
      </c>
      <c r="AM373" s="14" t="n">
        <v>27.997</v>
      </c>
      <c r="AN373" s="13" t="n">
        <v>1139735.48</v>
      </c>
      <c r="AO373" s="13" t="n">
        <v>181974.57</v>
      </c>
      <c r="AP373" s="0" t="s">
        <v>1663</v>
      </c>
      <c r="AQ373" s="0" t="s">
        <v>1664</v>
      </c>
      <c r="AR373" s="0" t="s">
        <v>1665</v>
      </c>
      <c r="AS373" s="0" t="n">
        <v>3586695.85</v>
      </c>
      <c r="AT373" s="0" t="s">
        <v>1660</v>
      </c>
      <c r="AU373" s="0" t="s">
        <v>178</v>
      </c>
      <c r="AV373" s="0" t="s">
        <v>1661</v>
      </c>
      <c r="AW373" s="0" t="s">
        <v>1661</v>
      </c>
      <c r="AX373" s="0" t="s">
        <v>1659</v>
      </c>
      <c r="AY373" s="0" t="n">
        <v>1019086675</v>
      </c>
      <c r="AZ373" s="0" t="s">
        <v>89</v>
      </c>
      <c r="BA373" s="0" t="s">
        <v>89</v>
      </c>
      <c r="BB373" s="0" t="s">
        <v>90</v>
      </c>
      <c r="BC373" s="0" t="s">
        <v>150</v>
      </c>
      <c r="BD373" s="15" t="s">
        <v>1666</v>
      </c>
      <c r="BE373" s="37" t="s">
        <v>186</v>
      </c>
    </row>
    <row r="374" customFormat="false" ht="16.4" hidden="false" customHeight="false" outlineLevel="0" collapsed="false">
      <c r="A374" s="36" t="n">
        <f aca="false">IF(B374=0,"",MAX($A$3:A373)+1)</f>
        <v>290</v>
      </c>
      <c r="B374" s="36" t="n">
        <f aca="false">IF(OR(M374="FLETE",M374="FLETE ENVIO GARANTIA",M374="FLETE RECOLECCION GARANTIA",M374="COMPENSACION"),0,1)</f>
        <v>1</v>
      </c>
      <c r="D374" s="10" t="s">
        <v>1655</v>
      </c>
      <c r="J374" s="0" t="s">
        <v>1369</v>
      </c>
      <c r="K374" s="0" t="s">
        <v>955</v>
      </c>
      <c r="L374" s="0" t="s">
        <v>1667</v>
      </c>
      <c r="M374" s="0" t="s">
        <v>1668</v>
      </c>
      <c r="N374" s="0" t="n">
        <v>1</v>
      </c>
      <c r="P374" s="0" t="s">
        <v>217</v>
      </c>
      <c r="Q374" s="0" t="s">
        <v>958</v>
      </c>
      <c r="R374" s="0" t="s">
        <v>1669</v>
      </c>
      <c r="S374" s="0" t="s">
        <v>158</v>
      </c>
      <c r="T374" s="0" t="s">
        <v>513</v>
      </c>
      <c r="U374" s="0" t="s">
        <v>160</v>
      </c>
      <c r="V374" s="0" t="s">
        <v>1659</v>
      </c>
      <c r="W374" s="12" t="n">
        <v>0</v>
      </c>
      <c r="Y374" s="0" t="s">
        <v>178</v>
      </c>
      <c r="AG374" s="0" t="s">
        <v>11</v>
      </c>
      <c r="AL374" s="13" t="n">
        <v>1046974.7899</v>
      </c>
      <c r="AM374" s="14" t="n">
        <v>27.997</v>
      </c>
      <c r="AN374" s="13" t="n">
        <v>897085.38</v>
      </c>
      <c r="AO374" s="13" t="n">
        <v>143232.12</v>
      </c>
      <c r="AR374" s="0" t="s">
        <v>1670</v>
      </c>
      <c r="AZ374" s="0" t="s">
        <v>89</v>
      </c>
      <c r="BA374" s="0" t="s">
        <v>89</v>
      </c>
      <c r="BB374" s="0" t="s">
        <v>90</v>
      </c>
      <c r="BC374" s="0" t="s">
        <v>150</v>
      </c>
      <c r="BD374" s="15" t="s">
        <v>1666</v>
      </c>
      <c r="BE374" s="37" t="s">
        <v>186</v>
      </c>
    </row>
    <row r="375" customFormat="false" ht="16.4" hidden="false" customHeight="false" outlineLevel="0" collapsed="false">
      <c r="A375" s="36" t="n">
        <f aca="false">IF(B375=0,"",MAX($A$3:A374)+1)</f>
        <v>291</v>
      </c>
      <c r="B375" s="36" t="n">
        <f aca="false">IF(OR(M375="FLETE",M375="FLETE ENVIO GARANTIA",M375="FLETE RECOLECCION GARANTIA",M375="COMPENSACION"),0,1)</f>
        <v>1</v>
      </c>
      <c r="D375" s="10" t="s">
        <v>1655</v>
      </c>
      <c r="J375" s="0" t="s">
        <v>1369</v>
      </c>
      <c r="K375" s="0" t="s">
        <v>135</v>
      </c>
      <c r="L375" s="0" t="s">
        <v>1671</v>
      </c>
      <c r="M375" s="0" t="s">
        <v>1672</v>
      </c>
      <c r="N375" s="0" t="n">
        <v>1</v>
      </c>
      <c r="P375" s="0" t="s">
        <v>138</v>
      </c>
      <c r="Q375" s="0" t="s">
        <v>139</v>
      </c>
      <c r="R375" s="0" t="s">
        <v>832</v>
      </c>
      <c r="T375" s="0" t="s">
        <v>198</v>
      </c>
      <c r="U375" s="0" t="s">
        <v>160</v>
      </c>
      <c r="V375" s="0" t="s">
        <v>1659</v>
      </c>
      <c r="W375" s="12" t="n">
        <v>0</v>
      </c>
      <c r="Y375" s="12" t="s">
        <v>178</v>
      </c>
      <c r="AG375" s="0" t="s">
        <v>11</v>
      </c>
      <c r="AL375" s="13" t="n">
        <v>499915.9664</v>
      </c>
      <c r="AM375" s="14" t="n">
        <v>25</v>
      </c>
      <c r="AN375" s="13" t="n">
        <v>446174.99</v>
      </c>
      <c r="AO375" s="13" t="n">
        <v>71238.02</v>
      </c>
      <c r="AR375" s="0" t="s">
        <v>1673</v>
      </c>
      <c r="AZ375" s="0" t="s">
        <v>89</v>
      </c>
      <c r="BA375" s="0" t="s">
        <v>89</v>
      </c>
      <c r="BB375" s="0" t="s">
        <v>90</v>
      </c>
      <c r="BC375" s="0" t="s">
        <v>150</v>
      </c>
      <c r="BD375" s="15" t="s">
        <v>1666</v>
      </c>
      <c r="BE375" s="37" t="s">
        <v>186</v>
      </c>
    </row>
    <row r="376" customFormat="false" ht="16.4" hidden="false" customHeight="false" outlineLevel="0" collapsed="false">
      <c r="A376" s="36" t="n">
        <f aca="false">IF(B376=0,"",MAX($A$3:A375)+1)</f>
        <v>292</v>
      </c>
      <c r="B376" s="36" t="n">
        <f aca="false">IF(OR(M376="FLETE",M376="FLETE ENVIO GARANTIA",M376="FLETE RECOLECCION GARANTIA",M376="COMPENSACION"),0,1)</f>
        <v>1</v>
      </c>
      <c r="D376" s="10" t="s">
        <v>1655</v>
      </c>
      <c r="J376" s="0" t="s">
        <v>1369</v>
      </c>
      <c r="K376" s="0" t="s">
        <v>493</v>
      </c>
      <c r="L376" s="0" t="s">
        <v>1674</v>
      </c>
      <c r="M376" s="0" t="s">
        <v>1675</v>
      </c>
      <c r="N376" s="0" t="n">
        <v>2</v>
      </c>
      <c r="P376" s="0" t="s">
        <v>138</v>
      </c>
      <c r="Q376" s="0" t="s">
        <v>522</v>
      </c>
      <c r="R376" s="0" t="s">
        <v>1676</v>
      </c>
      <c r="S376" s="0" t="s">
        <v>158</v>
      </c>
      <c r="T376" s="0" t="s">
        <v>513</v>
      </c>
      <c r="U376" s="0" t="s">
        <v>160</v>
      </c>
      <c r="V376" s="0" t="s">
        <v>1659</v>
      </c>
      <c r="W376" s="12" t="n">
        <v>0</v>
      </c>
      <c r="Y376" s="0" t="s">
        <v>178</v>
      </c>
      <c r="AG376" s="0" t="s">
        <v>11</v>
      </c>
      <c r="AL376" s="13" t="n">
        <v>294033.6134</v>
      </c>
      <c r="AM376" s="14" t="n">
        <v>25</v>
      </c>
      <c r="AN376" s="13" t="n">
        <v>524850</v>
      </c>
      <c r="AO376" s="13" t="n">
        <v>83799.58</v>
      </c>
      <c r="AR376" s="0" t="s">
        <v>1677</v>
      </c>
      <c r="AZ376" s="0" t="s">
        <v>89</v>
      </c>
      <c r="BA376" s="0" t="s">
        <v>89</v>
      </c>
      <c r="BB376" s="0" t="s">
        <v>90</v>
      </c>
      <c r="BC376" s="0" t="s">
        <v>150</v>
      </c>
      <c r="BD376" s="15" t="s">
        <v>1666</v>
      </c>
      <c r="BE376" s="37" t="s">
        <v>186</v>
      </c>
    </row>
    <row r="377" customFormat="false" ht="16.4" hidden="false" customHeight="false" outlineLevel="0" collapsed="false">
      <c r="A377" s="36" t="n">
        <f aca="false">IF(B377=0,"",MAX($A$3:A376)+1)</f>
        <v>293</v>
      </c>
      <c r="B377" s="36" t="n">
        <f aca="false">IF(OR(M377="FLETE",M377="FLETE ENVIO GARANTIA",M377="FLETE RECOLECCION GARANTIA",M377="COMPENSACION"),0,1)</f>
        <v>1</v>
      </c>
      <c r="D377" s="10" t="s">
        <v>1655</v>
      </c>
      <c r="J377" s="0" t="s">
        <v>1369</v>
      </c>
      <c r="K377" s="0" t="s">
        <v>153</v>
      </c>
      <c r="L377" s="0" t="s">
        <v>1678</v>
      </c>
      <c r="M377" s="0" t="s">
        <v>1679</v>
      </c>
      <c r="N377" s="0" t="n">
        <v>1</v>
      </c>
      <c r="P377" s="0" t="s">
        <v>138</v>
      </c>
      <c r="Q377" s="0" t="s">
        <v>156</v>
      </c>
      <c r="R377" s="0" t="s">
        <v>501</v>
      </c>
      <c r="S377" s="0" t="s">
        <v>158</v>
      </c>
      <c r="T377" s="0" t="s">
        <v>620</v>
      </c>
      <c r="U377" s="0" t="s">
        <v>160</v>
      </c>
      <c r="V377" s="0" t="s">
        <v>1659</v>
      </c>
      <c r="W377" s="12" t="n">
        <v>0</v>
      </c>
      <c r="Y377" s="0" t="s">
        <v>178</v>
      </c>
      <c r="AG377" s="0" t="s">
        <v>11</v>
      </c>
      <c r="AL377" s="13" t="n">
        <v>313361.3445</v>
      </c>
      <c r="AM377" s="14" t="n">
        <v>25</v>
      </c>
      <c r="AN377" s="13" t="n">
        <v>279675</v>
      </c>
      <c r="AO377" s="13" t="n">
        <v>44653.99</v>
      </c>
      <c r="AR377" s="0" t="s">
        <v>1680</v>
      </c>
      <c r="AZ377" s="0" t="s">
        <v>89</v>
      </c>
      <c r="BA377" s="0" t="s">
        <v>89</v>
      </c>
      <c r="BB377" s="0" t="s">
        <v>90</v>
      </c>
      <c r="BC377" s="0" t="s">
        <v>150</v>
      </c>
      <c r="BD377" s="15" t="s">
        <v>1666</v>
      </c>
      <c r="BE377" s="37" t="s">
        <v>186</v>
      </c>
    </row>
    <row r="378" customFormat="false" ht="16.4" hidden="false" customHeight="false" outlineLevel="0" collapsed="false">
      <c r="A378" s="36" t="n">
        <f aca="false">IF(B378=0,"",MAX($A$3:A377)+1)</f>
        <v>294</v>
      </c>
      <c r="B378" s="36" t="n">
        <f aca="false">IF(OR(M378="FLETE",M378="FLETE ENVIO GARANTIA",M378="FLETE RECOLECCION GARANTIA",M378="COMPENSACION"),0,1)</f>
        <v>1</v>
      </c>
      <c r="D378" s="10" t="s">
        <v>1655</v>
      </c>
      <c r="J378" s="0" t="s">
        <v>1369</v>
      </c>
      <c r="K378" s="0" t="s">
        <v>529</v>
      </c>
      <c r="L378" s="0" t="s">
        <v>1322</v>
      </c>
      <c r="M378" s="0" t="s">
        <v>1323</v>
      </c>
      <c r="N378" s="0" t="n">
        <v>1</v>
      </c>
      <c r="P378" s="0" t="s">
        <v>217</v>
      </c>
      <c r="Q378" s="0" t="s">
        <v>541</v>
      </c>
      <c r="R378" s="0" t="s">
        <v>868</v>
      </c>
      <c r="T378" s="0" t="s">
        <v>198</v>
      </c>
      <c r="U378" s="0" t="s">
        <v>160</v>
      </c>
      <c r="V378" s="0" t="s">
        <v>1659</v>
      </c>
      <c r="W378" s="12" t="n">
        <v>0</v>
      </c>
      <c r="Y378" s="12" t="s">
        <v>178</v>
      </c>
      <c r="AG378" s="0" t="s">
        <v>11</v>
      </c>
      <c r="AL378" s="13" t="n">
        <v>200756.3025</v>
      </c>
      <c r="AM378" s="14" t="n">
        <v>25</v>
      </c>
      <c r="AN378" s="13" t="n">
        <v>179175</v>
      </c>
      <c r="AO378" s="13" t="n">
        <v>28607.77</v>
      </c>
      <c r="AR378" s="0" t="s">
        <v>1681</v>
      </c>
      <c r="AZ378" s="0" t="s">
        <v>89</v>
      </c>
      <c r="BA378" s="0" t="s">
        <v>89</v>
      </c>
      <c r="BB378" s="0" t="s">
        <v>90</v>
      </c>
      <c r="BC378" s="0" t="s">
        <v>150</v>
      </c>
      <c r="BD378" s="15" t="s">
        <v>1666</v>
      </c>
      <c r="BE378" s="37" t="s">
        <v>186</v>
      </c>
    </row>
    <row r="379" customFormat="false" ht="16.4" hidden="false" customHeight="false" outlineLevel="0" collapsed="false">
      <c r="A379" s="36" t="n">
        <f aca="false">IF(B379=0,"",MAX($A$3:A378)+1)</f>
        <v>295</v>
      </c>
      <c r="B379" s="36" t="n">
        <f aca="false">IF(OR(M379="FLETE",M379="FLETE ENVIO GARANTIA",M379="FLETE RECOLECCION GARANTIA",M379="COMPENSACION"),0,1)</f>
        <v>1</v>
      </c>
      <c r="D379" s="10" t="s">
        <v>1655</v>
      </c>
      <c r="J379" s="0" t="s">
        <v>1369</v>
      </c>
      <c r="K379" s="0" t="s">
        <v>1326</v>
      </c>
      <c r="L379" s="0" t="s">
        <v>1682</v>
      </c>
      <c r="M379" s="0" t="s">
        <v>1683</v>
      </c>
      <c r="N379" s="0" t="n">
        <v>2</v>
      </c>
      <c r="P379" s="0" t="s">
        <v>249</v>
      </c>
      <c r="Q379" s="0" t="s">
        <v>250</v>
      </c>
      <c r="R379" s="0" t="s">
        <v>1329</v>
      </c>
      <c r="S379" s="0" t="s">
        <v>158</v>
      </c>
      <c r="T379" s="0" t="s">
        <v>620</v>
      </c>
      <c r="V379" s="0" t="s">
        <v>1659</v>
      </c>
      <c r="W379" s="12" t="n">
        <v>0</v>
      </c>
      <c r="Y379" s="12" t="s">
        <v>178</v>
      </c>
      <c r="AG379" s="0" t="s">
        <v>11</v>
      </c>
      <c r="AL379" s="13" t="n">
        <v>0</v>
      </c>
      <c r="AM379" s="14" t="n">
        <v>0</v>
      </c>
      <c r="AO379" s="13" t="n">
        <v>0</v>
      </c>
      <c r="AR379" s="0" t="s">
        <v>1684</v>
      </c>
      <c r="AZ379" s="0" t="s">
        <v>89</v>
      </c>
      <c r="BA379" s="0" t="s">
        <v>89</v>
      </c>
      <c r="BB379" s="0" t="s">
        <v>90</v>
      </c>
      <c r="BC379" s="0" t="s">
        <v>150</v>
      </c>
      <c r="BD379" s="15" t="s">
        <v>1666</v>
      </c>
      <c r="BE379" s="37" t="s">
        <v>186</v>
      </c>
    </row>
    <row r="380" customFormat="false" ht="16.4" hidden="false" customHeight="false" outlineLevel="0" collapsed="false">
      <c r="A380" s="36" t="str">
        <f aca="false">IF(B380=0,"",MAX($A$3:A379)+1)</f>
        <v/>
      </c>
      <c r="B380" s="36" t="n">
        <f aca="false">IF(OR(M380="FLETE",M380="FLETE ENVIO GARANTIA",M380="FLETE RECOLECCION GARANTIA",M380="COMPENSACION"),0,1)</f>
        <v>0</v>
      </c>
      <c r="D380" s="10" t="s">
        <v>1655</v>
      </c>
      <c r="J380" s="0" t="s">
        <v>1369</v>
      </c>
      <c r="K380" s="0" t="s">
        <v>93</v>
      </c>
      <c r="L380" s="0" t="s">
        <v>210</v>
      </c>
      <c r="M380" s="0" t="s">
        <v>211</v>
      </c>
      <c r="N380" s="0" t="n">
        <v>1</v>
      </c>
      <c r="P380" s="0" t="s">
        <v>73</v>
      </c>
      <c r="R380" s="0" t="s">
        <v>211</v>
      </c>
      <c r="V380" s="0" t="s">
        <v>1659</v>
      </c>
      <c r="W380" s="12" t="n">
        <v>0</v>
      </c>
      <c r="Y380" s="12" t="s">
        <v>178</v>
      </c>
      <c r="AG380" s="0" t="s">
        <v>11</v>
      </c>
      <c r="AL380" s="13" t="n">
        <v>120000</v>
      </c>
      <c r="AM380" s="14" t="n">
        <v>0</v>
      </c>
      <c r="AN380" s="13" t="n">
        <v>120000</v>
      </c>
      <c r="AO380" s="13" t="n">
        <v>0</v>
      </c>
      <c r="AR380" s="0" t="s">
        <v>1685</v>
      </c>
      <c r="AZ380" s="0" t="s">
        <v>89</v>
      </c>
      <c r="BA380" s="0" t="s">
        <v>89</v>
      </c>
      <c r="BB380" s="0" t="s">
        <v>90</v>
      </c>
      <c r="BC380" s="0" t="s">
        <v>150</v>
      </c>
      <c r="BD380" s="15" t="s">
        <v>1666</v>
      </c>
      <c r="BE380" s="37" t="s">
        <v>186</v>
      </c>
    </row>
    <row r="381" customFormat="false" ht="16.4" hidden="false" customHeight="false" outlineLevel="0" collapsed="false">
      <c r="A381" s="36" t="n">
        <f aca="false">IF(B381=0,"",MAX($A$3:A380)+1)</f>
        <v>296</v>
      </c>
      <c r="B381" s="36" t="n">
        <f aca="false">IF(OR(M381="FLETE",M381="FLETE ENVIO GARANTIA",M381="FLETE RECOLECCION GARANTIA",M381="COMPENSACION"),0,1)</f>
        <v>1</v>
      </c>
      <c r="C381" s="0" t="s">
        <v>1686</v>
      </c>
      <c r="D381" s="10" t="s">
        <v>1687</v>
      </c>
      <c r="E381" s="11" t="n">
        <v>45697</v>
      </c>
      <c r="F381" s="11" t="n">
        <v>45714</v>
      </c>
      <c r="G381" s="11" t="n">
        <v>45719</v>
      </c>
      <c r="H381" s="11" t="n">
        <v>45716</v>
      </c>
      <c r="I381" s="11" t="n">
        <v>45716</v>
      </c>
      <c r="J381" s="0" t="s">
        <v>1627</v>
      </c>
      <c r="K381" s="0" t="s">
        <v>214</v>
      </c>
      <c r="L381" s="0" t="s">
        <v>1688</v>
      </c>
      <c r="M381" s="0" t="s">
        <v>1689</v>
      </c>
      <c r="N381" s="0" t="n">
        <v>1</v>
      </c>
      <c r="P381" s="0" t="s">
        <v>217</v>
      </c>
      <c r="Q381" s="0" t="s">
        <v>218</v>
      </c>
      <c r="R381" s="0" t="s">
        <v>855</v>
      </c>
      <c r="S381" s="0" t="s">
        <v>591</v>
      </c>
      <c r="T381" s="0" t="s">
        <v>518</v>
      </c>
      <c r="U381" s="0" t="s">
        <v>160</v>
      </c>
      <c r="V381" s="0" t="s">
        <v>1690</v>
      </c>
      <c r="W381" s="12" t="n">
        <v>0</v>
      </c>
      <c r="Y381" s="12" t="s">
        <v>178</v>
      </c>
      <c r="Z381" s="0" t="s">
        <v>179</v>
      </c>
      <c r="AB381" s="0" t="n">
        <v>1014210428</v>
      </c>
      <c r="AC381" s="0" t="s">
        <v>1691</v>
      </c>
      <c r="AD381" s="0" t="s">
        <v>1692</v>
      </c>
      <c r="AG381" s="0" t="s">
        <v>11</v>
      </c>
      <c r="AH381" s="0" t="n">
        <v>3</v>
      </c>
      <c r="AI381" s="0" t="s">
        <v>1693</v>
      </c>
      <c r="AK381" s="0" t="s">
        <v>85</v>
      </c>
      <c r="AL381" s="13" t="n">
        <v>1512521.0084</v>
      </c>
      <c r="AM381" s="14" t="n">
        <v>45</v>
      </c>
      <c r="AN381" s="13" t="n">
        <v>989944.99</v>
      </c>
      <c r="AO381" s="13" t="n">
        <v>158058.44</v>
      </c>
      <c r="AP381" s="0" t="s">
        <v>1694</v>
      </c>
      <c r="AQ381" s="0" t="s">
        <v>1636</v>
      </c>
      <c r="AR381" s="0" t="s">
        <v>1695</v>
      </c>
      <c r="AS381" s="0" t="n">
        <v>2110294.99</v>
      </c>
      <c r="AT381" s="0" t="s">
        <v>1691</v>
      </c>
      <c r="AU381" s="0" t="s">
        <v>178</v>
      </c>
      <c r="AW381" s="0" t="s">
        <v>1692</v>
      </c>
      <c r="AX381" s="0" t="s">
        <v>1690</v>
      </c>
      <c r="AY381" s="0" t="n">
        <v>1014210428</v>
      </c>
      <c r="AZ381" s="0" t="s">
        <v>89</v>
      </c>
      <c r="BA381" s="0" t="s">
        <v>89</v>
      </c>
      <c r="BB381" s="0" t="s">
        <v>90</v>
      </c>
      <c r="BC381" s="0" t="s">
        <v>150</v>
      </c>
      <c r="BD381" s="15" t="s">
        <v>1696</v>
      </c>
      <c r="BE381" s="37" t="s">
        <v>186</v>
      </c>
    </row>
    <row r="382" customFormat="false" ht="16.4" hidden="false" customHeight="false" outlineLevel="0" collapsed="false">
      <c r="A382" s="36" t="n">
        <f aca="false">IF(B382=0,"",MAX($A$3:A381)+1)</f>
        <v>297</v>
      </c>
      <c r="B382" s="36" t="n">
        <f aca="false">IF(OR(M382="FLETE",M382="FLETE ENVIO GARANTIA",M382="FLETE RECOLECCION GARANTIA",M382="COMPENSACION"),0,1)</f>
        <v>1</v>
      </c>
      <c r="D382" s="10" t="s">
        <v>1687</v>
      </c>
      <c r="J382" s="0" t="s">
        <v>1627</v>
      </c>
      <c r="K382" s="0" t="s">
        <v>479</v>
      </c>
      <c r="L382" s="0" t="s">
        <v>1697</v>
      </c>
      <c r="M382" s="0" t="s">
        <v>1698</v>
      </c>
      <c r="N382" s="0" t="n">
        <v>1</v>
      </c>
      <c r="P382" s="0" t="s">
        <v>217</v>
      </c>
      <c r="Q382" s="0" t="s">
        <v>482</v>
      </c>
      <c r="R382" s="0" t="s">
        <v>855</v>
      </c>
      <c r="S382" s="0" t="s">
        <v>591</v>
      </c>
      <c r="T382" s="0" t="s">
        <v>518</v>
      </c>
      <c r="U382" s="0" t="s">
        <v>160</v>
      </c>
      <c r="V382" s="0" t="s">
        <v>1690</v>
      </c>
      <c r="W382" s="12" t="n">
        <v>0</v>
      </c>
      <c r="Y382" s="0" t="s">
        <v>178</v>
      </c>
      <c r="AG382" s="0" t="s">
        <v>11</v>
      </c>
      <c r="AL382" s="13" t="n">
        <v>560420.1681</v>
      </c>
      <c r="AM382" s="14" t="n">
        <v>25</v>
      </c>
      <c r="AN382" s="13" t="n">
        <v>500175</v>
      </c>
      <c r="AO382" s="13" t="n">
        <v>79859.87</v>
      </c>
      <c r="AR382" s="0" t="s">
        <v>1699</v>
      </c>
      <c r="AZ382" s="0" t="s">
        <v>89</v>
      </c>
      <c r="BA382" s="0" t="s">
        <v>89</v>
      </c>
      <c r="BB382" s="0" t="s">
        <v>90</v>
      </c>
      <c r="BC382" s="0" t="s">
        <v>150</v>
      </c>
      <c r="BD382" s="15" t="s">
        <v>1696</v>
      </c>
      <c r="BE382" s="37" t="s">
        <v>186</v>
      </c>
    </row>
    <row r="383" customFormat="false" ht="16.4" hidden="false" customHeight="false" outlineLevel="0" collapsed="false">
      <c r="A383" s="36" t="n">
        <f aca="false">IF(B383=0,"",MAX($A$3:A382)+1)</f>
        <v>298</v>
      </c>
      <c r="B383" s="36" t="n">
        <f aca="false">IF(OR(M383="FLETE",M383="FLETE ENVIO GARANTIA",M383="FLETE RECOLECCION GARANTIA",M383="COMPENSACION"),0,1)</f>
        <v>1</v>
      </c>
      <c r="D383" s="10" t="s">
        <v>1687</v>
      </c>
      <c r="J383" s="0" t="s">
        <v>1627</v>
      </c>
      <c r="K383" s="0" t="s">
        <v>479</v>
      </c>
      <c r="L383" s="0" t="s">
        <v>1700</v>
      </c>
      <c r="M383" s="0" t="s">
        <v>1701</v>
      </c>
      <c r="N383" s="0" t="n">
        <v>1</v>
      </c>
      <c r="P383" s="0" t="s">
        <v>217</v>
      </c>
      <c r="Q383" s="0" t="s">
        <v>482</v>
      </c>
      <c r="R383" s="0" t="s">
        <v>855</v>
      </c>
      <c r="S383" s="0" t="s">
        <v>591</v>
      </c>
      <c r="T383" s="0" t="s">
        <v>221</v>
      </c>
      <c r="U383" s="0" t="s">
        <v>160</v>
      </c>
      <c r="V383" s="0" t="s">
        <v>1690</v>
      </c>
      <c r="W383" s="12" t="n">
        <v>0</v>
      </c>
      <c r="Y383" s="0" t="s">
        <v>178</v>
      </c>
      <c r="AG383" s="0" t="s">
        <v>11</v>
      </c>
      <c r="AL383" s="13" t="n">
        <v>560420.1681</v>
      </c>
      <c r="AM383" s="14" t="n">
        <v>25</v>
      </c>
      <c r="AN383" s="13" t="n">
        <v>500175</v>
      </c>
      <c r="AO383" s="13" t="n">
        <v>79859.87</v>
      </c>
      <c r="AR383" s="0" t="s">
        <v>1702</v>
      </c>
      <c r="AZ383" s="0" t="s">
        <v>89</v>
      </c>
      <c r="BA383" s="0" t="s">
        <v>89</v>
      </c>
      <c r="BB383" s="0" t="s">
        <v>90</v>
      </c>
      <c r="BC383" s="0" t="s">
        <v>150</v>
      </c>
      <c r="BD383" s="15" t="s">
        <v>1696</v>
      </c>
      <c r="BE383" s="37" t="s">
        <v>186</v>
      </c>
    </row>
    <row r="384" customFormat="false" ht="16.4" hidden="false" customHeight="false" outlineLevel="0" collapsed="false">
      <c r="A384" s="36" t="str">
        <f aca="false">IF(B384=0,"",MAX($A$3:A383)+1)</f>
        <v/>
      </c>
      <c r="B384" s="36" t="n">
        <f aca="false">IF(OR(M384="FLETE",M384="FLETE ENVIO GARANTIA",M384="FLETE RECOLECCION GARANTIA",M384="COMPENSACION"),0,1)</f>
        <v>0</v>
      </c>
      <c r="D384" s="10" t="s">
        <v>1687</v>
      </c>
      <c r="J384" s="0" t="s">
        <v>1627</v>
      </c>
      <c r="K384" s="0" t="s">
        <v>93</v>
      </c>
      <c r="L384" s="0" t="s">
        <v>210</v>
      </c>
      <c r="M384" s="0" t="s">
        <v>211</v>
      </c>
      <c r="N384" s="0" t="n">
        <v>1</v>
      </c>
      <c r="P384" s="0" t="s">
        <v>73</v>
      </c>
      <c r="R384" s="0" t="s">
        <v>211</v>
      </c>
      <c r="V384" s="0" t="s">
        <v>1690</v>
      </c>
      <c r="W384" s="12" t="n">
        <v>0</v>
      </c>
      <c r="Y384" s="12" t="s">
        <v>178</v>
      </c>
      <c r="AG384" s="0" t="s">
        <v>11</v>
      </c>
      <c r="AL384" s="13" t="n">
        <v>120000</v>
      </c>
      <c r="AM384" s="14" t="n">
        <v>0</v>
      </c>
      <c r="AN384" s="13" t="n">
        <v>120000</v>
      </c>
      <c r="AO384" s="13" t="n">
        <v>0</v>
      </c>
      <c r="AR384" s="0" t="s">
        <v>1703</v>
      </c>
      <c r="AZ384" s="0" t="s">
        <v>89</v>
      </c>
      <c r="BA384" s="0" t="s">
        <v>89</v>
      </c>
      <c r="BB384" s="0" t="s">
        <v>90</v>
      </c>
      <c r="BC384" s="0" t="s">
        <v>150</v>
      </c>
      <c r="BD384" s="15" t="s">
        <v>1696</v>
      </c>
      <c r="BE384" s="37" t="s">
        <v>186</v>
      </c>
    </row>
    <row r="385" customFormat="false" ht="16.4" hidden="false" customHeight="false" outlineLevel="0" collapsed="false">
      <c r="A385" s="36" t="n">
        <f aca="false">IF(B385=0,"",MAX($A$3:A384)+1)</f>
        <v>299</v>
      </c>
      <c r="B385" s="36" t="n">
        <f aca="false">IF(OR(M385="FLETE",M385="FLETE ENVIO GARANTIA",M385="FLETE RECOLECCION GARANTIA",M385="COMPENSACION"),0,1)</f>
        <v>1</v>
      </c>
      <c r="C385" s="0" t="s">
        <v>1704</v>
      </c>
      <c r="D385" s="10" t="s">
        <v>1705</v>
      </c>
      <c r="E385" s="11" t="n">
        <v>45697</v>
      </c>
      <c r="F385" s="11" t="n">
        <v>45717</v>
      </c>
      <c r="G385" s="11" t="n">
        <v>45719</v>
      </c>
      <c r="H385" s="11" t="n">
        <v>45717</v>
      </c>
      <c r="I385" s="11" t="n">
        <v>45717</v>
      </c>
      <c r="J385" s="0" t="s">
        <v>1212</v>
      </c>
      <c r="K385" s="0" t="s">
        <v>135</v>
      </c>
      <c r="L385" s="0" t="s">
        <v>1706</v>
      </c>
      <c r="M385" s="0" t="s">
        <v>1707</v>
      </c>
      <c r="N385" s="0" t="n">
        <v>1</v>
      </c>
      <c r="P385" s="0" t="s">
        <v>138</v>
      </c>
      <c r="Q385" s="0" t="s">
        <v>139</v>
      </c>
      <c r="R385" s="0" t="s">
        <v>1708</v>
      </c>
      <c r="T385" s="0" t="s">
        <v>1709</v>
      </c>
      <c r="V385" s="0" t="s">
        <v>1710</v>
      </c>
      <c r="W385" s="12" t="n">
        <v>0</v>
      </c>
      <c r="Y385" s="0" t="s">
        <v>1711</v>
      </c>
      <c r="Z385" s="0" t="s">
        <v>179</v>
      </c>
      <c r="AB385" s="0" t="n">
        <v>79387684</v>
      </c>
      <c r="AC385" s="0" t="s">
        <v>1712</v>
      </c>
      <c r="AD385" s="0" t="s">
        <v>1713</v>
      </c>
      <c r="AE385" s="0" t="s">
        <v>1713</v>
      </c>
      <c r="AG385" s="0" t="s">
        <v>10</v>
      </c>
      <c r="AH385" s="0" t="n">
        <v>3</v>
      </c>
      <c r="AI385" s="0" t="s">
        <v>1714</v>
      </c>
      <c r="AK385" s="0" t="s">
        <v>85</v>
      </c>
      <c r="AL385" s="13" t="n">
        <v>765462.1849</v>
      </c>
      <c r="AM385" s="14" t="n">
        <v>25</v>
      </c>
      <c r="AN385" s="13" t="n">
        <v>683175</v>
      </c>
      <c r="AO385" s="13" t="n">
        <v>109078.36</v>
      </c>
      <c r="AP385" s="0" t="s">
        <v>1715</v>
      </c>
      <c r="AQ385" s="0" t="s">
        <v>1379</v>
      </c>
      <c r="AR385" s="0" t="s">
        <v>1716</v>
      </c>
      <c r="AS385" s="0" t="n">
        <v>1821875</v>
      </c>
      <c r="AT385" s="0" t="s">
        <v>1712</v>
      </c>
      <c r="AU385" s="0" t="s">
        <v>1711</v>
      </c>
      <c r="AV385" s="0" t="s">
        <v>1713</v>
      </c>
      <c r="AW385" s="0" t="s">
        <v>1713</v>
      </c>
      <c r="AX385" s="0" t="s">
        <v>1710</v>
      </c>
      <c r="AY385" s="0" t="n">
        <v>79387684</v>
      </c>
      <c r="AZ385" s="0" t="s">
        <v>89</v>
      </c>
      <c r="BA385" s="0" t="s">
        <v>89</v>
      </c>
      <c r="BB385" s="0" t="s">
        <v>90</v>
      </c>
      <c r="BC385" s="0" t="s">
        <v>241</v>
      </c>
      <c r="BD385" s="15" t="s">
        <v>1717</v>
      </c>
      <c r="BE385" s="37" t="s">
        <v>92</v>
      </c>
    </row>
    <row r="386" customFormat="false" ht="16.4" hidden="false" customHeight="false" outlineLevel="0" collapsed="false">
      <c r="A386" s="36" t="n">
        <f aca="false">IF(B386=0,"",MAX($A$3:A385)+1)</f>
        <v>300</v>
      </c>
      <c r="B386" s="36" t="n">
        <f aca="false">IF(OR(M386="FLETE",M386="FLETE ENVIO GARANTIA",M386="FLETE RECOLECCION GARANTIA",M386="COMPENSACION"),0,1)</f>
        <v>1</v>
      </c>
      <c r="D386" s="10" t="s">
        <v>1705</v>
      </c>
      <c r="J386" s="0" t="s">
        <v>1212</v>
      </c>
      <c r="K386" s="0" t="s">
        <v>493</v>
      </c>
      <c r="L386" s="0" t="s">
        <v>1718</v>
      </c>
      <c r="M386" s="0" t="s">
        <v>1719</v>
      </c>
      <c r="N386" s="0" t="n">
        <v>2</v>
      </c>
      <c r="P386" s="0" t="s">
        <v>138</v>
      </c>
      <c r="Q386" s="0" t="s">
        <v>522</v>
      </c>
      <c r="R386" s="0" t="s">
        <v>1676</v>
      </c>
      <c r="S386" s="0" t="s">
        <v>591</v>
      </c>
      <c r="T386" s="0" t="s">
        <v>513</v>
      </c>
      <c r="U386" s="0" t="s">
        <v>160</v>
      </c>
      <c r="V386" s="0" t="s">
        <v>1710</v>
      </c>
      <c r="W386" s="12" t="n">
        <v>0</v>
      </c>
      <c r="Y386" s="0" t="s">
        <v>1711</v>
      </c>
      <c r="AG386" s="0" t="s">
        <v>10</v>
      </c>
      <c r="AL386" s="13" t="n">
        <v>302436.9748</v>
      </c>
      <c r="AM386" s="14" t="n">
        <v>25</v>
      </c>
      <c r="AN386" s="13" t="n">
        <v>539850</v>
      </c>
      <c r="AO386" s="13" t="n">
        <v>86194.54</v>
      </c>
      <c r="AR386" s="0" t="s">
        <v>1720</v>
      </c>
      <c r="AZ386" s="0" t="s">
        <v>89</v>
      </c>
      <c r="BA386" s="0" t="s">
        <v>89</v>
      </c>
      <c r="BB386" s="0" t="s">
        <v>90</v>
      </c>
      <c r="BC386" s="0" t="s">
        <v>241</v>
      </c>
      <c r="BD386" s="15" t="s">
        <v>1717</v>
      </c>
      <c r="BE386" s="37" t="s">
        <v>92</v>
      </c>
    </row>
    <row r="387" customFormat="false" ht="16.4" hidden="false" customHeight="false" outlineLevel="0" collapsed="false">
      <c r="A387" s="36" t="n">
        <f aca="false">IF(B387=0,"",MAX($A$3:A386)+1)</f>
        <v>301</v>
      </c>
      <c r="B387" s="36" t="n">
        <f aca="false">IF(OR(M387="FLETE",M387="FLETE ENVIO GARANTIA",M387="FLETE RECOLECCION GARANTIA",M387="COMPENSACION"),0,1)</f>
        <v>1</v>
      </c>
      <c r="D387" s="10" t="s">
        <v>1705</v>
      </c>
      <c r="J387" s="0" t="s">
        <v>1212</v>
      </c>
      <c r="K387" s="0" t="s">
        <v>493</v>
      </c>
      <c r="L387" s="0" t="s">
        <v>1721</v>
      </c>
      <c r="M387" s="0" t="s">
        <v>1722</v>
      </c>
      <c r="N387" s="0" t="n">
        <v>2</v>
      </c>
      <c r="P387" s="0" t="s">
        <v>138</v>
      </c>
      <c r="Q387" s="0" t="s">
        <v>522</v>
      </c>
      <c r="R387" s="0" t="s">
        <v>1676</v>
      </c>
      <c r="S387" s="0" t="s">
        <v>591</v>
      </c>
      <c r="T387" s="0" t="s">
        <v>159</v>
      </c>
      <c r="U387" s="0" t="s">
        <v>160</v>
      </c>
      <c r="V387" s="0" t="s">
        <v>1710</v>
      </c>
      <c r="W387" s="12" t="n">
        <v>0</v>
      </c>
      <c r="Y387" s="0" t="s">
        <v>1711</v>
      </c>
      <c r="AG387" s="0" t="s">
        <v>10</v>
      </c>
      <c r="AL387" s="13" t="n">
        <v>302436.9748</v>
      </c>
      <c r="AM387" s="14" t="n">
        <v>25</v>
      </c>
      <c r="AN387" s="13" t="n">
        <v>539850</v>
      </c>
      <c r="AO387" s="13" t="n">
        <v>86194.54</v>
      </c>
      <c r="AR387" s="0" t="s">
        <v>1723</v>
      </c>
      <c r="AZ387" s="0" t="s">
        <v>89</v>
      </c>
      <c r="BA387" s="0" t="s">
        <v>89</v>
      </c>
      <c r="BB387" s="0" t="s">
        <v>90</v>
      </c>
      <c r="BC387" s="0" t="s">
        <v>241</v>
      </c>
      <c r="BD387" s="15" t="s">
        <v>1717</v>
      </c>
      <c r="BE387" s="37" t="s">
        <v>92</v>
      </c>
    </row>
    <row r="388" customFormat="false" ht="16.4" hidden="false" customHeight="false" outlineLevel="0" collapsed="false">
      <c r="A388" s="36" t="str">
        <f aca="false">IF(B388=0,"",MAX($A$3:A387)+1)</f>
        <v/>
      </c>
      <c r="B388" s="36" t="n">
        <f aca="false">IF(OR(M388="FLETE",M388="FLETE ENVIO GARANTIA",M388="FLETE RECOLECCION GARANTIA",M388="COMPENSACION"),0,1)</f>
        <v>0</v>
      </c>
      <c r="D388" s="10" t="s">
        <v>1705</v>
      </c>
      <c r="J388" s="0" t="s">
        <v>1212</v>
      </c>
      <c r="K388" s="0" t="s">
        <v>93</v>
      </c>
      <c r="L388" s="0" t="s">
        <v>210</v>
      </c>
      <c r="M388" s="0" t="s">
        <v>211</v>
      </c>
      <c r="N388" s="0" t="n">
        <v>1</v>
      </c>
      <c r="P388" s="0" t="s">
        <v>73</v>
      </c>
      <c r="R388" s="0" t="s">
        <v>211</v>
      </c>
      <c r="V388" s="0" t="s">
        <v>1710</v>
      </c>
      <c r="W388" s="12" t="n">
        <v>0</v>
      </c>
      <c r="Y388" s="12" t="s">
        <v>1711</v>
      </c>
      <c r="AG388" s="0" t="s">
        <v>10</v>
      </c>
      <c r="AL388" s="13" t="n">
        <v>59000</v>
      </c>
      <c r="AM388" s="14" t="n">
        <v>0</v>
      </c>
      <c r="AN388" s="13" t="n">
        <v>59000</v>
      </c>
      <c r="AO388" s="13" t="n">
        <v>0</v>
      </c>
      <c r="AR388" s="0" t="s">
        <v>1724</v>
      </c>
      <c r="AZ388" s="0" t="s">
        <v>89</v>
      </c>
      <c r="BA388" s="0" t="s">
        <v>89</v>
      </c>
      <c r="BB388" s="0" t="s">
        <v>90</v>
      </c>
      <c r="BC388" s="0" t="s">
        <v>241</v>
      </c>
      <c r="BD388" s="15" t="s">
        <v>1717</v>
      </c>
      <c r="BE388" s="37" t="s">
        <v>92</v>
      </c>
    </row>
    <row r="389" customFormat="false" ht="16.4" hidden="false" customHeight="false" outlineLevel="0" collapsed="false">
      <c r="A389" s="36" t="n">
        <f aca="false">IF(B389=0,"",MAX($A$3:A388)+1)</f>
        <v>302</v>
      </c>
      <c r="B389" s="36" t="n">
        <f aca="false">IF(OR(M389="FLETE",M389="FLETE ENVIO GARANTIA",M389="FLETE RECOLECCION GARANTIA",M389="COMPENSACION"),0,1)</f>
        <v>1</v>
      </c>
      <c r="C389" s="0" t="s">
        <v>1725</v>
      </c>
      <c r="D389" s="10" t="s">
        <v>1726</v>
      </c>
      <c r="E389" s="11" t="n">
        <v>45697</v>
      </c>
      <c r="F389" s="11" t="n">
        <v>45715</v>
      </c>
      <c r="G389" s="11" t="n">
        <v>45719</v>
      </c>
      <c r="H389" s="11" t="n">
        <v>45717</v>
      </c>
      <c r="I389" s="11" t="n">
        <v>45717</v>
      </c>
      <c r="J389" s="0" t="s">
        <v>1212</v>
      </c>
      <c r="K389" s="0" t="s">
        <v>955</v>
      </c>
      <c r="L389" s="0" t="s">
        <v>1727</v>
      </c>
      <c r="M389" s="0" t="s">
        <v>1728</v>
      </c>
      <c r="N389" s="0" t="n">
        <v>1</v>
      </c>
      <c r="P389" s="0" t="s">
        <v>217</v>
      </c>
      <c r="Q389" s="0" t="s">
        <v>958</v>
      </c>
      <c r="R389" s="0" t="s">
        <v>1729</v>
      </c>
      <c r="S389" s="0" t="s">
        <v>591</v>
      </c>
      <c r="T389" s="0" t="s">
        <v>719</v>
      </c>
      <c r="U389" s="0" t="s">
        <v>199</v>
      </c>
      <c r="V389" s="0" t="s">
        <v>1730</v>
      </c>
      <c r="W389" s="12" t="n">
        <v>0</v>
      </c>
      <c r="Y389" s="0" t="s">
        <v>178</v>
      </c>
      <c r="Z389" s="0" t="s">
        <v>202</v>
      </c>
      <c r="AB389" s="0" t="n">
        <v>1090483033</v>
      </c>
      <c r="AC389" s="0" t="s">
        <v>1731</v>
      </c>
      <c r="AD389" s="0" t="s">
        <v>1732</v>
      </c>
      <c r="AG389" s="0" t="s">
        <v>11</v>
      </c>
      <c r="AH389" s="0" t="n">
        <v>2</v>
      </c>
      <c r="AI389" s="0" t="s">
        <v>1733</v>
      </c>
      <c r="AK389" s="0" t="s">
        <v>85</v>
      </c>
      <c r="AL389" s="13" t="n">
        <v>1113361.3445</v>
      </c>
      <c r="AM389" s="14" t="n">
        <v>25</v>
      </c>
      <c r="AN389" s="13" t="n">
        <v>993675</v>
      </c>
      <c r="AO389" s="13" t="n">
        <v>158653.99</v>
      </c>
      <c r="AP389" s="0" t="s">
        <v>1734</v>
      </c>
      <c r="AQ389" s="0" t="s">
        <v>1379</v>
      </c>
      <c r="AR389" s="0" t="s">
        <v>1735</v>
      </c>
      <c r="AS389" s="0" t="n">
        <v>2203815</v>
      </c>
      <c r="AT389" s="0" t="s">
        <v>1731</v>
      </c>
      <c r="AU389" s="0" t="s">
        <v>178</v>
      </c>
      <c r="AW389" s="0" t="s">
        <v>1732</v>
      </c>
      <c r="AX389" s="0" t="s">
        <v>1730</v>
      </c>
      <c r="AY389" s="0" t="n">
        <v>1090483033</v>
      </c>
      <c r="AZ389" s="0" t="s">
        <v>89</v>
      </c>
      <c r="BA389" s="0" t="s">
        <v>89</v>
      </c>
      <c r="BB389" s="0" t="s">
        <v>90</v>
      </c>
      <c r="BC389" s="0" t="s">
        <v>150</v>
      </c>
      <c r="BD389" s="15" t="s">
        <v>1736</v>
      </c>
      <c r="BE389" s="37" t="s">
        <v>186</v>
      </c>
    </row>
    <row r="390" customFormat="false" ht="16.4" hidden="false" customHeight="false" outlineLevel="0" collapsed="false">
      <c r="A390" s="36" t="n">
        <f aca="false">IF(B390=0,"",MAX($A$3:A389)+1)</f>
        <v>303</v>
      </c>
      <c r="B390" s="36" t="n">
        <f aca="false">IF(OR(M390="FLETE",M390="FLETE ENVIO GARANTIA",M390="FLETE RECOLECCION GARANTIA",M390="COMPENSACION"),0,1)</f>
        <v>1</v>
      </c>
      <c r="D390" s="10" t="s">
        <v>1726</v>
      </c>
      <c r="J390" s="0" t="s">
        <v>1212</v>
      </c>
      <c r="K390" s="0" t="s">
        <v>214</v>
      </c>
      <c r="L390" s="0" t="s">
        <v>1737</v>
      </c>
      <c r="M390" s="0" t="s">
        <v>1738</v>
      </c>
      <c r="N390" s="0" t="n">
        <v>1</v>
      </c>
      <c r="P390" s="0" t="s">
        <v>217</v>
      </c>
      <c r="Q390" s="0" t="s">
        <v>218</v>
      </c>
      <c r="R390" s="0" t="s">
        <v>1739</v>
      </c>
      <c r="S390" s="0" t="s">
        <v>591</v>
      </c>
      <c r="T390" s="0" t="s">
        <v>719</v>
      </c>
      <c r="U390" s="0" t="s">
        <v>199</v>
      </c>
      <c r="V390" s="0" t="s">
        <v>1730</v>
      </c>
      <c r="W390" s="12" t="n">
        <v>0</v>
      </c>
      <c r="Y390" s="12" t="s">
        <v>178</v>
      </c>
      <c r="AG390" s="0" t="s">
        <v>11</v>
      </c>
      <c r="AL390" s="13" t="n">
        <v>1526806.7227</v>
      </c>
      <c r="AM390" s="14" t="n">
        <v>40</v>
      </c>
      <c r="AN390" s="13" t="n">
        <v>1090140</v>
      </c>
      <c r="AO390" s="13" t="n">
        <v>174055.97</v>
      </c>
      <c r="AR390" s="0" t="s">
        <v>1740</v>
      </c>
      <c r="AZ390" s="0" t="s">
        <v>89</v>
      </c>
      <c r="BA390" s="0" t="s">
        <v>89</v>
      </c>
      <c r="BB390" s="0" t="s">
        <v>90</v>
      </c>
      <c r="BC390" s="0" t="s">
        <v>150</v>
      </c>
      <c r="BD390" s="15" t="s">
        <v>1736</v>
      </c>
      <c r="BE390" s="37" t="s">
        <v>186</v>
      </c>
    </row>
    <row r="391" customFormat="false" ht="16.4" hidden="false" customHeight="false" outlineLevel="0" collapsed="false">
      <c r="A391" s="36" t="str">
        <f aca="false">IF(B391=0,"",MAX($A$3:A390)+1)</f>
        <v/>
      </c>
      <c r="B391" s="36" t="n">
        <f aca="false">IF(OR(M391="FLETE",M391="FLETE ENVIO GARANTIA",M391="FLETE RECOLECCION GARANTIA",M391="COMPENSACION"),0,1)</f>
        <v>0</v>
      </c>
      <c r="D391" s="10" t="s">
        <v>1726</v>
      </c>
      <c r="J391" s="0" t="s">
        <v>1212</v>
      </c>
      <c r="K391" s="0" t="s">
        <v>93</v>
      </c>
      <c r="L391" s="0" t="s">
        <v>210</v>
      </c>
      <c r="M391" s="0" t="s">
        <v>211</v>
      </c>
      <c r="N391" s="0" t="n">
        <v>1</v>
      </c>
      <c r="P391" s="0" t="s">
        <v>73</v>
      </c>
      <c r="R391" s="0" t="s">
        <v>211</v>
      </c>
      <c r="V391" s="0" t="s">
        <v>1730</v>
      </c>
      <c r="W391" s="12" t="n">
        <v>0</v>
      </c>
      <c r="Y391" s="12" t="s">
        <v>178</v>
      </c>
      <c r="AG391" s="0" t="s">
        <v>11</v>
      </c>
      <c r="AL391" s="13" t="n">
        <v>120000</v>
      </c>
      <c r="AM391" s="14" t="n">
        <v>0</v>
      </c>
      <c r="AN391" s="13" t="n">
        <v>120000</v>
      </c>
      <c r="AO391" s="13" t="n">
        <v>0</v>
      </c>
      <c r="AR391" s="0" t="s">
        <v>1741</v>
      </c>
      <c r="AZ391" s="0" t="s">
        <v>89</v>
      </c>
      <c r="BA391" s="0" t="s">
        <v>89</v>
      </c>
      <c r="BB391" s="0" t="s">
        <v>90</v>
      </c>
      <c r="BC391" s="0" t="s">
        <v>150</v>
      </c>
      <c r="BD391" s="15" t="s">
        <v>1736</v>
      </c>
      <c r="BE391" s="37" t="s">
        <v>186</v>
      </c>
    </row>
    <row r="392" customFormat="false" ht="16.4" hidden="false" customHeight="false" outlineLevel="0" collapsed="false">
      <c r="A392" s="36" t="n">
        <f aca="false">IF(B392=0,"",MAX($A$3:A391)+1)</f>
        <v>304</v>
      </c>
      <c r="B392" s="36" t="n">
        <f aca="false">IF(OR(M392="FLETE",M392="FLETE ENVIO GARANTIA",M392="FLETE RECOLECCION GARANTIA",M392="COMPENSACION"),0,1)</f>
        <v>1</v>
      </c>
      <c r="C392" s="0" t="s">
        <v>1742</v>
      </c>
      <c r="D392" s="10" t="s">
        <v>1743</v>
      </c>
      <c r="E392" s="11" t="n">
        <v>45696</v>
      </c>
      <c r="F392" s="11" t="n">
        <v>45714</v>
      </c>
      <c r="G392" s="11" t="n">
        <v>45719</v>
      </c>
      <c r="H392" s="11" t="n">
        <v>45716</v>
      </c>
      <c r="I392" s="11" t="n">
        <v>45716</v>
      </c>
      <c r="J392" s="0" t="s">
        <v>1627</v>
      </c>
      <c r="K392" s="0" t="s">
        <v>214</v>
      </c>
      <c r="L392" s="0" t="s">
        <v>1744</v>
      </c>
      <c r="M392" s="0" t="s">
        <v>1745</v>
      </c>
      <c r="N392" s="0" t="n">
        <v>1</v>
      </c>
      <c r="P392" s="0" t="s">
        <v>217</v>
      </c>
      <c r="Q392" s="0" t="s">
        <v>218</v>
      </c>
      <c r="R392" s="0" t="s">
        <v>1746</v>
      </c>
      <c r="S392" s="0" t="s">
        <v>158</v>
      </c>
      <c r="T392" s="0" t="s">
        <v>518</v>
      </c>
      <c r="U392" s="0" t="s">
        <v>437</v>
      </c>
      <c r="V392" s="0" t="s">
        <v>1747</v>
      </c>
      <c r="W392" s="12" t="n">
        <v>0</v>
      </c>
      <c r="Y392" s="12" t="s">
        <v>178</v>
      </c>
      <c r="Z392" s="0" t="s">
        <v>179</v>
      </c>
      <c r="AB392" s="0" t="n">
        <v>52808425</v>
      </c>
      <c r="AC392" s="0" t="s">
        <v>1748</v>
      </c>
      <c r="AD392" s="0" t="s">
        <v>1749</v>
      </c>
      <c r="AE392" s="0" t="s">
        <v>1750</v>
      </c>
      <c r="AG392" s="0" t="s">
        <v>11</v>
      </c>
      <c r="AH392" s="0" t="n">
        <v>4</v>
      </c>
      <c r="AI392" s="0" t="s">
        <v>1751</v>
      </c>
      <c r="AK392" s="0" t="s">
        <v>85</v>
      </c>
      <c r="AL392" s="13" t="n">
        <v>1288991.5966</v>
      </c>
      <c r="AM392" s="14" t="n">
        <v>25</v>
      </c>
      <c r="AN392" s="13" t="n">
        <v>1150425</v>
      </c>
      <c r="AO392" s="13" t="n">
        <v>183681.3</v>
      </c>
      <c r="AP392" s="0" t="s">
        <v>1752</v>
      </c>
      <c r="AQ392" s="0" t="s">
        <v>1636</v>
      </c>
      <c r="AR392" s="0" t="s">
        <v>1753</v>
      </c>
      <c r="AS392" s="0" t="n">
        <v>1507724.99</v>
      </c>
      <c r="AT392" s="0" t="s">
        <v>1748</v>
      </c>
      <c r="AU392" s="0" t="s">
        <v>178</v>
      </c>
      <c r="AV392" s="0" t="s">
        <v>1750</v>
      </c>
      <c r="AW392" s="0" t="s">
        <v>1749</v>
      </c>
      <c r="AX392" s="0" t="s">
        <v>1747</v>
      </c>
      <c r="AY392" s="0" t="n">
        <v>52808425</v>
      </c>
      <c r="AZ392" s="0" t="s">
        <v>89</v>
      </c>
      <c r="BA392" s="0" t="s">
        <v>89</v>
      </c>
      <c r="BB392" s="0" t="s">
        <v>90</v>
      </c>
      <c r="BC392" s="0" t="s">
        <v>150</v>
      </c>
      <c r="BD392" s="15" t="s">
        <v>1754</v>
      </c>
      <c r="BE392" s="37" t="s">
        <v>186</v>
      </c>
    </row>
    <row r="393" customFormat="false" ht="16.4" hidden="false" customHeight="false" outlineLevel="0" collapsed="false">
      <c r="A393" s="36" t="n">
        <f aca="false">IF(B393=0,"",MAX($A$3:A392)+1)</f>
        <v>305</v>
      </c>
      <c r="B393" s="36" t="n">
        <f aca="false">IF(OR(M393="FLETE",M393="FLETE ENVIO GARANTIA",M393="FLETE RECOLECCION GARANTIA",M393="COMPENSACION"),0,1)</f>
        <v>1</v>
      </c>
      <c r="D393" s="10" t="s">
        <v>1743</v>
      </c>
      <c r="J393" s="0" t="s">
        <v>1627</v>
      </c>
      <c r="K393" s="0" t="s">
        <v>1755</v>
      </c>
      <c r="L393" s="0" t="s">
        <v>1756</v>
      </c>
      <c r="M393" s="0" t="s">
        <v>1757</v>
      </c>
      <c r="N393" s="0" t="n">
        <v>10</v>
      </c>
      <c r="P393" s="0" t="s">
        <v>73</v>
      </c>
      <c r="R393" s="0" t="s">
        <v>1758</v>
      </c>
      <c r="V393" s="0" t="s">
        <v>1747</v>
      </c>
      <c r="W393" s="12" t="n">
        <v>0</v>
      </c>
      <c r="Y393" s="12" t="s">
        <v>178</v>
      </c>
      <c r="AG393" s="0" t="s">
        <v>11</v>
      </c>
      <c r="AL393" s="13" t="n">
        <v>18991.5966</v>
      </c>
      <c r="AM393" s="14" t="n">
        <v>25</v>
      </c>
      <c r="AN393" s="13" t="n">
        <v>169499.99</v>
      </c>
      <c r="AO393" s="13" t="n">
        <v>27063.02</v>
      </c>
      <c r="AR393" s="0" t="s">
        <v>1759</v>
      </c>
      <c r="AZ393" s="0" t="s">
        <v>89</v>
      </c>
      <c r="BA393" s="0" t="s">
        <v>89</v>
      </c>
      <c r="BB393" s="0" t="s">
        <v>90</v>
      </c>
      <c r="BC393" s="0" t="s">
        <v>150</v>
      </c>
      <c r="BD393" s="15" t="s">
        <v>1754</v>
      </c>
      <c r="BE393" s="37" t="s">
        <v>186</v>
      </c>
    </row>
    <row r="394" customFormat="false" ht="16.4" hidden="false" customHeight="false" outlineLevel="0" collapsed="false">
      <c r="A394" s="36" t="n">
        <f aca="false">IF(B394=0,"",MAX($A$3:A393)+1)</f>
        <v>306</v>
      </c>
      <c r="B394" s="36" t="n">
        <f aca="false">IF(OR(M394="FLETE",M394="FLETE ENVIO GARANTIA",M394="FLETE RECOLECCION GARANTIA",M394="COMPENSACION"),0,1)</f>
        <v>1</v>
      </c>
      <c r="D394" s="10" t="s">
        <v>1743</v>
      </c>
      <c r="J394" s="0" t="s">
        <v>1627</v>
      </c>
      <c r="K394" s="0" t="s">
        <v>1755</v>
      </c>
      <c r="L394" s="0" t="s">
        <v>1760</v>
      </c>
      <c r="M394" s="0" t="s">
        <v>1761</v>
      </c>
      <c r="N394" s="0" t="n">
        <v>4</v>
      </c>
      <c r="P394" s="0" t="s">
        <v>73</v>
      </c>
      <c r="R394" s="0" t="s">
        <v>1762</v>
      </c>
      <c r="V394" s="0" t="s">
        <v>1747</v>
      </c>
      <c r="W394" s="12" t="n">
        <v>0</v>
      </c>
      <c r="Y394" s="12" t="s">
        <v>178</v>
      </c>
      <c r="AG394" s="0" t="s">
        <v>11</v>
      </c>
      <c r="AL394" s="13" t="n">
        <v>18991.5966</v>
      </c>
      <c r="AM394" s="14" t="n">
        <v>25</v>
      </c>
      <c r="AN394" s="13" t="n">
        <v>67800</v>
      </c>
      <c r="AO394" s="13" t="n">
        <v>10825.21</v>
      </c>
      <c r="AR394" s="0" t="s">
        <v>1763</v>
      </c>
      <c r="AZ394" s="0" t="s">
        <v>89</v>
      </c>
      <c r="BA394" s="0" t="s">
        <v>89</v>
      </c>
      <c r="BB394" s="0" t="s">
        <v>90</v>
      </c>
      <c r="BC394" s="0" t="s">
        <v>150</v>
      </c>
      <c r="BD394" s="15" t="s">
        <v>1754</v>
      </c>
      <c r="BE394" s="37" t="s">
        <v>186</v>
      </c>
    </row>
    <row r="395" customFormat="false" ht="16.4" hidden="false" customHeight="false" outlineLevel="0" collapsed="false">
      <c r="A395" s="36" t="str">
        <f aca="false">IF(B395=0,"",MAX($A$3:A394)+1)</f>
        <v/>
      </c>
      <c r="B395" s="36" t="n">
        <f aca="false">IF(OR(M395="FLETE",M395="FLETE ENVIO GARANTIA",M395="FLETE RECOLECCION GARANTIA",M395="COMPENSACION"),0,1)</f>
        <v>0</v>
      </c>
      <c r="D395" s="10" t="s">
        <v>1743</v>
      </c>
      <c r="J395" s="0" t="s">
        <v>1627</v>
      </c>
      <c r="K395" s="0" t="s">
        <v>93</v>
      </c>
      <c r="L395" s="0" t="s">
        <v>210</v>
      </c>
      <c r="M395" s="0" t="s">
        <v>211</v>
      </c>
      <c r="N395" s="0" t="n">
        <v>1</v>
      </c>
      <c r="P395" s="0" t="s">
        <v>73</v>
      </c>
      <c r="R395" s="0" t="s">
        <v>211</v>
      </c>
      <c r="V395" s="0" t="s">
        <v>1747</v>
      </c>
      <c r="W395" s="12" t="n">
        <v>0</v>
      </c>
      <c r="Y395" s="0" t="s">
        <v>178</v>
      </c>
      <c r="AG395" s="0" t="s">
        <v>11</v>
      </c>
      <c r="AL395" s="13" t="n">
        <v>120000</v>
      </c>
      <c r="AM395" s="14" t="n">
        <v>0</v>
      </c>
      <c r="AN395" s="13" t="n">
        <v>120000</v>
      </c>
      <c r="AO395" s="13" t="n">
        <v>0</v>
      </c>
      <c r="AR395" s="0" t="s">
        <v>1764</v>
      </c>
      <c r="AZ395" s="0" t="s">
        <v>89</v>
      </c>
      <c r="BA395" s="0" t="s">
        <v>89</v>
      </c>
      <c r="BB395" s="0" t="s">
        <v>90</v>
      </c>
      <c r="BC395" s="0" t="s">
        <v>150</v>
      </c>
      <c r="BD395" s="15" t="s">
        <v>1754</v>
      </c>
      <c r="BE395" s="37" t="s">
        <v>186</v>
      </c>
    </row>
    <row r="396" customFormat="false" ht="16.4" hidden="false" customHeight="false" outlineLevel="0" collapsed="false">
      <c r="A396" s="36" t="n">
        <f aca="false">IF(B396=0,"",MAX($A$3:A395)+1)</f>
        <v>307</v>
      </c>
      <c r="B396" s="36" t="n">
        <f aca="false">IF(OR(M396="FLETE",M396="FLETE ENVIO GARANTIA",M396="FLETE RECOLECCION GARANTIA",M396="COMPENSACION"),0,1)</f>
        <v>1</v>
      </c>
      <c r="C396" s="0" t="s">
        <v>1765</v>
      </c>
      <c r="D396" s="10" t="s">
        <v>1766</v>
      </c>
      <c r="E396" s="11" t="n">
        <v>45696</v>
      </c>
      <c r="F396" s="11" t="n">
        <v>45715</v>
      </c>
      <c r="G396" s="11" t="n">
        <v>45719</v>
      </c>
      <c r="H396" s="11" t="n">
        <v>45716</v>
      </c>
      <c r="I396" s="11" t="n">
        <v>45716</v>
      </c>
      <c r="J396" s="0" t="s">
        <v>1369</v>
      </c>
      <c r="K396" s="0" t="s">
        <v>135</v>
      </c>
      <c r="L396" s="0" t="s">
        <v>1767</v>
      </c>
      <c r="M396" s="0" t="s">
        <v>1768</v>
      </c>
      <c r="N396" s="0" t="n">
        <v>1</v>
      </c>
      <c r="P396" s="0" t="s">
        <v>138</v>
      </c>
      <c r="Q396" s="0" t="s">
        <v>139</v>
      </c>
      <c r="R396" s="0" t="s">
        <v>1769</v>
      </c>
      <c r="T396" s="0" t="s">
        <v>507</v>
      </c>
      <c r="V396" s="0" t="s">
        <v>1770</v>
      </c>
      <c r="W396" s="12" t="n">
        <v>0</v>
      </c>
      <c r="Y396" s="0" t="s">
        <v>178</v>
      </c>
      <c r="Z396" s="0" t="s">
        <v>179</v>
      </c>
      <c r="AB396" s="0" t="n">
        <v>80076133</v>
      </c>
      <c r="AC396" s="0" t="s">
        <v>1771</v>
      </c>
      <c r="AD396" s="0" t="s">
        <v>1772</v>
      </c>
      <c r="AE396" s="0" t="s">
        <v>1772</v>
      </c>
      <c r="AG396" s="0" t="s">
        <v>11</v>
      </c>
      <c r="AH396" s="0" t="n">
        <v>7</v>
      </c>
      <c r="AI396" s="0" t="s">
        <v>1773</v>
      </c>
      <c r="AK396" s="0" t="s">
        <v>85</v>
      </c>
      <c r="AL396" s="13" t="n">
        <v>973025.2101</v>
      </c>
      <c r="AM396" s="14" t="n">
        <v>33</v>
      </c>
      <c r="AN396" s="13" t="n">
        <v>775793</v>
      </c>
      <c r="AO396" s="13" t="n">
        <v>123866.11</v>
      </c>
      <c r="AP396" s="0" t="s">
        <v>1774</v>
      </c>
      <c r="AQ396" s="0" t="s">
        <v>1775</v>
      </c>
      <c r="AR396" s="0" t="s">
        <v>1776</v>
      </c>
      <c r="AS396" s="0" t="n">
        <v>2789843</v>
      </c>
      <c r="AT396" s="0" t="s">
        <v>1771</v>
      </c>
      <c r="AU396" s="0" t="s">
        <v>178</v>
      </c>
      <c r="AV396" s="0" t="s">
        <v>1772</v>
      </c>
      <c r="AW396" s="0" t="s">
        <v>1772</v>
      </c>
      <c r="AX396" s="0" t="s">
        <v>1770</v>
      </c>
      <c r="AY396" s="0" t="n">
        <v>80076133</v>
      </c>
      <c r="AZ396" s="0" t="s">
        <v>89</v>
      </c>
      <c r="BA396" s="0" t="s">
        <v>89</v>
      </c>
      <c r="BB396" s="0" t="s">
        <v>90</v>
      </c>
      <c r="BC396" s="0" t="s">
        <v>150</v>
      </c>
      <c r="BD396" s="15" t="s">
        <v>1777</v>
      </c>
      <c r="BE396" s="37" t="s">
        <v>186</v>
      </c>
    </row>
    <row r="397" customFormat="false" ht="16.4" hidden="false" customHeight="false" outlineLevel="0" collapsed="false">
      <c r="A397" s="36" t="n">
        <f aca="false">IF(B397=0,"",MAX($A$3:A396)+1)</f>
        <v>308</v>
      </c>
      <c r="B397" s="36" t="n">
        <f aca="false">IF(OR(M397="FLETE",M397="FLETE ENVIO GARANTIA",M397="FLETE RECOLECCION GARANTIA",M397="COMPENSACION"),0,1)</f>
        <v>1</v>
      </c>
      <c r="D397" s="10" t="s">
        <v>1766</v>
      </c>
      <c r="J397" s="0" t="s">
        <v>1369</v>
      </c>
      <c r="K397" s="0" t="s">
        <v>493</v>
      </c>
      <c r="L397" s="0" t="s">
        <v>1778</v>
      </c>
      <c r="M397" s="0" t="s">
        <v>1779</v>
      </c>
      <c r="N397" s="0" t="n">
        <v>3</v>
      </c>
      <c r="P397" s="0" t="s">
        <v>138</v>
      </c>
      <c r="Q397" s="0" t="s">
        <v>496</v>
      </c>
      <c r="R397" s="0" t="s">
        <v>1780</v>
      </c>
      <c r="S397" s="0" t="s">
        <v>591</v>
      </c>
      <c r="T397" s="0" t="s">
        <v>1276</v>
      </c>
      <c r="U397" s="0" t="s">
        <v>176</v>
      </c>
      <c r="V397" s="0" t="s">
        <v>1770</v>
      </c>
      <c r="W397" s="12" t="n">
        <v>0</v>
      </c>
      <c r="Y397" s="12" t="s">
        <v>178</v>
      </c>
      <c r="AG397" s="0" t="s">
        <v>11</v>
      </c>
      <c r="AL397" s="13" t="n">
        <v>353697.479</v>
      </c>
      <c r="AM397" s="14" t="n">
        <v>25</v>
      </c>
      <c r="AN397" s="13" t="n">
        <v>947025</v>
      </c>
      <c r="AO397" s="13" t="n">
        <v>151205.67</v>
      </c>
      <c r="AR397" s="0" t="s">
        <v>1781</v>
      </c>
      <c r="AZ397" s="0" t="s">
        <v>89</v>
      </c>
      <c r="BA397" s="0" t="s">
        <v>89</v>
      </c>
      <c r="BB397" s="0" t="s">
        <v>90</v>
      </c>
      <c r="BC397" s="0" t="s">
        <v>150</v>
      </c>
      <c r="BD397" s="15" t="s">
        <v>1777</v>
      </c>
      <c r="BE397" s="37" t="s">
        <v>186</v>
      </c>
    </row>
    <row r="398" customFormat="false" ht="16.4" hidden="false" customHeight="false" outlineLevel="0" collapsed="false">
      <c r="A398" s="36" t="n">
        <f aca="false">IF(B398=0,"",MAX($A$3:A397)+1)</f>
        <v>309</v>
      </c>
      <c r="B398" s="36" t="n">
        <f aca="false">IF(OR(M398="FLETE",M398="FLETE ENVIO GARANTIA",M398="FLETE RECOLECCION GARANTIA",M398="COMPENSACION"),0,1)</f>
        <v>1</v>
      </c>
      <c r="D398" s="10" t="s">
        <v>1766</v>
      </c>
      <c r="J398" s="0" t="s">
        <v>1369</v>
      </c>
      <c r="K398" s="0" t="s">
        <v>493</v>
      </c>
      <c r="L398" s="0" t="s">
        <v>1782</v>
      </c>
      <c r="M398" s="0" t="s">
        <v>1783</v>
      </c>
      <c r="N398" s="0" t="n">
        <v>3</v>
      </c>
      <c r="P398" s="0" t="s">
        <v>138</v>
      </c>
      <c r="Q398" s="0" t="s">
        <v>496</v>
      </c>
      <c r="R398" s="0" t="s">
        <v>1780</v>
      </c>
      <c r="S398" s="0" t="s">
        <v>591</v>
      </c>
      <c r="T398" s="0" t="s">
        <v>221</v>
      </c>
      <c r="U398" s="0" t="s">
        <v>176</v>
      </c>
      <c r="V398" s="0" t="s">
        <v>1770</v>
      </c>
      <c r="W398" s="12" t="n">
        <v>0</v>
      </c>
      <c r="Y398" s="12" t="s">
        <v>178</v>
      </c>
      <c r="AG398" s="0" t="s">
        <v>11</v>
      </c>
      <c r="AL398" s="13" t="n">
        <v>353697.479</v>
      </c>
      <c r="AM398" s="14" t="n">
        <v>25</v>
      </c>
      <c r="AN398" s="13" t="n">
        <v>947025</v>
      </c>
      <c r="AO398" s="13" t="n">
        <v>151205.67</v>
      </c>
      <c r="AR398" s="0" t="s">
        <v>1784</v>
      </c>
      <c r="AZ398" s="0" t="s">
        <v>89</v>
      </c>
      <c r="BA398" s="0" t="s">
        <v>89</v>
      </c>
      <c r="BB398" s="0" t="s">
        <v>90</v>
      </c>
      <c r="BC398" s="0" t="s">
        <v>150</v>
      </c>
      <c r="BD398" s="15" t="s">
        <v>1777</v>
      </c>
      <c r="BE398" s="37" t="s">
        <v>186</v>
      </c>
    </row>
    <row r="399" customFormat="false" ht="16.4" hidden="false" customHeight="false" outlineLevel="0" collapsed="false">
      <c r="A399" s="36" t="str">
        <f aca="false">IF(B399=0,"",MAX($A$3:A398)+1)</f>
        <v/>
      </c>
      <c r="B399" s="36" t="n">
        <f aca="false">IF(OR(M399="FLETE",M399="FLETE ENVIO GARANTIA",M399="FLETE RECOLECCION GARANTIA",M399="COMPENSACION"),0,1)</f>
        <v>0</v>
      </c>
      <c r="D399" s="10" t="s">
        <v>1766</v>
      </c>
      <c r="J399" s="0" t="s">
        <v>1369</v>
      </c>
      <c r="K399" s="0" t="s">
        <v>93</v>
      </c>
      <c r="L399" s="0" t="s">
        <v>210</v>
      </c>
      <c r="M399" s="0" t="s">
        <v>211</v>
      </c>
      <c r="N399" s="0" t="n">
        <v>1</v>
      </c>
      <c r="P399" s="0" t="s">
        <v>73</v>
      </c>
      <c r="R399" s="0" t="s">
        <v>211</v>
      </c>
      <c r="V399" s="0" t="s">
        <v>1770</v>
      </c>
      <c r="W399" s="12" t="n">
        <v>0</v>
      </c>
      <c r="Y399" s="12" t="s">
        <v>178</v>
      </c>
      <c r="AG399" s="0" t="s">
        <v>11</v>
      </c>
      <c r="AL399" s="13" t="n">
        <v>120000</v>
      </c>
      <c r="AM399" s="14" t="n">
        <v>0</v>
      </c>
      <c r="AN399" s="13" t="n">
        <v>120000</v>
      </c>
      <c r="AO399" s="13" t="n">
        <v>0</v>
      </c>
      <c r="AR399" s="0" t="s">
        <v>1785</v>
      </c>
      <c r="AZ399" s="0" t="s">
        <v>89</v>
      </c>
      <c r="BA399" s="0" t="s">
        <v>89</v>
      </c>
      <c r="BB399" s="0" t="s">
        <v>90</v>
      </c>
      <c r="BC399" s="0" t="s">
        <v>150</v>
      </c>
      <c r="BD399" s="15" t="s">
        <v>1777</v>
      </c>
      <c r="BE399" s="37" t="s">
        <v>186</v>
      </c>
    </row>
    <row r="400" customFormat="false" ht="16.4" hidden="false" customHeight="false" outlineLevel="0" collapsed="false">
      <c r="A400" s="36" t="n">
        <f aca="false">IF(B400=0,"",MAX($A$3:A399)+1)</f>
        <v>310</v>
      </c>
      <c r="B400" s="36" t="n">
        <f aca="false">IF(OR(M400="FLETE",M400="FLETE ENVIO GARANTIA",M400="FLETE RECOLECCION GARANTIA",M400="COMPENSACION"),0,1)</f>
        <v>1</v>
      </c>
      <c r="C400" s="0" t="s">
        <v>1786</v>
      </c>
      <c r="D400" s="10" t="s">
        <v>1787</v>
      </c>
      <c r="E400" s="11" t="n">
        <v>45696</v>
      </c>
      <c r="F400" s="11" t="n">
        <v>45714</v>
      </c>
      <c r="G400" s="11" t="n">
        <v>45719</v>
      </c>
      <c r="H400" s="11" t="n">
        <v>45716</v>
      </c>
      <c r="I400" s="11" t="n">
        <v>45716</v>
      </c>
      <c r="J400" s="0" t="s">
        <v>1193</v>
      </c>
      <c r="K400" s="0" t="s">
        <v>943</v>
      </c>
      <c r="L400" s="0" t="s">
        <v>1788</v>
      </c>
      <c r="M400" s="0" t="s">
        <v>1789</v>
      </c>
      <c r="N400" s="0" t="n">
        <v>1</v>
      </c>
      <c r="P400" s="0" t="s">
        <v>195</v>
      </c>
      <c r="Q400" s="0" t="s">
        <v>893</v>
      </c>
      <c r="R400" s="0" t="s">
        <v>1790</v>
      </c>
      <c r="S400" s="0" t="s">
        <v>591</v>
      </c>
      <c r="T400" s="0" t="s">
        <v>1391</v>
      </c>
      <c r="U400" s="0" t="s">
        <v>437</v>
      </c>
      <c r="V400" s="0" t="s">
        <v>1791</v>
      </c>
      <c r="W400" s="12" t="n">
        <v>0</v>
      </c>
      <c r="Y400" s="12" t="s">
        <v>143</v>
      </c>
      <c r="Z400" s="0" t="s">
        <v>144</v>
      </c>
      <c r="AA400" s="12" t="s">
        <v>1792</v>
      </c>
      <c r="AB400" s="0" t="n">
        <v>1049652144</v>
      </c>
      <c r="AC400" s="0" t="s">
        <v>1793</v>
      </c>
      <c r="AD400" s="0" t="s">
        <v>1794</v>
      </c>
      <c r="AE400" s="0" t="s">
        <v>1795</v>
      </c>
      <c r="AG400" s="0" t="s">
        <v>3</v>
      </c>
      <c r="AH400" s="0" t="n">
        <v>2</v>
      </c>
      <c r="AI400" s="0" t="s">
        <v>1796</v>
      </c>
      <c r="AK400" s="0" t="s">
        <v>85</v>
      </c>
      <c r="AL400" s="13" t="n">
        <v>1188991.5966</v>
      </c>
      <c r="AM400" s="14" t="n">
        <v>33.005</v>
      </c>
      <c r="AN400" s="13" t="n">
        <v>947912.25</v>
      </c>
      <c r="AO400" s="13" t="n">
        <v>151347.33</v>
      </c>
      <c r="AP400" s="0" t="s">
        <v>1797</v>
      </c>
      <c r="AQ400" s="0" t="s">
        <v>1798</v>
      </c>
      <c r="AR400" s="0" t="s">
        <v>1799</v>
      </c>
      <c r="AS400" s="0" t="n">
        <v>1711821.22</v>
      </c>
      <c r="AT400" s="0" t="s">
        <v>1793</v>
      </c>
      <c r="AU400" s="0" t="s">
        <v>143</v>
      </c>
      <c r="AV400" s="0" t="s">
        <v>1795</v>
      </c>
      <c r="AW400" s="0" t="s">
        <v>1794</v>
      </c>
      <c r="AX400" s="0" t="s">
        <v>1791</v>
      </c>
      <c r="AY400" s="0" t="n">
        <v>1049652144</v>
      </c>
      <c r="AZ400" s="0" t="s">
        <v>89</v>
      </c>
      <c r="BA400" s="0" t="s">
        <v>89</v>
      </c>
      <c r="BB400" s="0" t="s">
        <v>90</v>
      </c>
      <c r="BC400" s="0" t="s">
        <v>150</v>
      </c>
      <c r="BD400" s="15" t="s">
        <v>1800</v>
      </c>
      <c r="BE400" s="37" t="s">
        <v>152</v>
      </c>
    </row>
    <row r="401" customFormat="false" ht="16.4" hidden="false" customHeight="false" outlineLevel="0" collapsed="false">
      <c r="A401" s="36" t="n">
        <f aca="false">IF(B401=0,"",MAX($A$3:A400)+1)</f>
        <v>311</v>
      </c>
      <c r="B401" s="36" t="n">
        <f aca="false">IF(OR(M401="FLETE",M401="FLETE ENVIO GARANTIA",M401="FLETE RECOLECCION GARANTIA",M401="COMPENSACION"),0,1)</f>
        <v>1</v>
      </c>
      <c r="D401" s="10" t="s">
        <v>1787</v>
      </c>
      <c r="J401" s="0" t="s">
        <v>1193</v>
      </c>
      <c r="K401" s="0" t="s">
        <v>1801</v>
      </c>
      <c r="L401" s="0" t="s">
        <v>1802</v>
      </c>
      <c r="M401" s="0" t="s">
        <v>1803</v>
      </c>
      <c r="N401" s="0" t="n">
        <v>1</v>
      </c>
      <c r="P401" s="0" t="s">
        <v>195</v>
      </c>
      <c r="Q401" s="0" t="s">
        <v>1804</v>
      </c>
      <c r="R401" s="0" t="s">
        <v>938</v>
      </c>
      <c r="V401" s="0" t="s">
        <v>1791</v>
      </c>
      <c r="W401" s="12" t="n">
        <v>0</v>
      </c>
      <c r="Y401" s="12" t="s">
        <v>143</v>
      </c>
      <c r="AG401" s="0" t="s">
        <v>3</v>
      </c>
      <c r="AL401" s="13" t="n">
        <v>894873.9496</v>
      </c>
      <c r="AM401" s="14" t="n">
        <v>32.96</v>
      </c>
      <c r="AN401" s="13" t="n">
        <v>713908.97</v>
      </c>
      <c r="AO401" s="13" t="n">
        <v>113985.47</v>
      </c>
      <c r="AR401" s="0" t="s">
        <v>1805</v>
      </c>
      <c r="AZ401" s="0" t="s">
        <v>89</v>
      </c>
      <c r="BA401" s="0" t="s">
        <v>89</v>
      </c>
      <c r="BB401" s="0" t="s">
        <v>90</v>
      </c>
      <c r="BC401" s="0" t="s">
        <v>150</v>
      </c>
      <c r="BD401" s="15" t="s">
        <v>1800</v>
      </c>
      <c r="BE401" s="37" t="s">
        <v>152</v>
      </c>
    </row>
    <row r="402" customFormat="false" ht="16.4" hidden="false" customHeight="false" outlineLevel="0" collapsed="false">
      <c r="A402" s="36" t="str">
        <f aca="false">IF(B402=0,"",MAX($A$3:A401)+1)</f>
        <v/>
      </c>
      <c r="B402" s="36" t="n">
        <f aca="false">IF(OR(M402="FLETE",M402="FLETE ENVIO GARANTIA",M402="FLETE RECOLECCION GARANTIA",M402="COMPENSACION"),0,1)</f>
        <v>0</v>
      </c>
      <c r="D402" s="10" t="s">
        <v>1787</v>
      </c>
      <c r="J402" s="0" t="s">
        <v>1193</v>
      </c>
      <c r="K402" s="0" t="s">
        <v>93</v>
      </c>
      <c r="L402" s="0" t="s">
        <v>210</v>
      </c>
      <c r="M402" s="0" t="s">
        <v>211</v>
      </c>
      <c r="N402" s="0" t="n">
        <v>1</v>
      </c>
      <c r="P402" s="0" t="s">
        <v>73</v>
      </c>
      <c r="R402" s="0" t="s">
        <v>211</v>
      </c>
      <c r="V402" s="0" t="s">
        <v>1791</v>
      </c>
      <c r="W402" s="12" t="n">
        <v>0</v>
      </c>
      <c r="Y402" s="12" t="s">
        <v>143</v>
      </c>
      <c r="AG402" s="0" t="s">
        <v>3</v>
      </c>
      <c r="AL402" s="13" t="n">
        <v>50000</v>
      </c>
      <c r="AM402" s="14" t="n">
        <v>0</v>
      </c>
      <c r="AN402" s="13" t="n">
        <v>50000</v>
      </c>
      <c r="AO402" s="13" t="n">
        <v>0</v>
      </c>
      <c r="AR402" s="0" t="s">
        <v>1806</v>
      </c>
      <c r="AZ402" s="0" t="s">
        <v>89</v>
      </c>
      <c r="BA402" s="0" t="s">
        <v>89</v>
      </c>
      <c r="BB402" s="0" t="s">
        <v>90</v>
      </c>
      <c r="BC402" s="0" t="s">
        <v>150</v>
      </c>
      <c r="BD402" s="15" t="s">
        <v>1800</v>
      </c>
      <c r="BE402" s="37" t="s">
        <v>152</v>
      </c>
    </row>
    <row r="403" customFormat="false" ht="16.4" hidden="false" customHeight="false" outlineLevel="0" collapsed="false">
      <c r="A403" s="36" t="n">
        <f aca="false">IF(B403=0,"",MAX($A$3:A402)+1)</f>
        <v>312</v>
      </c>
      <c r="B403" s="36" t="n">
        <f aca="false">IF(OR(M403="FLETE",M403="FLETE ENVIO GARANTIA",M403="FLETE RECOLECCION GARANTIA",M403="COMPENSACION"),0,1)</f>
        <v>1</v>
      </c>
      <c r="C403" s="0" t="s">
        <v>1807</v>
      </c>
      <c r="D403" s="10" t="s">
        <v>1808</v>
      </c>
      <c r="E403" s="11" t="n">
        <v>45696</v>
      </c>
      <c r="F403" s="11" t="n">
        <v>45714</v>
      </c>
      <c r="G403" s="11" t="n">
        <v>45719</v>
      </c>
      <c r="H403" s="11" t="n">
        <v>45716</v>
      </c>
      <c r="I403" s="11" t="n">
        <v>45716</v>
      </c>
      <c r="J403" s="0" t="s">
        <v>1369</v>
      </c>
      <c r="K403" s="0" t="s">
        <v>135</v>
      </c>
      <c r="L403" s="0" t="s">
        <v>1809</v>
      </c>
      <c r="M403" s="0" t="s">
        <v>1810</v>
      </c>
      <c r="N403" s="0" t="n">
        <v>1</v>
      </c>
      <c r="P403" s="0" t="s">
        <v>138</v>
      </c>
      <c r="Q403" s="0" t="s">
        <v>139</v>
      </c>
      <c r="R403" s="0" t="s">
        <v>1811</v>
      </c>
      <c r="T403" s="0" t="s">
        <v>198</v>
      </c>
      <c r="U403" s="0" t="s">
        <v>160</v>
      </c>
      <c r="V403" s="0" t="s">
        <v>1812</v>
      </c>
      <c r="W403" s="12" t="n">
        <v>0</v>
      </c>
      <c r="Y403" s="0" t="s">
        <v>178</v>
      </c>
      <c r="Z403" s="0" t="s">
        <v>179</v>
      </c>
      <c r="AB403" s="0" t="n">
        <v>1020808348</v>
      </c>
      <c r="AC403" s="0" t="s">
        <v>1813</v>
      </c>
      <c r="AD403" s="0" t="s">
        <v>1814</v>
      </c>
      <c r="AG403" s="0" t="s">
        <v>11</v>
      </c>
      <c r="AH403" s="0" t="n">
        <v>5</v>
      </c>
      <c r="AI403" s="0" t="s">
        <v>1815</v>
      </c>
      <c r="AK403" s="0" t="s">
        <v>85</v>
      </c>
      <c r="AL403" s="13" t="n">
        <v>1038571.4286</v>
      </c>
      <c r="AM403" s="14" t="n">
        <v>25</v>
      </c>
      <c r="AN403" s="13" t="n">
        <v>926925</v>
      </c>
      <c r="AO403" s="13" t="n">
        <v>147996.43</v>
      </c>
      <c r="AP403" s="0" t="s">
        <v>1816</v>
      </c>
      <c r="AQ403" s="0" t="s">
        <v>1817</v>
      </c>
      <c r="AR403" s="0" t="s">
        <v>1818</v>
      </c>
      <c r="AS403" s="0" t="n">
        <v>4315123</v>
      </c>
      <c r="AT403" s="0" t="s">
        <v>1813</v>
      </c>
      <c r="AU403" s="0" t="s">
        <v>178</v>
      </c>
      <c r="AW403" s="0" t="s">
        <v>1814</v>
      </c>
      <c r="AX403" s="0" t="s">
        <v>1812</v>
      </c>
      <c r="AY403" s="0" t="n">
        <v>1020808348</v>
      </c>
      <c r="AZ403" s="0" t="s">
        <v>89</v>
      </c>
      <c r="BA403" s="0" t="s">
        <v>89</v>
      </c>
      <c r="BB403" s="0" t="s">
        <v>90</v>
      </c>
      <c r="BC403" s="0" t="s">
        <v>150</v>
      </c>
      <c r="BD403" s="15" t="s">
        <v>1819</v>
      </c>
      <c r="BE403" s="37" t="s">
        <v>186</v>
      </c>
    </row>
    <row r="404" customFormat="false" ht="16.4" hidden="false" customHeight="false" outlineLevel="0" collapsed="false">
      <c r="A404" s="36" t="n">
        <f aca="false">IF(B404=0,"",MAX($A$3:A403)+1)</f>
        <v>313</v>
      </c>
      <c r="B404" s="36" t="n">
        <f aca="false">IF(OR(M404="FLETE",M404="FLETE ENVIO GARANTIA",M404="FLETE RECOLECCION GARANTIA",M404="COMPENSACION"),0,1)</f>
        <v>1</v>
      </c>
      <c r="D404" s="10" t="s">
        <v>1808</v>
      </c>
      <c r="J404" s="0" t="s">
        <v>1369</v>
      </c>
      <c r="K404" s="0" t="s">
        <v>153</v>
      </c>
      <c r="L404" s="0" t="s">
        <v>1820</v>
      </c>
      <c r="M404" s="0" t="s">
        <v>1821</v>
      </c>
      <c r="N404" s="0" t="n">
        <v>1</v>
      </c>
      <c r="P404" s="0" t="s">
        <v>138</v>
      </c>
      <c r="Q404" s="0" t="s">
        <v>156</v>
      </c>
      <c r="R404" s="0" t="s">
        <v>501</v>
      </c>
      <c r="S404" s="0" t="s">
        <v>591</v>
      </c>
      <c r="T404" s="0" t="s">
        <v>159</v>
      </c>
      <c r="U404" s="0" t="s">
        <v>160</v>
      </c>
      <c r="V404" s="0" t="s">
        <v>1812</v>
      </c>
      <c r="W404" s="12" t="n">
        <v>0</v>
      </c>
      <c r="Y404" s="0" t="s">
        <v>178</v>
      </c>
      <c r="AG404" s="0" t="s">
        <v>11</v>
      </c>
      <c r="AL404" s="13" t="n">
        <v>320924.3697</v>
      </c>
      <c r="AM404" s="14" t="n">
        <v>25</v>
      </c>
      <c r="AN404" s="13" t="n">
        <v>286425</v>
      </c>
      <c r="AO404" s="13" t="n">
        <v>45731.72</v>
      </c>
      <c r="AR404" s="0" t="s">
        <v>1822</v>
      </c>
      <c r="AZ404" s="0" t="s">
        <v>89</v>
      </c>
      <c r="BA404" s="0" t="s">
        <v>89</v>
      </c>
      <c r="BB404" s="0" t="s">
        <v>90</v>
      </c>
      <c r="BC404" s="0" t="s">
        <v>150</v>
      </c>
      <c r="BD404" s="15" t="s">
        <v>1819</v>
      </c>
      <c r="BE404" s="37" t="s">
        <v>186</v>
      </c>
    </row>
    <row r="405" customFormat="false" ht="16.4" hidden="false" customHeight="false" outlineLevel="0" collapsed="false">
      <c r="A405" s="36" t="n">
        <f aca="false">IF(B405=0,"",MAX($A$3:A404)+1)</f>
        <v>314</v>
      </c>
      <c r="B405" s="36" t="n">
        <f aca="false">IF(OR(M405="FLETE",M405="FLETE ENVIO GARANTIA",M405="FLETE RECOLECCION GARANTIA",M405="COMPENSACION"),0,1)</f>
        <v>1</v>
      </c>
      <c r="D405" s="10" t="s">
        <v>1808</v>
      </c>
      <c r="J405" s="0" t="s">
        <v>1369</v>
      </c>
      <c r="K405" s="0" t="s">
        <v>479</v>
      </c>
      <c r="L405" s="0" t="s">
        <v>1823</v>
      </c>
      <c r="M405" s="0" t="s">
        <v>1824</v>
      </c>
      <c r="N405" s="0" t="n">
        <v>1</v>
      </c>
      <c r="P405" s="0" t="s">
        <v>217</v>
      </c>
      <c r="Q405" s="0" t="s">
        <v>482</v>
      </c>
      <c r="R405" s="0" t="s">
        <v>666</v>
      </c>
      <c r="S405" s="0" t="s">
        <v>591</v>
      </c>
      <c r="T405" s="0" t="s">
        <v>159</v>
      </c>
      <c r="U405" s="0" t="s">
        <v>160</v>
      </c>
      <c r="V405" s="0" t="s">
        <v>1812</v>
      </c>
      <c r="W405" s="12" t="n">
        <v>0</v>
      </c>
      <c r="Y405" s="12" t="s">
        <v>178</v>
      </c>
      <c r="AG405" s="0" t="s">
        <v>11</v>
      </c>
      <c r="AL405" s="13" t="n">
        <v>959579.8319</v>
      </c>
      <c r="AM405" s="14" t="n">
        <v>33</v>
      </c>
      <c r="AN405" s="13" t="n">
        <v>765073</v>
      </c>
      <c r="AO405" s="13" t="n">
        <v>122154.51</v>
      </c>
      <c r="AR405" s="0" t="s">
        <v>1825</v>
      </c>
      <c r="AZ405" s="0" t="s">
        <v>89</v>
      </c>
      <c r="BA405" s="0" t="s">
        <v>89</v>
      </c>
      <c r="BB405" s="0" t="s">
        <v>90</v>
      </c>
      <c r="BC405" s="0" t="s">
        <v>150</v>
      </c>
      <c r="BD405" s="15" t="s">
        <v>1819</v>
      </c>
      <c r="BE405" s="37" t="s">
        <v>186</v>
      </c>
    </row>
    <row r="406" customFormat="false" ht="16.4" hidden="false" customHeight="false" outlineLevel="0" collapsed="false">
      <c r="A406" s="36" t="n">
        <f aca="false">IF(B406=0,"",MAX($A$3:A405)+1)</f>
        <v>315</v>
      </c>
      <c r="B406" s="36" t="n">
        <f aca="false">IF(OR(M406="FLETE",M406="FLETE ENVIO GARANTIA",M406="FLETE RECOLECCION GARANTIA",M406="COMPENSACION"),0,1)</f>
        <v>1</v>
      </c>
      <c r="D406" s="10" t="s">
        <v>1808</v>
      </c>
      <c r="J406" s="0" t="s">
        <v>1369</v>
      </c>
      <c r="K406" s="0" t="s">
        <v>1326</v>
      </c>
      <c r="L406" s="0" t="s">
        <v>1826</v>
      </c>
      <c r="M406" s="0" t="s">
        <v>1827</v>
      </c>
      <c r="N406" s="0" t="n">
        <v>1</v>
      </c>
      <c r="P406" s="0" t="s">
        <v>249</v>
      </c>
      <c r="Q406" s="0" t="s">
        <v>250</v>
      </c>
      <c r="R406" s="0" t="s">
        <v>1329</v>
      </c>
      <c r="S406" s="0" t="s">
        <v>591</v>
      </c>
      <c r="T406" s="0" t="s">
        <v>159</v>
      </c>
      <c r="V406" s="0" t="s">
        <v>1812</v>
      </c>
      <c r="W406" s="12" t="n">
        <v>0</v>
      </c>
      <c r="Y406" s="12" t="s">
        <v>178</v>
      </c>
      <c r="AG406" s="0" t="s">
        <v>11</v>
      </c>
      <c r="AL406" s="13" t="n">
        <v>42016</v>
      </c>
      <c r="AM406" s="14" t="n">
        <v>100</v>
      </c>
      <c r="AO406" s="13" t="n">
        <v>0</v>
      </c>
      <c r="AR406" s="0" t="s">
        <v>1828</v>
      </c>
      <c r="AZ406" s="0" t="s">
        <v>89</v>
      </c>
      <c r="BA406" s="0" t="s">
        <v>89</v>
      </c>
      <c r="BB406" s="0" t="s">
        <v>90</v>
      </c>
      <c r="BC406" s="0" t="s">
        <v>150</v>
      </c>
      <c r="BD406" s="15" t="s">
        <v>1819</v>
      </c>
      <c r="BE406" s="37" t="s">
        <v>186</v>
      </c>
    </row>
    <row r="407" customFormat="false" ht="16.4" hidden="false" customHeight="false" outlineLevel="0" collapsed="false">
      <c r="A407" s="36" t="n">
        <f aca="false">IF(B407=0,"",MAX($A$3:A406)+1)</f>
        <v>316</v>
      </c>
      <c r="B407" s="36" t="n">
        <f aca="false">IF(OR(M407="FLETE",M407="FLETE ENVIO GARANTIA",M407="FLETE RECOLECCION GARANTIA",M407="COMPENSACION"),0,1)</f>
        <v>1</v>
      </c>
      <c r="D407" s="10" t="s">
        <v>1808</v>
      </c>
      <c r="J407" s="0" t="s">
        <v>1369</v>
      </c>
      <c r="K407" s="0" t="s">
        <v>493</v>
      </c>
      <c r="L407" s="0" t="s">
        <v>1829</v>
      </c>
      <c r="M407" s="0" t="s">
        <v>1830</v>
      </c>
      <c r="N407" s="0" t="n">
        <v>3</v>
      </c>
      <c r="P407" s="0" t="s">
        <v>138</v>
      </c>
      <c r="Q407" s="0" t="s">
        <v>522</v>
      </c>
      <c r="R407" s="0" t="s">
        <v>1831</v>
      </c>
      <c r="S407" s="0" t="s">
        <v>810</v>
      </c>
      <c r="T407" s="0" t="s">
        <v>449</v>
      </c>
      <c r="U407" s="0" t="s">
        <v>160</v>
      </c>
      <c r="V407" s="0" t="s">
        <v>1812</v>
      </c>
      <c r="W407" s="12" t="n">
        <v>0</v>
      </c>
      <c r="Y407" s="12" t="s">
        <v>178</v>
      </c>
      <c r="AG407" s="0" t="s">
        <v>11</v>
      </c>
      <c r="AL407" s="13" t="n">
        <v>362941.1765</v>
      </c>
      <c r="AM407" s="14" t="n">
        <v>25</v>
      </c>
      <c r="AN407" s="13" t="n">
        <v>971775</v>
      </c>
      <c r="AO407" s="13" t="n">
        <v>155157.35</v>
      </c>
      <c r="AR407" s="0" t="s">
        <v>1832</v>
      </c>
      <c r="AZ407" s="0" t="s">
        <v>89</v>
      </c>
      <c r="BA407" s="0" t="s">
        <v>89</v>
      </c>
      <c r="BB407" s="0" t="s">
        <v>90</v>
      </c>
      <c r="BC407" s="0" t="s">
        <v>150</v>
      </c>
      <c r="BD407" s="15" t="s">
        <v>1819</v>
      </c>
      <c r="BE407" s="37" t="s">
        <v>186</v>
      </c>
    </row>
    <row r="408" customFormat="false" ht="16.4" hidden="false" customHeight="false" outlineLevel="0" collapsed="false">
      <c r="A408" s="36" t="n">
        <f aca="false">IF(B408=0,"",MAX($A$3:A407)+1)</f>
        <v>317</v>
      </c>
      <c r="B408" s="36" t="n">
        <f aca="false">IF(OR(M408="FLETE",M408="FLETE ENVIO GARANTIA",M408="FLETE RECOLECCION GARANTIA",M408="COMPENSACION"),0,1)</f>
        <v>1</v>
      </c>
      <c r="D408" s="10" t="s">
        <v>1808</v>
      </c>
      <c r="J408" s="0" t="s">
        <v>1369</v>
      </c>
      <c r="K408" s="0" t="s">
        <v>214</v>
      </c>
      <c r="L408" s="0" t="s">
        <v>1833</v>
      </c>
      <c r="M408" s="0" t="s">
        <v>1834</v>
      </c>
      <c r="N408" s="0" t="n">
        <v>1</v>
      </c>
      <c r="P408" s="0" t="s">
        <v>217</v>
      </c>
      <c r="Q408" s="0" t="s">
        <v>218</v>
      </c>
      <c r="R408" s="0" t="s">
        <v>1196</v>
      </c>
      <c r="S408" s="0" t="s">
        <v>810</v>
      </c>
      <c r="T408" s="0" t="s">
        <v>449</v>
      </c>
      <c r="U408" s="0" t="s">
        <v>160</v>
      </c>
      <c r="V408" s="0" t="s">
        <v>1812</v>
      </c>
      <c r="W408" s="12" t="n">
        <v>0</v>
      </c>
      <c r="Y408" s="0" t="s">
        <v>178</v>
      </c>
      <c r="AG408" s="0" t="s">
        <v>11</v>
      </c>
      <c r="AL408" s="13" t="n">
        <v>1394873.9495</v>
      </c>
      <c r="AM408" s="14" t="n">
        <v>25</v>
      </c>
      <c r="AN408" s="13" t="n">
        <v>1244925</v>
      </c>
      <c r="AO408" s="13" t="n">
        <v>198769.54</v>
      </c>
      <c r="AR408" s="0" t="s">
        <v>1835</v>
      </c>
      <c r="AZ408" s="0" t="s">
        <v>89</v>
      </c>
      <c r="BA408" s="0" t="s">
        <v>89</v>
      </c>
      <c r="BB408" s="0" t="s">
        <v>90</v>
      </c>
      <c r="BC408" s="0" t="s">
        <v>150</v>
      </c>
      <c r="BD408" s="15" t="s">
        <v>1819</v>
      </c>
      <c r="BE408" s="37" t="s">
        <v>186</v>
      </c>
    </row>
    <row r="409" customFormat="false" ht="16.4" hidden="false" customHeight="false" outlineLevel="0" collapsed="false">
      <c r="A409" s="36" t="str">
        <f aca="false">IF(B409=0,"",MAX($A$3:A408)+1)</f>
        <v/>
      </c>
      <c r="B409" s="36" t="n">
        <f aca="false">IF(OR(M409="FLETE",M409="FLETE ENVIO GARANTIA",M409="FLETE RECOLECCION GARANTIA",M409="COMPENSACION"),0,1)</f>
        <v>0</v>
      </c>
      <c r="D409" s="10" t="s">
        <v>1808</v>
      </c>
      <c r="J409" s="0" t="s">
        <v>1369</v>
      </c>
      <c r="K409" s="0" t="s">
        <v>93</v>
      </c>
      <c r="L409" s="0" t="s">
        <v>210</v>
      </c>
      <c r="M409" s="0" t="s">
        <v>211</v>
      </c>
      <c r="N409" s="0" t="n">
        <v>1</v>
      </c>
      <c r="P409" s="0" t="s">
        <v>73</v>
      </c>
      <c r="R409" s="0" t="s">
        <v>211</v>
      </c>
      <c r="V409" s="0" t="s">
        <v>1812</v>
      </c>
      <c r="W409" s="12" t="n">
        <v>0</v>
      </c>
      <c r="Y409" s="12" t="s">
        <v>178</v>
      </c>
      <c r="AG409" s="0" t="s">
        <v>11</v>
      </c>
      <c r="AL409" s="13" t="n">
        <v>120000</v>
      </c>
      <c r="AM409" s="14" t="n">
        <v>0</v>
      </c>
      <c r="AN409" s="13" t="n">
        <v>120000</v>
      </c>
      <c r="AO409" s="13" t="n">
        <v>0</v>
      </c>
      <c r="AR409" s="0" t="s">
        <v>1836</v>
      </c>
      <c r="AZ409" s="0" t="s">
        <v>89</v>
      </c>
      <c r="BA409" s="0" t="s">
        <v>89</v>
      </c>
      <c r="BB409" s="0" t="s">
        <v>90</v>
      </c>
      <c r="BC409" s="0" t="s">
        <v>150</v>
      </c>
      <c r="BD409" s="15" t="s">
        <v>1819</v>
      </c>
      <c r="BE409" s="37" t="s">
        <v>186</v>
      </c>
    </row>
    <row r="410" customFormat="false" ht="16.4" hidden="false" customHeight="false" outlineLevel="0" collapsed="false">
      <c r="A410" s="36" t="n">
        <f aca="false">IF(B410=0,"",MAX($A$3:A409)+1)</f>
        <v>318</v>
      </c>
      <c r="B410" s="36" t="n">
        <f aca="false">IF(OR(M410="FLETE",M410="FLETE ENVIO GARANTIA",M410="FLETE RECOLECCION GARANTIA",M410="COMPENSACION"),0,1)</f>
        <v>1</v>
      </c>
      <c r="C410" s="0" t="s">
        <v>1837</v>
      </c>
      <c r="D410" s="10" t="s">
        <v>1838</v>
      </c>
      <c r="E410" s="11" t="n">
        <v>45696</v>
      </c>
      <c r="F410" s="11" t="n">
        <v>45715</v>
      </c>
      <c r="G410" s="11" t="n">
        <v>45719</v>
      </c>
      <c r="H410" s="11" t="n">
        <v>45717</v>
      </c>
      <c r="I410" s="11" t="n">
        <v>45717</v>
      </c>
      <c r="J410" s="0" t="s">
        <v>1250</v>
      </c>
      <c r="K410" s="0" t="s">
        <v>135</v>
      </c>
      <c r="L410" s="0" t="s">
        <v>1839</v>
      </c>
      <c r="M410" s="0" t="s">
        <v>1840</v>
      </c>
      <c r="N410" s="0" t="n">
        <v>1</v>
      </c>
      <c r="P410" s="0" t="s">
        <v>138</v>
      </c>
      <c r="Q410" s="0" t="s">
        <v>139</v>
      </c>
      <c r="R410" s="0" t="s">
        <v>491</v>
      </c>
      <c r="T410" s="0" t="s">
        <v>198</v>
      </c>
      <c r="U410" s="0" t="s">
        <v>160</v>
      </c>
      <c r="V410" s="0" t="s">
        <v>1841</v>
      </c>
      <c r="W410" s="12" t="n">
        <v>0</v>
      </c>
      <c r="Y410" s="12" t="s">
        <v>143</v>
      </c>
      <c r="Z410" s="0" t="s">
        <v>144</v>
      </c>
      <c r="AA410" s="12" t="s">
        <v>1842</v>
      </c>
      <c r="AB410" s="0" t="n">
        <v>52774446</v>
      </c>
      <c r="AC410" s="0" t="s">
        <v>1843</v>
      </c>
      <c r="AD410" s="0" t="s">
        <v>1844</v>
      </c>
      <c r="AG410" s="0" t="s">
        <v>2</v>
      </c>
      <c r="AH410" s="0" t="n">
        <v>5</v>
      </c>
      <c r="AI410" s="0" t="s">
        <v>1845</v>
      </c>
      <c r="AJ410" s="0" t="n">
        <v>157000</v>
      </c>
      <c r="AK410" s="0" t="s">
        <v>85</v>
      </c>
      <c r="AL410" s="13" t="n">
        <v>546974.7899</v>
      </c>
      <c r="AM410" s="14" t="n">
        <v>25</v>
      </c>
      <c r="AN410" s="13" t="n">
        <v>488175</v>
      </c>
      <c r="AO410" s="13" t="n">
        <v>77943.91</v>
      </c>
      <c r="AP410" s="0" t="s">
        <v>1846</v>
      </c>
      <c r="AQ410" s="0" t="s">
        <v>1847</v>
      </c>
      <c r="AR410" s="0" t="s">
        <v>1848</v>
      </c>
      <c r="AS410" s="0" t="n">
        <v>3671935.9</v>
      </c>
      <c r="AT410" s="0" t="s">
        <v>1843</v>
      </c>
      <c r="AU410" s="0" t="s">
        <v>143</v>
      </c>
      <c r="AW410" s="0" t="s">
        <v>1844</v>
      </c>
      <c r="AX410" s="0" t="s">
        <v>1841</v>
      </c>
      <c r="AY410" s="0" t="n">
        <v>52774446</v>
      </c>
      <c r="AZ410" s="0" t="s">
        <v>89</v>
      </c>
      <c r="BA410" s="0" t="s">
        <v>89</v>
      </c>
      <c r="BB410" s="0" t="s">
        <v>90</v>
      </c>
      <c r="BC410" s="0" t="s">
        <v>150</v>
      </c>
      <c r="BD410" s="15" t="s">
        <v>1849</v>
      </c>
      <c r="BE410" s="37" t="s">
        <v>152</v>
      </c>
    </row>
    <row r="411" customFormat="false" ht="16.4" hidden="false" customHeight="false" outlineLevel="0" collapsed="false">
      <c r="A411" s="36" t="n">
        <f aca="false">IF(B411=0,"",MAX($A$3:A410)+1)</f>
        <v>319</v>
      </c>
      <c r="B411" s="36" t="n">
        <f aca="false">IF(OR(M411="FLETE",M411="FLETE ENVIO GARANTIA",M411="FLETE RECOLECCION GARANTIA",M411="COMPENSACION"),0,1)</f>
        <v>1</v>
      </c>
      <c r="D411" s="10" t="s">
        <v>1838</v>
      </c>
      <c r="J411" s="0" t="s">
        <v>1250</v>
      </c>
      <c r="K411" s="0" t="s">
        <v>493</v>
      </c>
      <c r="L411" s="0" t="s">
        <v>1850</v>
      </c>
      <c r="M411" s="0" t="s">
        <v>1851</v>
      </c>
      <c r="N411" s="0" t="n">
        <v>4</v>
      </c>
      <c r="P411" s="0" t="s">
        <v>138</v>
      </c>
      <c r="Q411" s="0" t="s">
        <v>496</v>
      </c>
      <c r="R411" s="0" t="s">
        <v>497</v>
      </c>
      <c r="S411" s="0" t="s">
        <v>220</v>
      </c>
      <c r="T411" s="0" t="s">
        <v>221</v>
      </c>
      <c r="U411" s="0" t="s">
        <v>160</v>
      </c>
      <c r="V411" s="0" t="s">
        <v>1841</v>
      </c>
      <c r="W411" s="0" t="n">
        <v>0</v>
      </c>
      <c r="Y411" s="0" t="s">
        <v>143</v>
      </c>
      <c r="AG411" s="0" t="s">
        <v>2</v>
      </c>
      <c r="AL411" s="13" t="n">
        <v>539411.7647</v>
      </c>
      <c r="AM411" s="14" t="n">
        <v>33</v>
      </c>
      <c r="AN411" s="13" t="n">
        <v>1720292</v>
      </c>
      <c r="AO411" s="13" t="n">
        <v>274668.47</v>
      </c>
      <c r="AR411" s="0" t="s">
        <v>1852</v>
      </c>
      <c r="AZ411" s="0" t="s">
        <v>89</v>
      </c>
      <c r="BA411" s="0" t="s">
        <v>89</v>
      </c>
      <c r="BB411" s="0" t="s">
        <v>90</v>
      </c>
      <c r="BC411" s="0" t="s">
        <v>150</v>
      </c>
      <c r="BD411" s="15" t="s">
        <v>1849</v>
      </c>
      <c r="BE411" s="37" t="s">
        <v>152</v>
      </c>
    </row>
    <row r="412" customFormat="false" ht="16.4" hidden="false" customHeight="false" outlineLevel="0" collapsed="false">
      <c r="A412" s="36" t="n">
        <f aca="false">IF(B412=0,"",MAX($A$3:A411)+1)</f>
        <v>320</v>
      </c>
      <c r="B412" s="36" t="n">
        <f aca="false">IF(OR(M412="FLETE",M412="FLETE ENVIO GARANTIA",M412="FLETE RECOLECCION GARANTIA",M412="COMPENSACION"),0,1)</f>
        <v>1</v>
      </c>
      <c r="D412" s="10" t="s">
        <v>1838</v>
      </c>
      <c r="J412" s="0" t="s">
        <v>1250</v>
      </c>
      <c r="K412" s="0" t="s">
        <v>214</v>
      </c>
      <c r="L412" s="0" t="s">
        <v>1853</v>
      </c>
      <c r="M412" s="0" t="s">
        <v>1854</v>
      </c>
      <c r="N412" s="0" t="n">
        <v>1</v>
      </c>
      <c r="P412" s="0" t="s">
        <v>217</v>
      </c>
      <c r="Q412" s="0" t="s">
        <v>218</v>
      </c>
      <c r="R412" s="0" t="s">
        <v>984</v>
      </c>
      <c r="S412" s="0" t="s">
        <v>220</v>
      </c>
      <c r="T412" s="0" t="s">
        <v>221</v>
      </c>
      <c r="U412" s="0" t="s">
        <v>160</v>
      </c>
      <c r="V412" s="0" t="s">
        <v>1841</v>
      </c>
      <c r="W412" s="12" t="n">
        <v>0</v>
      </c>
      <c r="Y412" s="12" t="s">
        <v>143</v>
      </c>
      <c r="AG412" s="0" t="s">
        <v>2</v>
      </c>
      <c r="AL412" s="13" t="n">
        <v>1385630.2521</v>
      </c>
      <c r="AM412" s="14" t="n">
        <v>33</v>
      </c>
      <c r="AN412" s="13" t="n">
        <v>1104763</v>
      </c>
      <c r="AO412" s="13" t="n">
        <v>176390.73</v>
      </c>
      <c r="AR412" s="0" t="s">
        <v>1855</v>
      </c>
      <c r="AZ412" s="0" t="s">
        <v>89</v>
      </c>
      <c r="BA412" s="0" t="s">
        <v>89</v>
      </c>
      <c r="BB412" s="0" t="s">
        <v>90</v>
      </c>
      <c r="BC412" s="0" t="s">
        <v>150</v>
      </c>
      <c r="BD412" s="15" t="s">
        <v>1849</v>
      </c>
      <c r="BE412" s="37" t="s">
        <v>152</v>
      </c>
    </row>
    <row r="413" customFormat="false" ht="16.4" hidden="false" customHeight="false" outlineLevel="0" collapsed="false">
      <c r="A413" s="36" t="n">
        <f aca="false">IF(B413=0,"",MAX($A$3:A412)+1)</f>
        <v>321</v>
      </c>
      <c r="B413" s="36" t="n">
        <f aca="false">IF(OR(M413="FLETE",M413="FLETE ENVIO GARANTIA",M413="FLETE RECOLECCION GARANTIA",M413="COMPENSACION"),0,1)</f>
        <v>1</v>
      </c>
      <c r="D413" s="10" t="s">
        <v>1838</v>
      </c>
      <c r="J413" s="0" t="s">
        <v>1250</v>
      </c>
      <c r="K413" s="0" t="s">
        <v>529</v>
      </c>
      <c r="L413" s="0" t="s">
        <v>1856</v>
      </c>
      <c r="M413" s="0" t="s">
        <v>1857</v>
      </c>
      <c r="N413" s="0" t="n">
        <v>1</v>
      </c>
      <c r="P413" s="0" t="s">
        <v>217</v>
      </c>
      <c r="Q413" s="0" t="s">
        <v>541</v>
      </c>
      <c r="R413" s="0" t="s">
        <v>542</v>
      </c>
      <c r="T413" s="0" t="s">
        <v>198</v>
      </c>
      <c r="U413" s="0" t="s">
        <v>160</v>
      </c>
      <c r="V413" s="0" t="s">
        <v>1841</v>
      </c>
      <c r="W413" s="12" t="n">
        <v>0</v>
      </c>
      <c r="Y413" s="12" t="s">
        <v>143</v>
      </c>
      <c r="AG413" s="0" t="s">
        <v>2</v>
      </c>
      <c r="AL413" s="13" t="n">
        <v>303277.3109</v>
      </c>
      <c r="AM413" s="14" t="n">
        <v>33</v>
      </c>
      <c r="AN413" s="13" t="n">
        <v>241803</v>
      </c>
      <c r="AO413" s="13" t="n">
        <v>38607.2</v>
      </c>
      <c r="AR413" s="0" t="s">
        <v>1858</v>
      </c>
      <c r="AZ413" s="0" t="s">
        <v>89</v>
      </c>
      <c r="BA413" s="0" t="s">
        <v>89</v>
      </c>
      <c r="BB413" s="0" t="s">
        <v>90</v>
      </c>
      <c r="BC413" s="0" t="s">
        <v>150</v>
      </c>
      <c r="BD413" s="15" t="s">
        <v>1849</v>
      </c>
      <c r="BE413" s="37" t="s">
        <v>152</v>
      </c>
    </row>
    <row r="414" customFormat="false" ht="16.4" hidden="false" customHeight="false" outlineLevel="0" collapsed="false">
      <c r="A414" s="36" t="n">
        <f aca="false">IF(B414=0,"",MAX($A$3:A413)+1)</f>
        <v>322</v>
      </c>
      <c r="B414" s="36" t="n">
        <f aca="false">IF(OR(M414="FLETE",M414="FLETE ENVIO GARANTIA",M414="FLETE RECOLECCION GARANTIA",M414="COMPENSACION"),0,1)</f>
        <v>1</v>
      </c>
      <c r="D414" s="10" t="s">
        <v>1838</v>
      </c>
      <c r="J414" s="0" t="s">
        <v>1250</v>
      </c>
      <c r="K414" s="0" t="s">
        <v>246</v>
      </c>
      <c r="L414" s="0" t="s">
        <v>1859</v>
      </c>
      <c r="M414" s="0" t="s">
        <v>1860</v>
      </c>
      <c r="N414" s="0" t="n">
        <v>1</v>
      </c>
      <c r="P414" s="0" t="s">
        <v>249</v>
      </c>
      <c r="Q414" s="0" t="s">
        <v>250</v>
      </c>
      <c r="R414" s="0" t="s">
        <v>738</v>
      </c>
      <c r="S414" s="0" t="s">
        <v>220</v>
      </c>
      <c r="T414" s="0" t="s">
        <v>449</v>
      </c>
      <c r="V414" s="0" t="s">
        <v>1841</v>
      </c>
      <c r="W414" s="12" t="n">
        <v>0</v>
      </c>
      <c r="Y414" s="0" t="s">
        <v>143</v>
      </c>
      <c r="AG414" s="0" t="s">
        <v>2</v>
      </c>
      <c r="AL414" s="13" t="n">
        <v>56218.4874</v>
      </c>
      <c r="AM414" s="14" t="n">
        <v>74.588</v>
      </c>
      <c r="AN414" s="13" t="n">
        <v>17000.63</v>
      </c>
      <c r="AO414" s="13" t="n">
        <v>2714.39</v>
      </c>
      <c r="AR414" s="0" t="s">
        <v>1861</v>
      </c>
      <c r="AZ414" s="0" t="s">
        <v>89</v>
      </c>
      <c r="BA414" s="0" t="s">
        <v>89</v>
      </c>
      <c r="BB414" s="0" t="s">
        <v>90</v>
      </c>
      <c r="BC414" s="0" t="s">
        <v>150</v>
      </c>
      <c r="BD414" s="15" t="s">
        <v>1849</v>
      </c>
      <c r="BE414" s="37" t="s">
        <v>152</v>
      </c>
    </row>
    <row r="415" customFormat="false" ht="16.4" hidden="false" customHeight="false" outlineLevel="0" collapsed="false">
      <c r="A415" s="36" t="n">
        <f aca="false">IF(B415=0,"",MAX($A$3:A414)+1)</f>
        <v>323</v>
      </c>
      <c r="B415" s="36" t="n">
        <f aca="false">IF(OR(M415="FLETE",M415="FLETE ENVIO GARANTIA",M415="FLETE RECOLECCION GARANTIA",M415="COMPENSACION"),0,1)</f>
        <v>1</v>
      </c>
      <c r="D415" s="10" t="s">
        <v>1838</v>
      </c>
      <c r="J415" s="0" t="s">
        <v>1250</v>
      </c>
      <c r="K415" s="0" t="s">
        <v>246</v>
      </c>
      <c r="L415" s="0" t="s">
        <v>1859</v>
      </c>
      <c r="M415" s="0" t="s">
        <v>1860</v>
      </c>
      <c r="N415" s="0" t="n">
        <v>1</v>
      </c>
      <c r="P415" s="0" t="s">
        <v>249</v>
      </c>
      <c r="Q415" s="0" t="s">
        <v>250</v>
      </c>
      <c r="R415" s="0" t="s">
        <v>738</v>
      </c>
      <c r="S415" s="0" t="s">
        <v>220</v>
      </c>
      <c r="T415" s="0" t="s">
        <v>449</v>
      </c>
      <c r="V415" s="0" t="s">
        <v>1841</v>
      </c>
      <c r="W415" s="12" t="n">
        <v>0</v>
      </c>
      <c r="Y415" s="12" t="s">
        <v>143</v>
      </c>
      <c r="AG415" s="0" t="s">
        <v>2</v>
      </c>
      <c r="AL415" s="13" t="n">
        <v>56668.4874</v>
      </c>
      <c r="AM415" s="14" t="n">
        <v>26</v>
      </c>
      <c r="AN415" s="13" t="n">
        <v>49902.27</v>
      </c>
      <c r="AO415" s="13" t="n">
        <v>7967.59</v>
      </c>
      <c r="AR415" s="0" t="s">
        <v>1861</v>
      </c>
      <c r="AZ415" s="0" t="s">
        <v>89</v>
      </c>
      <c r="BA415" s="0" t="s">
        <v>89</v>
      </c>
      <c r="BB415" s="0" t="s">
        <v>90</v>
      </c>
      <c r="BC415" s="0" t="s">
        <v>150</v>
      </c>
      <c r="BD415" s="15" t="s">
        <v>1849</v>
      </c>
      <c r="BE415" s="37" t="s">
        <v>152</v>
      </c>
    </row>
    <row r="416" customFormat="false" ht="16.4" hidden="false" customHeight="false" outlineLevel="0" collapsed="false">
      <c r="A416" s="36" t="str">
        <f aca="false">IF(B416=0,"",MAX($A$3:A415)+1)</f>
        <v/>
      </c>
      <c r="B416" s="36" t="n">
        <f aca="false">IF(OR(M416="FLETE",M416="FLETE ENVIO GARANTIA",M416="FLETE RECOLECCION GARANTIA",M416="COMPENSACION"),0,1)</f>
        <v>0</v>
      </c>
      <c r="D416" s="10" t="s">
        <v>1838</v>
      </c>
      <c r="J416" s="0" t="s">
        <v>1250</v>
      </c>
      <c r="K416" s="0" t="s">
        <v>93</v>
      </c>
      <c r="L416" s="0" t="s">
        <v>210</v>
      </c>
      <c r="M416" s="0" t="s">
        <v>211</v>
      </c>
      <c r="N416" s="0" t="n">
        <v>1</v>
      </c>
      <c r="P416" s="0" t="s">
        <v>73</v>
      </c>
      <c r="R416" s="0" t="s">
        <v>211</v>
      </c>
      <c r="V416" s="0" t="s">
        <v>1841</v>
      </c>
      <c r="W416" s="12" t="n">
        <v>0</v>
      </c>
      <c r="Y416" s="0" t="s">
        <v>143</v>
      </c>
      <c r="AG416" s="0" t="s">
        <v>2</v>
      </c>
      <c r="AL416" s="13" t="n">
        <v>50000</v>
      </c>
      <c r="AM416" s="14" t="n">
        <v>0</v>
      </c>
      <c r="AN416" s="13" t="n">
        <v>50000</v>
      </c>
      <c r="AO416" s="13" t="n">
        <v>0</v>
      </c>
      <c r="AR416" s="0" t="s">
        <v>1862</v>
      </c>
      <c r="AZ416" s="0" t="s">
        <v>89</v>
      </c>
      <c r="BA416" s="0" t="s">
        <v>89</v>
      </c>
      <c r="BB416" s="0" t="s">
        <v>90</v>
      </c>
      <c r="BC416" s="0" t="s">
        <v>150</v>
      </c>
      <c r="BD416" s="15" t="s">
        <v>1849</v>
      </c>
      <c r="BE416" s="37" t="s">
        <v>152</v>
      </c>
    </row>
    <row r="417" customFormat="false" ht="16.4" hidden="false" customHeight="false" outlineLevel="0" collapsed="false">
      <c r="A417" s="36" t="n">
        <f aca="false">IF(B417=0,"",MAX($A$3:A416)+1)</f>
        <v>324</v>
      </c>
      <c r="B417" s="36" t="n">
        <f aca="false">IF(OR(M417="FLETE",M417="FLETE ENVIO GARANTIA",M417="FLETE RECOLECCION GARANTIA",M417="COMPENSACION"),0,1)</f>
        <v>1</v>
      </c>
      <c r="C417" s="0" t="s">
        <v>1863</v>
      </c>
      <c r="D417" s="10" t="s">
        <v>1864</v>
      </c>
      <c r="E417" s="11" t="n">
        <v>45696</v>
      </c>
      <c r="F417" s="11" t="n">
        <v>45717</v>
      </c>
      <c r="G417" s="11" t="n">
        <v>45719</v>
      </c>
      <c r="H417" s="11" t="n">
        <v>45717</v>
      </c>
      <c r="I417" s="11" t="n">
        <v>45717</v>
      </c>
      <c r="J417" s="0" t="s">
        <v>1212</v>
      </c>
      <c r="K417" s="0" t="s">
        <v>135</v>
      </c>
      <c r="L417" s="0" t="s">
        <v>1865</v>
      </c>
      <c r="M417" s="0" t="s">
        <v>1866</v>
      </c>
      <c r="N417" s="0" t="n">
        <v>1</v>
      </c>
      <c r="P417" s="0" t="s">
        <v>138</v>
      </c>
      <c r="Q417" s="0" t="s">
        <v>139</v>
      </c>
      <c r="R417" s="0" t="s">
        <v>1708</v>
      </c>
      <c r="T417" s="0" t="s">
        <v>1867</v>
      </c>
      <c r="V417" s="0" t="s">
        <v>1868</v>
      </c>
      <c r="W417" s="12" t="n">
        <v>0</v>
      </c>
      <c r="Y417" s="12" t="s">
        <v>178</v>
      </c>
      <c r="Z417" s="0" t="s">
        <v>202</v>
      </c>
      <c r="AB417" s="0" t="n">
        <v>35536900</v>
      </c>
      <c r="AC417" s="0" t="s">
        <v>1869</v>
      </c>
      <c r="AD417" s="0" t="s">
        <v>1870</v>
      </c>
      <c r="AG417" s="0" t="s">
        <v>10</v>
      </c>
      <c r="AH417" s="0" t="n">
        <v>4</v>
      </c>
      <c r="AI417" s="0" t="s">
        <v>1871</v>
      </c>
      <c r="AK417" s="0" t="s">
        <v>85</v>
      </c>
      <c r="AL417" s="13" t="n">
        <v>765462.1849</v>
      </c>
      <c r="AM417" s="14" t="n">
        <v>25</v>
      </c>
      <c r="AN417" s="13" t="n">
        <v>683175</v>
      </c>
      <c r="AO417" s="13" t="n">
        <v>109078.36</v>
      </c>
      <c r="AP417" s="0" t="s">
        <v>1872</v>
      </c>
      <c r="AQ417" s="0" t="s">
        <v>1379</v>
      </c>
      <c r="AR417" s="0" t="s">
        <v>1873</v>
      </c>
      <c r="AS417" s="0" t="n">
        <v>3496799.15</v>
      </c>
      <c r="AT417" s="0" t="s">
        <v>1869</v>
      </c>
      <c r="AU417" s="0" t="s">
        <v>178</v>
      </c>
      <c r="AW417" s="0" t="s">
        <v>1870</v>
      </c>
      <c r="AX417" s="0" t="s">
        <v>1868</v>
      </c>
      <c r="AY417" s="0" t="n">
        <v>35536900</v>
      </c>
      <c r="AZ417" s="0" t="s">
        <v>89</v>
      </c>
      <c r="BA417" s="0" t="s">
        <v>89</v>
      </c>
      <c r="BB417" s="0" t="s">
        <v>90</v>
      </c>
      <c r="BC417" s="0" t="s">
        <v>241</v>
      </c>
      <c r="BD417" s="15" t="s">
        <v>1874</v>
      </c>
      <c r="BE417" s="37" t="s">
        <v>92</v>
      </c>
    </row>
    <row r="418" customFormat="false" ht="16.4" hidden="false" customHeight="false" outlineLevel="0" collapsed="false">
      <c r="A418" s="36" t="n">
        <f aca="false">IF(B418=0,"",MAX($A$3:A417)+1)</f>
        <v>325</v>
      </c>
      <c r="B418" s="36" t="n">
        <f aca="false">IF(OR(M418="FLETE",M418="FLETE ENVIO GARANTIA",M418="FLETE RECOLECCION GARANTIA",M418="COMPENSACION"),0,1)</f>
        <v>1</v>
      </c>
      <c r="D418" s="10" t="s">
        <v>1864</v>
      </c>
      <c r="J418" s="0" t="s">
        <v>1212</v>
      </c>
      <c r="K418" s="0" t="s">
        <v>493</v>
      </c>
      <c r="L418" s="0" t="s">
        <v>1875</v>
      </c>
      <c r="M418" s="0" t="s">
        <v>1876</v>
      </c>
      <c r="N418" s="0" t="n">
        <v>2</v>
      </c>
      <c r="P418" s="0" t="s">
        <v>138</v>
      </c>
      <c r="Q418" s="0" t="s">
        <v>496</v>
      </c>
      <c r="R418" s="0" t="s">
        <v>554</v>
      </c>
      <c r="S418" s="0" t="s">
        <v>810</v>
      </c>
      <c r="T418" s="0" t="s">
        <v>449</v>
      </c>
      <c r="U418" s="0" t="s">
        <v>1877</v>
      </c>
      <c r="V418" s="0" t="s">
        <v>1868</v>
      </c>
      <c r="W418" s="12" t="n">
        <v>0</v>
      </c>
      <c r="Y418" s="0" t="s">
        <v>178</v>
      </c>
      <c r="AG418" s="0" t="s">
        <v>10</v>
      </c>
      <c r="AL418" s="13" t="n">
        <v>417563.0252</v>
      </c>
      <c r="AM418" s="14" t="n">
        <v>25</v>
      </c>
      <c r="AN418" s="13" t="n">
        <v>745350</v>
      </c>
      <c r="AO418" s="13" t="n">
        <v>119005.46</v>
      </c>
      <c r="AR418" s="0" t="s">
        <v>1878</v>
      </c>
      <c r="AZ418" s="0" t="s">
        <v>89</v>
      </c>
      <c r="BA418" s="0" t="s">
        <v>89</v>
      </c>
      <c r="BB418" s="0" t="s">
        <v>90</v>
      </c>
      <c r="BC418" s="0" t="s">
        <v>241</v>
      </c>
      <c r="BD418" s="15" t="s">
        <v>1874</v>
      </c>
      <c r="BE418" s="37" t="s">
        <v>92</v>
      </c>
    </row>
    <row r="419" customFormat="false" ht="16.4" hidden="false" customHeight="false" outlineLevel="0" collapsed="false">
      <c r="A419" s="36" t="n">
        <f aca="false">IF(B419=0,"",MAX($A$3:A418)+1)</f>
        <v>326</v>
      </c>
      <c r="B419" s="36" t="n">
        <f aca="false">IF(OR(M419="FLETE",M419="FLETE ENVIO GARANTIA",M419="FLETE RECOLECCION GARANTIA",M419="COMPENSACION"),0,1)</f>
        <v>1</v>
      </c>
      <c r="D419" s="10" t="s">
        <v>1864</v>
      </c>
      <c r="J419" s="0" t="s">
        <v>1212</v>
      </c>
      <c r="K419" s="0" t="s">
        <v>493</v>
      </c>
      <c r="L419" s="0" t="s">
        <v>1879</v>
      </c>
      <c r="M419" s="0" t="s">
        <v>1880</v>
      </c>
      <c r="N419" s="0" t="n">
        <v>2</v>
      </c>
      <c r="P419" s="0" t="s">
        <v>138</v>
      </c>
      <c r="Q419" s="0" t="s">
        <v>496</v>
      </c>
      <c r="R419" s="0" t="s">
        <v>554</v>
      </c>
      <c r="S419" s="0" t="s">
        <v>810</v>
      </c>
      <c r="T419" s="0" t="s">
        <v>513</v>
      </c>
      <c r="U419" s="0" t="s">
        <v>1877</v>
      </c>
      <c r="V419" s="0" t="s">
        <v>1868</v>
      </c>
      <c r="W419" s="12" t="n">
        <v>0</v>
      </c>
      <c r="Y419" s="12" t="s">
        <v>178</v>
      </c>
      <c r="AG419" s="0" t="s">
        <v>10</v>
      </c>
      <c r="AL419" s="13" t="n">
        <v>417563.0252</v>
      </c>
      <c r="AM419" s="14" t="n">
        <v>25</v>
      </c>
      <c r="AN419" s="13" t="n">
        <v>745350</v>
      </c>
      <c r="AO419" s="13" t="n">
        <v>119005.46</v>
      </c>
      <c r="AR419" s="0" t="s">
        <v>1881</v>
      </c>
      <c r="AZ419" s="0" t="s">
        <v>89</v>
      </c>
      <c r="BA419" s="0" t="s">
        <v>89</v>
      </c>
      <c r="BB419" s="0" t="s">
        <v>90</v>
      </c>
      <c r="BC419" s="0" t="s">
        <v>241</v>
      </c>
      <c r="BD419" s="15" t="s">
        <v>1874</v>
      </c>
      <c r="BE419" s="37" t="s">
        <v>92</v>
      </c>
    </row>
    <row r="420" customFormat="false" ht="16.4" hidden="false" customHeight="false" outlineLevel="0" collapsed="false">
      <c r="A420" s="36" t="n">
        <f aca="false">IF(B420=0,"",MAX($A$3:A419)+1)</f>
        <v>327</v>
      </c>
      <c r="B420" s="36" t="n">
        <f aca="false">IF(OR(M420="FLETE",M420="FLETE ENVIO GARANTIA",M420="FLETE RECOLECCION GARANTIA",M420="COMPENSACION"),0,1)</f>
        <v>1</v>
      </c>
      <c r="D420" s="10" t="s">
        <v>1864</v>
      </c>
      <c r="J420" s="0" t="s">
        <v>1212</v>
      </c>
      <c r="K420" s="0" t="s">
        <v>214</v>
      </c>
      <c r="L420" s="0" t="s">
        <v>1882</v>
      </c>
      <c r="M420" s="0" t="s">
        <v>1883</v>
      </c>
      <c r="N420" s="0" t="n">
        <v>1</v>
      </c>
      <c r="P420" s="0" t="s">
        <v>217</v>
      </c>
      <c r="Q420" s="0" t="s">
        <v>218</v>
      </c>
      <c r="R420" s="0" t="s">
        <v>1196</v>
      </c>
      <c r="S420" s="0" t="s">
        <v>810</v>
      </c>
      <c r="T420" s="0" t="s">
        <v>449</v>
      </c>
      <c r="U420" s="0" t="s">
        <v>692</v>
      </c>
      <c r="V420" s="0" t="s">
        <v>1868</v>
      </c>
      <c r="W420" s="12" t="n">
        <v>0</v>
      </c>
      <c r="Y420" s="12" t="s">
        <v>178</v>
      </c>
      <c r="AG420" s="0" t="s">
        <v>10</v>
      </c>
      <c r="AL420" s="13" t="n">
        <v>1394873</v>
      </c>
      <c r="AM420" s="14" t="n">
        <v>25</v>
      </c>
      <c r="AN420" s="13" t="n">
        <v>1244924.15</v>
      </c>
      <c r="AO420" s="13" t="n">
        <v>198769.4</v>
      </c>
      <c r="AR420" s="0" t="s">
        <v>1884</v>
      </c>
      <c r="AZ420" s="0" t="s">
        <v>89</v>
      </c>
      <c r="BA420" s="0" t="s">
        <v>89</v>
      </c>
      <c r="BB420" s="0" t="s">
        <v>90</v>
      </c>
      <c r="BC420" s="0" t="s">
        <v>241</v>
      </c>
      <c r="BD420" s="15" t="s">
        <v>1874</v>
      </c>
      <c r="BE420" s="37" t="s">
        <v>92</v>
      </c>
    </row>
    <row r="421" customFormat="false" ht="16.4" hidden="false" customHeight="false" outlineLevel="0" collapsed="false">
      <c r="A421" s="36" t="n">
        <f aca="false">IF(B421=0,"",MAX($A$3:A420)+1)</f>
        <v>328</v>
      </c>
      <c r="B421" s="36" t="n">
        <f aca="false">IF(OR(M421="FLETE",M421="FLETE ENVIO GARANTIA",M421="FLETE RECOLECCION GARANTIA",M421="COMPENSACION"),0,1)</f>
        <v>1</v>
      </c>
      <c r="D421" s="10" t="s">
        <v>1864</v>
      </c>
      <c r="J421" s="0" t="s">
        <v>1212</v>
      </c>
      <c r="K421" s="0" t="s">
        <v>1326</v>
      </c>
      <c r="L421" s="0" t="s">
        <v>1885</v>
      </c>
      <c r="M421" s="0" t="s">
        <v>1886</v>
      </c>
      <c r="N421" s="0" t="n">
        <v>1</v>
      </c>
      <c r="P421" s="0" t="s">
        <v>249</v>
      </c>
      <c r="Q421" s="0" t="s">
        <v>250</v>
      </c>
      <c r="R421" s="0" t="s">
        <v>1887</v>
      </c>
      <c r="V421" s="0" t="s">
        <v>1868</v>
      </c>
      <c r="W421" s="12" t="n">
        <v>0</v>
      </c>
      <c r="Y421" s="12" t="s">
        <v>178</v>
      </c>
      <c r="AG421" s="0" t="s">
        <v>10</v>
      </c>
      <c r="AL421" s="13" t="n">
        <v>0</v>
      </c>
      <c r="AM421" s="14" t="n">
        <v>0</v>
      </c>
      <c r="AO421" s="13" t="n">
        <v>0</v>
      </c>
      <c r="AR421" s="0" t="s">
        <v>1888</v>
      </c>
      <c r="AZ421" s="0" t="s">
        <v>89</v>
      </c>
      <c r="BA421" s="0" t="s">
        <v>89</v>
      </c>
      <c r="BB421" s="0" t="s">
        <v>90</v>
      </c>
      <c r="BC421" s="0" t="s">
        <v>241</v>
      </c>
      <c r="BD421" s="15" t="s">
        <v>1874</v>
      </c>
      <c r="BE421" s="37" t="s">
        <v>92</v>
      </c>
    </row>
    <row r="422" customFormat="false" ht="16.4" hidden="false" customHeight="false" outlineLevel="0" collapsed="false">
      <c r="A422" s="36" t="str">
        <f aca="false">IF(B422=0,"",MAX($A$3:A421)+1)</f>
        <v/>
      </c>
      <c r="B422" s="36" t="n">
        <f aca="false">IF(OR(M422="FLETE",M422="FLETE ENVIO GARANTIA",M422="FLETE RECOLECCION GARANTIA",M422="COMPENSACION"),0,1)</f>
        <v>0</v>
      </c>
      <c r="D422" s="10" t="s">
        <v>1864</v>
      </c>
      <c r="J422" s="0" t="s">
        <v>1212</v>
      </c>
      <c r="K422" s="0" t="s">
        <v>93</v>
      </c>
      <c r="L422" s="0" t="s">
        <v>210</v>
      </c>
      <c r="M422" s="0" t="s">
        <v>211</v>
      </c>
      <c r="N422" s="0" t="n">
        <v>1</v>
      </c>
      <c r="P422" s="0" t="s">
        <v>73</v>
      </c>
      <c r="R422" s="0" t="s">
        <v>211</v>
      </c>
      <c r="V422" s="0" t="s">
        <v>1868</v>
      </c>
      <c r="W422" s="12" t="n">
        <v>0</v>
      </c>
      <c r="Y422" s="12" t="s">
        <v>178</v>
      </c>
      <c r="AG422" s="0" t="s">
        <v>10</v>
      </c>
      <c r="AL422" s="13" t="n">
        <v>78000</v>
      </c>
      <c r="AM422" s="14" t="n">
        <v>0</v>
      </c>
      <c r="AN422" s="13" t="n">
        <v>78000</v>
      </c>
      <c r="AO422" s="13" t="n">
        <v>0</v>
      </c>
      <c r="AR422" s="0" t="s">
        <v>1889</v>
      </c>
      <c r="AZ422" s="0" t="s">
        <v>89</v>
      </c>
      <c r="BA422" s="0" t="s">
        <v>89</v>
      </c>
      <c r="BB422" s="0" t="s">
        <v>90</v>
      </c>
      <c r="BC422" s="0" t="s">
        <v>241</v>
      </c>
      <c r="BD422" s="15" t="s">
        <v>1874</v>
      </c>
      <c r="BE422" s="37" t="s">
        <v>92</v>
      </c>
    </row>
    <row r="423" customFormat="false" ht="16.4" hidden="false" customHeight="false" outlineLevel="0" collapsed="false">
      <c r="A423" s="36" t="n">
        <f aca="false">IF(B423=0,"",MAX($A$3:A422)+1)</f>
        <v>329</v>
      </c>
      <c r="B423" s="36" t="n">
        <f aca="false">IF(OR(M423="FLETE",M423="FLETE ENVIO GARANTIA",M423="FLETE RECOLECCION GARANTIA",M423="COMPENSACION"),0,1)</f>
        <v>1</v>
      </c>
      <c r="C423" s="0" t="s">
        <v>1890</v>
      </c>
      <c r="D423" s="10" t="n">
        <v>13899400</v>
      </c>
      <c r="E423" s="11" t="n">
        <v>45695</v>
      </c>
      <c r="F423" s="11" t="n">
        <v>45717</v>
      </c>
      <c r="G423" s="11" t="n">
        <v>45719</v>
      </c>
      <c r="I423" s="11" t="n">
        <v>45721</v>
      </c>
      <c r="J423" s="0" t="s">
        <v>282</v>
      </c>
      <c r="K423" s="0" t="s">
        <v>214</v>
      </c>
      <c r="L423" s="0" t="s">
        <v>1891</v>
      </c>
      <c r="M423" s="0" t="s">
        <v>1892</v>
      </c>
      <c r="N423" s="0" t="n">
        <v>16</v>
      </c>
      <c r="P423" s="0" t="s">
        <v>217</v>
      </c>
      <c r="Q423" s="0" t="s">
        <v>482</v>
      </c>
      <c r="R423" s="0" t="s">
        <v>1099</v>
      </c>
      <c r="S423" s="0" t="s">
        <v>591</v>
      </c>
      <c r="T423" s="0" t="s">
        <v>513</v>
      </c>
      <c r="U423" s="0" t="s">
        <v>199</v>
      </c>
      <c r="V423" s="0" t="s">
        <v>1893</v>
      </c>
      <c r="W423" s="12" t="n">
        <v>0</v>
      </c>
      <c r="Y423" s="12" t="s">
        <v>439</v>
      </c>
      <c r="Z423" s="0" t="s">
        <v>179</v>
      </c>
      <c r="AB423" s="0" t="n">
        <v>8002081463001</v>
      </c>
      <c r="AC423" s="0" t="s">
        <v>1894</v>
      </c>
      <c r="AE423" s="0" t="n">
        <v>0</v>
      </c>
      <c r="AF423" s="0" t="s">
        <v>1895</v>
      </c>
      <c r="AG423" s="0" t="s">
        <v>6</v>
      </c>
      <c r="AK423" s="0" t="s">
        <v>85</v>
      </c>
      <c r="AL423" s="13" t="n">
        <v>283900</v>
      </c>
      <c r="AM423" s="14" t="n">
        <v>-13.0328</v>
      </c>
      <c r="AN423" s="13" t="n">
        <v>6109938.27</v>
      </c>
      <c r="AO423" s="13" t="n">
        <v>975536.36</v>
      </c>
      <c r="AP423" s="0" t="n">
        <v>0</v>
      </c>
      <c r="AR423" s="0" t="s">
        <v>1896</v>
      </c>
      <c r="AS423" s="0" t="n">
        <v>7047182.44</v>
      </c>
      <c r="AT423" s="0" t="s">
        <v>441</v>
      </c>
      <c r="AU423" s="0" t="s">
        <v>444</v>
      </c>
      <c r="AV423" s="0" t="s">
        <v>445</v>
      </c>
      <c r="AX423" s="0" t="s">
        <v>438</v>
      </c>
      <c r="AY423" s="0" t="s">
        <v>440</v>
      </c>
      <c r="AZ423" s="0" t="s">
        <v>89</v>
      </c>
      <c r="BA423" s="0" t="s">
        <v>89</v>
      </c>
      <c r="BB423" s="0" t="s">
        <v>130</v>
      </c>
      <c r="BC423" s="0" t="n">
        <v>0</v>
      </c>
      <c r="BD423" s="15" t="s">
        <v>1897</v>
      </c>
      <c r="BE423" s="37" t="s">
        <v>1898</v>
      </c>
    </row>
    <row r="424" customFormat="false" ht="16.4" hidden="false" customHeight="false" outlineLevel="0" collapsed="false">
      <c r="A424" s="36" t="n">
        <f aca="false">IF(B424=0,"",MAX($A$3:A423)+1)</f>
        <v>330</v>
      </c>
      <c r="B424" s="36" t="n">
        <f aca="false">IF(OR(M424="FLETE",M424="FLETE ENVIO GARANTIA",M424="FLETE RECOLECCION GARANTIA",M424="COMPENSACION"),0,1)</f>
        <v>1</v>
      </c>
      <c r="D424" s="10" t="n">
        <v>13899400</v>
      </c>
      <c r="J424" s="0" t="s">
        <v>282</v>
      </c>
      <c r="K424" s="0" t="s">
        <v>529</v>
      </c>
      <c r="L424" s="0" t="s">
        <v>1899</v>
      </c>
      <c r="M424" s="0" t="s">
        <v>1900</v>
      </c>
      <c r="N424" s="0" t="n">
        <v>4</v>
      </c>
      <c r="P424" s="0" t="s">
        <v>217</v>
      </c>
      <c r="Q424" s="0" t="s">
        <v>541</v>
      </c>
      <c r="R424" s="0" t="s">
        <v>1901</v>
      </c>
      <c r="T424" s="0" t="s">
        <v>692</v>
      </c>
      <c r="U424" s="0" t="s">
        <v>508</v>
      </c>
      <c r="V424" s="0" t="s">
        <v>1893</v>
      </c>
      <c r="W424" s="12" t="n">
        <v>0</v>
      </c>
      <c r="Y424" s="12" t="s">
        <v>439</v>
      </c>
      <c r="AG424" s="0" t="s">
        <v>6</v>
      </c>
      <c r="AL424" s="13" t="n">
        <v>187900</v>
      </c>
      <c r="AM424" s="14" t="n">
        <v>-4.7898</v>
      </c>
      <c r="AN424" s="13" t="n">
        <v>937244.17</v>
      </c>
      <c r="AO424" s="13" t="n">
        <v>149644.03</v>
      </c>
      <c r="AR424" s="0" t="s">
        <v>1896</v>
      </c>
      <c r="AZ424" s="0" t="s">
        <v>89</v>
      </c>
      <c r="BA424" s="0" t="s">
        <v>89</v>
      </c>
      <c r="BB424" s="0" t="s">
        <v>130</v>
      </c>
      <c r="BC424" s="0" t="n">
        <v>0</v>
      </c>
      <c r="BD424" s="15" t="s">
        <v>1897</v>
      </c>
      <c r="BE424" s="37" t="s">
        <v>1898</v>
      </c>
    </row>
    <row r="425" customFormat="false" ht="16.4" hidden="false" customHeight="false" outlineLevel="0" collapsed="false">
      <c r="A425" s="36" t="str">
        <f aca="false">IF(B425=0,"",MAX($A$3:A424)+1)</f>
        <v/>
      </c>
      <c r="B425" s="36" t="n">
        <f aca="false">IF(OR(M425="FLETE",M425="FLETE ENVIO GARANTIA",M425="FLETE RECOLECCION GARANTIA",M425="COMPENSACION"),0,1)</f>
        <v>0</v>
      </c>
      <c r="D425" s="10" t="n">
        <v>13899400</v>
      </c>
      <c r="J425" s="0" t="s">
        <v>282</v>
      </c>
      <c r="K425" s="0" t="s">
        <v>93</v>
      </c>
      <c r="L425" s="0" t="s">
        <v>210</v>
      </c>
      <c r="M425" s="0" t="s">
        <v>211</v>
      </c>
      <c r="N425" s="0" t="n">
        <v>1</v>
      </c>
      <c r="P425" s="0" t="s">
        <v>73</v>
      </c>
      <c r="R425" s="0" t="s">
        <v>211</v>
      </c>
      <c r="V425" s="0" t="s">
        <v>1893</v>
      </c>
      <c r="W425" s="12" t="n">
        <v>0</v>
      </c>
      <c r="Y425" s="12" t="s">
        <v>439</v>
      </c>
      <c r="AG425" s="0" t="s">
        <v>6</v>
      </c>
      <c r="AL425" s="13" t="n">
        <v>0</v>
      </c>
      <c r="AM425" s="14" t="n">
        <v>0</v>
      </c>
      <c r="AO425" s="13" t="n">
        <v>0</v>
      </c>
      <c r="AR425" s="0" t="s">
        <v>1896</v>
      </c>
      <c r="AZ425" s="0" t="s">
        <v>89</v>
      </c>
      <c r="BA425" s="0" t="s">
        <v>89</v>
      </c>
      <c r="BB425" s="0" t="s">
        <v>130</v>
      </c>
      <c r="BC425" s="0" t="n">
        <v>0</v>
      </c>
      <c r="BD425" s="15" t="s">
        <v>1897</v>
      </c>
      <c r="BE425" s="37" t="s">
        <v>1898</v>
      </c>
    </row>
    <row r="426" customFormat="false" ht="16.4" hidden="false" customHeight="false" outlineLevel="0" collapsed="false">
      <c r="A426" s="36" t="n">
        <f aca="false">IF(B426=0,"",MAX($A$3:A425)+1)</f>
        <v>331</v>
      </c>
      <c r="B426" s="36" t="n">
        <f aca="false">IF(OR(M426="FLETE",M426="FLETE ENVIO GARANTIA",M426="FLETE RECOLECCION GARANTIA",M426="COMPENSACION"),0,1)</f>
        <v>1</v>
      </c>
      <c r="C426" s="0" t="s">
        <v>1902</v>
      </c>
      <c r="D426" s="10" t="n">
        <v>13894897</v>
      </c>
      <c r="E426" s="11" t="n">
        <v>45694</v>
      </c>
      <c r="F426" s="11" t="n">
        <v>45717</v>
      </c>
      <c r="G426" s="11" t="n">
        <v>45719</v>
      </c>
      <c r="I426" s="11" t="n">
        <v>45719</v>
      </c>
      <c r="J426" s="0" t="s">
        <v>282</v>
      </c>
      <c r="K426" s="0" t="s">
        <v>479</v>
      </c>
      <c r="L426" s="0" t="s">
        <v>1903</v>
      </c>
      <c r="M426" s="0" t="s">
        <v>1904</v>
      </c>
      <c r="N426" s="0" t="n">
        <v>1</v>
      </c>
      <c r="P426" s="0" t="s">
        <v>217</v>
      </c>
      <c r="Q426" s="0" t="s">
        <v>482</v>
      </c>
      <c r="R426" s="0" t="s">
        <v>656</v>
      </c>
      <c r="S426" s="0" t="s">
        <v>435</v>
      </c>
      <c r="T426" s="0" t="s">
        <v>513</v>
      </c>
      <c r="U426" s="0" t="s">
        <v>199</v>
      </c>
      <c r="V426" s="0" t="s">
        <v>1905</v>
      </c>
      <c r="W426" s="12" t="n">
        <v>0</v>
      </c>
      <c r="Y426" s="0" t="s">
        <v>1906</v>
      </c>
      <c r="Z426" s="0" t="s">
        <v>224</v>
      </c>
      <c r="AB426" s="0" t="n">
        <v>1096645781</v>
      </c>
      <c r="AC426" s="0" t="s">
        <v>1907</v>
      </c>
      <c r="AE426" s="0" t="n">
        <v>3133932870</v>
      </c>
      <c r="AF426" s="0" t="n">
        <v>576401</v>
      </c>
      <c r="AG426" s="0" t="s">
        <v>6</v>
      </c>
      <c r="AK426" s="0" t="s">
        <v>85</v>
      </c>
      <c r="AL426" s="13" t="n">
        <v>400900</v>
      </c>
      <c r="AM426" s="14" t="n">
        <v>-9.4787</v>
      </c>
      <c r="AN426" s="13" t="n">
        <v>522291.13</v>
      </c>
      <c r="AO426" s="13" t="n">
        <v>83391.02</v>
      </c>
      <c r="AP426" s="0" t="s">
        <v>1908</v>
      </c>
      <c r="AR426" s="0" t="s">
        <v>1909</v>
      </c>
      <c r="AS426" s="0" t="n">
        <v>522291.13</v>
      </c>
      <c r="AT426" s="0" t="s">
        <v>441</v>
      </c>
      <c r="AU426" s="0" t="s">
        <v>444</v>
      </c>
      <c r="AV426" s="0" t="s">
        <v>445</v>
      </c>
      <c r="AX426" s="0" t="s">
        <v>438</v>
      </c>
      <c r="AY426" s="0" t="s">
        <v>440</v>
      </c>
      <c r="AZ426" s="0" t="s">
        <v>89</v>
      </c>
      <c r="BA426" s="0" t="s">
        <v>89</v>
      </c>
      <c r="BB426" s="0" t="s">
        <v>90</v>
      </c>
      <c r="BC426" s="0" t="s">
        <v>241</v>
      </c>
      <c r="BD426" s="15" t="s">
        <v>1910</v>
      </c>
      <c r="BE426" s="37" t="s">
        <v>461</v>
      </c>
    </row>
    <row r="427" customFormat="false" ht="16.4" hidden="false" customHeight="false" outlineLevel="0" collapsed="false">
      <c r="A427" s="36" t="str">
        <f aca="false">IF(B427=0,"",MAX($A$3:A426)+1)</f>
        <v/>
      </c>
      <c r="B427" s="36" t="n">
        <f aca="false">IF(OR(M427="FLETE",M427="FLETE ENVIO GARANTIA",M427="FLETE RECOLECCION GARANTIA",M427="COMPENSACION"),0,1)</f>
        <v>0</v>
      </c>
      <c r="D427" s="10" t="n">
        <v>13894897</v>
      </c>
      <c r="J427" s="0" t="s">
        <v>282</v>
      </c>
      <c r="K427" s="0" t="s">
        <v>93</v>
      </c>
      <c r="L427" s="0" t="s">
        <v>210</v>
      </c>
      <c r="M427" s="0" t="s">
        <v>211</v>
      </c>
      <c r="N427" s="0" t="n">
        <v>1</v>
      </c>
      <c r="P427" s="0" t="s">
        <v>73</v>
      </c>
      <c r="R427" s="0" t="s">
        <v>211</v>
      </c>
      <c r="V427" s="0" t="s">
        <v>1905</v>
      </c>
      <c r="W427" s="12" t="n">
        <v>0</v>
      </c>
      <c r="Y427" s="12" t="s">
        <v>1906</v>
      </c>
      <c r="AG427" s="0" t="s">
        <v>6</v>
      </c>
      <c r="AL427" s="13" t="n">
        <v>0</v>
      </c>
      <c r="AM427" s="14" t="n">
        <v>0</v>
      </c>
      <c r="AO427" s="13" t="n">
        <v>0</v>
      </c>
      <c r="AR427" s="0" t="s">
        <v>1909</v>
      </c>
      <c r="AZ427" s="0" t="s">
        <v>89</v>
      </c>
      <c r="BA427" s="0" t="s">
        <v>89</v>
      </c>
      <c r="BB427" s="0" t="s">
        <v>90</v>
      </c>
      <c r="BC427" s="0" t="s">
        <v>241</v>
      </c>
      <c r="BD427" s="15" t="s">
        <v>1910</v>
      </c>
      <c r="BE427" s="37" t="s">
        <v>461</v>
      </c>
    </row>
    <row r="428" customFormat="false" ht="16.4" hidden="false" customHeight="false" outlineLevel="0" collapsed="false">
      <c r="A428" s="36" t="n">
        <f aca="false">IF(B428=0,"",MAX($A$3:A427)+1)</f>
        <v>332</v>
      </c>
      <c r="B428" s="36" t="n">
        <f aca="false">IF(OR(M428="FLETE",M428="FLETE ENVIO GARANTIA",M428="FLETE RECOLECCION GARANTIA",M428="COMPENSACION"),0,1)</f>
        <v>1</v>
      </c>
      <c r="C428" s="0" t="s">
        <v>1911</v>
      </c>
      <c r="D428" s="10" t="s">
        <v>1912</v>
      </c>
      <c r="E428" s="11" t="n">
        <v>45693</v>
      </c>
      <c r="F428" s="11" t="n">
        <v>45714</v>
      </c>
      <c r="G428" s="11" t="n">
        <v>45719</v>
      </c>
      <c r="H428" s="11" t="n">
        <v>45714</v>
      </c>
      <c r="I428" s="11" t="n">
        <v>45714</v>
      </c>
      <c r="J428" s="0" t="s">
        <v>1193</v>
      </c>
      <c r="K428" s="0" t="s">
        <v>135</v>
      </c>
      <c r="L428" s="0" t="s">
        <v>1913</v>
      </c>
      <c r="M428" s="0" t="s">
        <v>1914</v>
      </c>
      <c r="N428" s="0" t="n">
        <v>1</v>
      </c>
      <c r="P428" s="0" t="s">
        <v>138</v>
      </c>
      <c r="Q428" s="0" t="s">
        <v>139</v>
      </c>
      <c r="R428" s="0" t="s">
        <v>1915</v>
      </c>
      <c r="T428" s="0" t="s">
        <v>198</v>
      </c>
      <c r="U428" s="0" t="s">
        <v>199</v>
      </c>
      <c r="V428" s="0" t="s">
        <v>1916</v>
      </c>
      <c r="W428" s="12" t="s">
        <v>1422</v>
      </c>
      <c r="Y428" s="12" t="s">
        <v>178</v>
      </c>
      <c r="Z428" s="0" t="s">
        <v>179</v>
      </c>
      <c r="AA428" s="12" t="s">
        <v>1917</v>
      </c>
      <c r="AB428" s="0" t="n">
        <v>1072712180</v>
      </c>
      <c r="AC428" s="0" t="s">
        <v>1918</v>
      </c>
      <c r="AD428" s="0" t="s">
        <v>1919</v>
      </c>
      <c r="AG428" s="0" t="s">
        <v>11</v>
      </c>
      <c r="AH428" s="0" t="n">
        <v>3</v>
      </c>
      <c r="AI428" s="0" t="s">
        <v>1920</v>
      </c>
      <c r="AK428" s="0" t="s">
        <v>85</v>
      </c>
      <c r="AL428" s="13" t="n">
        <v>713361.3445</v>
      </c>
      <c r="AM428" s="14" t="n">
        <v>33</v>
      </c>
      <c r="AN428" s="13" t="n">
        <v>568763</v>
      </c>
      <c r="AO428" s="13" t="n">
        <v>90810.9</v>
      </c>
      <c r="AP428" s="0" t="s">
        <v>1921</v>
      </c>
      <c r="AQ428" s="0" t="s">
        <v>1428</v>
      </c>
      <c r="AR428" s="0" t="s">
        <v>1922</v>
      </c>
      <c r="AS428" s="0" t="n">
        <v>4354988</v>
      </c>
      <c r="AT428" s="0" t="s">
        <v>1918</v>
      </c>
      <c r="AU428" s="0" t="s">
        <v>178</v>
      </c>
      <c r="AW428" s="0" t="s">
        <v>1919</v>
      </c>
      <c r="AX428" s="0" t="s">
        <v>1916</v>
      </c>
      <c r="AY428" s="0" t="n">
        <v>1072712180</v>
      </c>
      <c r="AZ428" s="0" t="s">
        <v>89</v>
      </c>
      <c r="BA428" s="0" t="s">
        <v>89</v>
      </c>
      <c r="BB428" s="0" t="s">
        <v>90</v>
      </c>
      <c r="BC428" s="0" t="s">
        <v>150</v>
      </c>
      <c r="BD428" s="15" t="s">
        <v>1923</v>
      </c>
      <c r="BE428" s="37" t="s">
        <v>186</v>
      </c>
    </row>
    <row r="429" customFormat="false" ht="16.4" hidden="false" customHeight="false" outlineLevel="0" collapsed="false">
      <c r="A429" s="36" t="n">
        <f aca="false">IF(B429=0,"",MAX($A$3:A428)+1)</f>
        <v>333</v>
      </c>
      <c r="B429" s="36" t="n">
        <f aca="false">IF(OR(M429="FLETE",M429="FLETE ENVIO GARANTIA",M429="FLETE RECOLECCION GARANTIA",M429="COMPENSACION"),0,1)</f>
        <v>1</v>
      </c>
      <c r="D429" s="10" t="s">
        <v>1912</v>
      </c>
      <c r="J429" s="0" t="s">
        <v>1193</v>
      </c>
      <c r="K429" s="0" t="s">
        <v>493</v>
      </c>
      <c r="L429" s="0" t="s">
        <v>1924</v>
      </c>
      <c r="M429" s="0" t="s">
        <v>1925</v>
      </c>
      <c r="N429" s="0" t="n">
        <v>6</v>
      </c>
      <c r="P429" s="0" t="s">
        <v>138</v>
      </c>
      <c r="Q429" s="0" t="s">
        <v>496</v>
      </c>
      <c r="R429" s="0" t="s">
        <v>1926</v>
      </c>
      <c r="S429" s="0" t="s">
        <v>591</v>
      </c>
      <c r="T429" s="0" t="s">
        <v>513</v>
      </c>
      <c r="V429" s="0" t="s">
        <v>1916</v>
      </c>
      <c r="W429" s="12" t="s">
        <v>1422</v>
      </c>
      <c r="Y429" s="12" t="s">
        <v>178</v>
      </c>
      <c r="AG429" s="0" t="s">
        <v>11</v>
      </c>
      <c r="AL429" s="13" t="n">
        <v>309159.6639</v>
      </c>
      <c r="AM429" s="14" t="n">
        <v>25</v>
      </c>
      <c r="AN429" s="13" t="n">
        <v>1655550</v>
      </c>
      <c r="AO429" s="13" t="n">
        <v>264331.51</v>
      </c>
      <c r="AR429" s="0" t="s">
        <v>1927</v>
      </c>
      <c r="AZ429" s="0" t="s">
        <v>89</v>
      </c>
      <c r="BA429" s="0" t="s">
        <v>89</v>
      </c>
      <c r="BB429" s="0" t="s">
        <v>90</v>
      </c>
      <c r="BC429" s="0" t="s">
        <v>150</v>
      </c>
      <c r="BD429" s="15" t="s">
        <v>1923</v>
      </c>
      <c r="BE429" s="37" t="s">
        <v>186</v>
      </c>
    </row>
    <row r="430" customFormat="false" ht="16.4" hidden="false" customHeight="false" outlineLevel="0" collapsed="false">
      <c r="A430" s="36" t="n">
        <f aca="false">IF(B430=0,"",MAX($A$3:A429)+1)</f>
        <v>334</v>
      </c>
      <c r="B430" s="36" t="n">
        <f aca="false">IF(OR(M430="FLETE",M430="FLETE ENVIO GARANTIA",M430="FLETE RECOLECCION GARANTIA",M430="COMPENSACION"),0,1)</f>
        <v>1</v>
      </c>
      <c r="D430" s="10" t="s">
        <v>1912</v>
      </c>
      <c r="J430" s="0" t="s">
        <v>1193</v>
      </c>
      <c r="K430" s="0" t="s">
        <v>214</v>
      </c>
      <c r="L430" s="0" t="s">
        <v>1928</v>
      </c>
      <c r="M430" s="0" t="s">
        <v>1929</v>
      </c>
      <c r="N430" s="0" t="n">
        <v>1</v>
      </c>
      <c r="P430" s="0" t="s">
        <v>217</v>
      </c>
      <c r="Q430" s="0" t="s">
        <v>218</v>
      </c>
      <c r="R430" s="0" t="s">
        <v>604</v>
      </c>
      <c r="S430" s="0" t="s">
        <v>591</v>
      </c>
      <c r="T430" s="0" t="s">
        <v>513</v>
      </c>
      <c r="U430" s="0" t="s">
        <v>199</v>
      </c>
      <c r="V430" s="0" t="s">
        <v>1916</v>
      </c>
      <c r="W430" s="12" t="s">
        <v>1422</v>
      </c>
      <c r="Y430" s="12" t="s">
        <v>178</v>
      </c>
      <c r="AG430" s="0" t="s">
        <v>11</v>
      </c>
      <c r="AL430" s="13" t="n">
        <v>2252857.1429</v>
      </c>
      <c r="AM430" s="14" t="n">
        <v>25</v>
      </c>
      <c r="AN430" s="13" t="n">
        <v>2010675</v>
      </c>
      <c r="AO430" s="13" t="n">
        <v>321032.14</v>
      </c>
      <c r="AR430" s="0" t="s">
        <v>1930</v>
      </c>
      <c r="AZ430" s="0" t="s">
        <v>89</v>
      </c>
      <c r="BA430" s="0" t="s">
        <v>89</v>
      </c>
      <c r="BB430" s="0" t="s">
        <v>90</v>
      </c>
      <c r="BC430" s="0" t="s">
        <v>150</v>
      </c>
      <c r="BD430" s="15" t="s">
        <v>1923</v>
      </c>
      <c r="BE430" s="37" t="s">
        <v>186</v>
      </c>
    </row>
    <row r="431" customFormat="false" ht="16.4" hidden="false" customHeight="false" outlineLevel="0" collapsed="false">
      <c r="A431" s="36" t="str">
        <f aca="false">IF(B431=0,"",MAX($A$3:A430)+1)</f>
        <v/>
      </c>
      <c r="B431" s="36" t="n">
        <f aca="false">IF(OR(M431="FLETE",M431="FLETE ENVIO GARANTIA",M431="FLETE RECOLECCION GARANTIA",M431="COMPENSACION"),0,1)</f>
        <v>0</v>
      </c>
      <c r="D431" s="10" t="s">
        <v>1912</v>
      </c>
      <c r="J431" s="0" t="s">
        <v>1193</v>
      </c>
      <c r="K431" s="0" t="s">
        <v>93</v>
      </c>
      <c r="L431" s="0" t="s">
        <v>210</v>
      </c>
      <c r="M431" s="0" t="s">
        <v>211</v>
      </c>
      <c r="N431" s="0" t="n">
        <v>1</v>
      </c>
      <c r="P431" s="0" t="s">
        <v>73</v>
      </c>
      <c r="R431" s="0" t="s">
        <v>211</v>
      </c>
      <c r="V431" s="0" t="s">
        <v>1916</v>
      </c>
      <c r="W431" s="12" t="s">
        <v>1422</v>
      </c>
      <c r="Y431" s="0" t="s">
        <v>178</v>
      </c>
      <c r="AG431" s="0" t="s">
        <v>11</v>
      </c>
      <c r="AL431" s="13" t="n">
        <v>120000</v>
      </c>
      <c r="AM431" s="14" t="n">
        <v>0</v>
      </c>
      <c r="AN431" s="13" t="n">
        <v>120000</v>
      </c>
      <c r="AO431" s="13" t="n">
        <v>0</v>
      </c>
      <c r="AR431" s="0" t="s">
        <v>1931</v>
      </c>
      <c r="AZ431" s="0" t="s">
        <v>89</v>
      </c>
      <c r="BA431" s="0" t="s">
        <v>89</v>
      </c>
      <c r="BB431" s="0" t="s">
        <v>90</v>
      </c>
      <c r="BC431" s="0" t="s">
        <v>150</v>
      </c>
      <c r="BD431" s="15" t="s">
        <v>1923</v>
      </c>
      <c r="BE431" s="37" t="s">
        <v>186</v>
      </c>
    </row>
    <row r="432" customFormat="false" ht="16.4" hidden="false" customHeight="false" outlineLevel="0" collapsed="false">
      <c r="A432" s="36" t="n">
        <f aca="false">IF(B432=0,"",MAX($A$3:A431)+1)</f>
        <v>335</v>
      </c>
      <c r="B432" s="36" t="n">
        <f aca="false">IF(OR(M432="FLETE",M432="FLETE ENVIO GARANTIA",M432="FLETE RECOLECCION GARANTIA",M432="COMPENSACION"),0,1)</f>
        <v>1</v>
      </c>
      <c r="C432" s="0" t="s">
        <v>1932</v>
      </c>
      <c r="D432" s="10" t="n">
        <v>13893898</v>
      </c>
      <c r="E432" s="11" t="n">
        <v>45693</v>
      </c>
      <c r="F432" s="11" t="n">
        <v>45715</v>
      </c>
      <c r="G432" s="11" t="n">
        <v>45719</v>
      </c>
      <c r="I432" s="11" t="n">
        <v>45719</v>
      </c>
      <c r="J432" s="0" t="s">
        <v>282</v>
      </c>
      <c r="K432" s="0" t="s">
        <v>943</v>
      </c>
      <c r="L432" s="0" t="s">
        <v>1417</v>
      </c>
      <c r="M432" s="0" t="s">
        <v>1418</v>
      </c>
      <c r="N432" s="0" t="n">
        <v>1</v>
      </c>
      <c r="P432" s="0" t="s">
        <v>195</v>
      </c>
      <c r="Q432" s="0" t="s">
        <v>893</v>
      </c>
      <c r="R432" s="0" t="s">
        <v>1419</v>
      </c>
      <c r="T432" s="0" t="s">
        <v>1420</v>
      </c>
      <c r="U432" s="0" t="s">
        <v>199</v>
      </c>
      <c r="V432" s="0" t="s">
        <v>1933</v>
      </c>
      <c r="W432" s="12" t="n">
        <v>0</v>
      </c>
      <c r="Y432" s="12" t="s">
        <v>439</v>
      </c>
      <c r="Z432" s="0" t="s">
        <v>179</v>
      </c>
      <c r="AB432" s="0" t="n">
        <v>35504683</v>
      </c>
      <c r="AC432" s="0" t="s">
        <v>1934</v>
      </c>
      <c r="AE432" s="0" t="n">
        <v>3015672397</v>
      </c>
      <c r="AF432" s="0" t="n">
        <v>566595</v>
      </c>
      <c r="AG432" s="0" t="s">
        <v>6</v>
      </c>
      <c r="AH432" s="0" t="n">
        <v>1</v>
      </c>
      <c r="AK432" s="0" t="s">
        <v>85</v>
      </c>
      <c r="AL432" s="13" t="n">
        <v>1029900</v>
      </c>
      <c r="AM432" s="14" t="n">
        <v>38.7416</v>
      </c>
      <c r="AN432" s="13" t="n">
        <v>750771.31</v>
      </c>
      <c r="AO432" s="13" t="n">
        <v>119871.05</v>
      </c>
      <c r="AP432" s="0" t="s">
        <v>1935</v>
      </c>
      <c r="AR432" s="0" t="s">
        <v>1936</v>
      </c>
      <c r="AS432" s="0" t="n">
        <v>750771.31</v>
      </c>
      <c r="AT432" s="0" t="s">
        <v>441</v>
      </c>
      <c r="AU432" s="0" t="s">
        <v>444</v>
      </c>
      <c r="AV432" s="0" t="s">
        <v>445</v>
      </c>
      <c r="AX432" s="0" t="s">
        <v>438</v>
      </c>
      <c r="AY432" s="0" t="s">
        <v>440</v>
      </c>
      <c r="AZ432" s="0" t="s">
        <v>89</v>
      </c>
      <c r="BA432" s="0" t="s">
        <v>89</v>
      </c>
      <c r="BB432" s="0" t="s">
        <v>90</v>
      </c>
      <c r="BC432" s="0" t="s">
        <v>241</v>
      </c>
      <c r="BD432" s="15" t="s">
        <v>1937</v>
      </c>
      <c r="BE432" s="37" t="s">
        <v>461</v>
      </c>
    </row>
    <row r="433" customFormat="false" ht="16.4" hidden="false" customHeight="false" outlineLevel="0" collapsed="false">
      <c r="A433" s="36" t="str">
        <f aca="false">IF(B433=0,"",MAX($A$3:A432)+1)</f>
        <v/>
      </c>
      <c r="B433" s="36" t="n">
        <f aca="false">IF(OR(M433="FLETE",M433="FLETE ENVIO GARANTIA",M433="FLETE RECOLECCION GARANTIA",M433="COMPENSACION"),0,1)</f>
        <v>0</v>
      </c>
      <c r="D433" s="10" t="n">
        <v>13893898</v>
      </c>
      <c r="J433" s="0" t="s">
        <v>282</v>
      </c>
      <c r="K433" s="0" t="s">
        <v>93</v>
      </c>
      <c r="L433" s="0" t="s">
        <v>210</v>
      </c>
      <c r="M433" s="0" t="s">
        <v>211</v>
      </c>
      <c r="N433" s="0" t="n">
        <v>1</v>
      </c>
      <c r="P433" s="0" t="s">
        <v>73</v>
      </c>
      <c r="R433" s="0" t="s">
        <v>211</v>
      </c>
      <c r="V433" s="0" t="s">
        <v>1933</v>
      </c>
      <c r="W433" s="12" t="n">
        <v>0</v>
      </c>
      <c r="Y433" s="12" t="s">
        <v>439</v>
      </c>
      <c r="AG433" s="0" t="s">
        <v>6</v>
      </c>
      <c r="AL433" s="13" t="n">
        <v>0</v>
      </c>
      <c r="AM433" s="14" t="n">
        <v>0</v>
      </c>
      <c r="AO433" s="13" t="n">
        <v>0</v>
      </c>
      <c r="AR433" s="0" t="s">
        <v>1936</v>
      </c>
      <c r="AZ433" s="0" t="s">
        <v>89</v>
      </c>
      <c r="BA433" s="0" t="s">
        <v>89</v>
      </c>
      <c r="BB433" s="0" t="s">
        <v>90</v>
      </c>
      <c r="BC433" s="0" t="s">
        <v>241</v>
      </c>
      <c r="BD433" s="15" t="s">
        <v>1937</v>
      </c>
      <c r="BE433" s="37" t="s">
        <v>461</v>
      </c>
    </row>
    <row r="434" customFormat="false" ht="16.4" hidden="false" customHeight="false" outlineLevel="0" collapsed="false">
      <c r="A434" s="36" t="n">
        <f aca="false">IF(B434=0,"",MAX($A$3:A433)+1)</f>
        <v>336</v>
      </c>
      <c r="B434" s="36" t="n">
        <f aca="false">IF(OR(M434="FLETE",M434="FLETE ENVIO GARANTIA",M434="FLETE RECOLECCION GARANTIA",M434="COMPENSACION"),0,1)</f>
        <v>1</v>
      </c>
      <c r="C434" s="0" t="s">
        <v>1938</v>
      </c>
      <c r="D434" s="10" t="n">
        <v>2717717646</v>
      </c>
      <c r="E434" s="11" t="n">
        <v>45693</v>
      </c>
      <c r="F434" s="11" t="n">
        <v>45717</v>
      </c>
      <c r="G434" s="11" t="n">
        <v>45719</v>
      </c>
      <c r="I434" s="11" t="n">
        <v>45720</v>
      </c>
      <c r="J434" s="0" t="s">
        <v>232</v>
      </c>
      <c r="K434" s="0" t="s">
        <v>955</v>
      </c>
      <c r="L434" s="0" t="s">
        <v>1667</v>
      </c>
      <c r="M434" s="0" t="s">
        <v>1668</v>
      </c>
      <c r="N434" s="0" t="n">
        <v>1</v>
      </c>
      <c r="P434" s="0" t="s">
        <v>217</v>
      </c>
      <c r="Q434" s="0" t="s">
        <v>958</v>
      </c>
      <c r="R434" s="0" t="s">
        <v>1669</v>
      </c>
      <c r="S434" s="0" t="s">
        <v>158</v>
      </c>
      <c r="T434" s="0" t="s">
        <v>513</v>
      </c>
      <c r="U434" s="0" t="s">
        <v>160</v>
      </c>
      <c r="V434" s="0" t="s">
        <v>1939</v>
      </c>
      <c r="W434" s="12" t="n">
        <v>0</v>
      </c>
      <c r="Y434" s="12" t="s">
        <v>1940</v>
      </c>
      <c r="Z434" s="0" t="s">
        <v>949</v>
      </c>
      <c r="AB434" s="0" t="n">
        <v>93393820</v>
      </c>
      <c r="AC434" s="0" t="s">
        <v>1941</v>
      </c>
      <c r="AE434" s="0" t="n">
        <v>573165363541</v>
      </c>
      <c r="AF434" s="0" t="n">
        <v>136469539</v>
      </c>
      <c r="AG434" s="0" t="s">
        <v>10</v>
      </c>
      <c r="AK434" s="0" t="s">
        <v>85</v>
      </c>
      <c r="AL434" s="13" t="n">
        <v>911722.69</v>
      </c>
      <c r="AM434" s="14" t="n">
        <v>-31.2296</v>
      </c>
      <c r="AN434" s="13" t="n">
        <v>1423775.55</v>
      </c>
      <c r="AO434" s="13" t="n">
        <v>227325.51</v>
      </c>
      <c r="AP434" s="0" t="s">
        <v>1942</v>
      </c>
      <c r="AR434" s="0" t="s">
        <v>1943</v>
      </c>
      <c r="AS434" s="0" t="n">
        <v>2847551.1</v>
      </c>
      <c r="AT434" s="0" t="s">
        <v>1941</v>
      </c>
      <c r="AU434" s="0" t="s">
        <v>1940</v>
      </c>
      <c r="AV434" s="0" t="n">
        <v>573165363541</v>
      </c>
      <c r="AX434" s="0" t="s">
        <v>1939</v>
      </c>
      <c r="AY434" s="0" t="n">
        <v>93393820</v>
      </c>
      <c r="AZ434" s="0" t="s">
        <v>89</v>
      </c>
      <c r="BA434" s="0" t="s">
        <v>89</v>
      </c>
      <c r="BB434" s="0" t="s">
        <v>90</v>
      </c>
      <c r="BC434" s="0" t="s">
        <v>241</v>
      </c>
      <c r="BD434" s="15" t="s">
        <v>1944</v>
      </c>
      <c r="BE434" s="37" t="s">
        <v>92</v>
      </c>
    </row>
    <row r="435" customFormat="false" ht="16.4" hidden="false" customHeight="false" outlineLevel="0" collapsed="false">
      <c r="A435" s="36" t="n">
        <f aca="false">IF(B435=0,"",MAX($A$3:A434)+1)</f>
        <v>337</v>
      </c>
      <c r="B435" s="36" t="n">
        <f aca="false">IF(OR(M435="FLETE",M435="FLETE ENVIO GARANTIA",M435="FLETE RECOLECCION GARANTIA",M435="COMPENSACION"),0,1)</f>
        <v>1</v>
      </c>
      <c r="D435" s="10" t="n">
        <v>2717717646</v>
      </c>
      <c r="J435" s="0" t="s">
        <v>232</v>
      </c>
      <c r="K435" s="0" t="s">
        <v>214</v>
      </c>
      <c r="L435" s="0" t="s">
        <v>1656</v>
      </c>
      <c r="M435" s="0" t="s">
        <v>1657</v>
      </c>
      <c r="N435" s="0" t="n">
        <v>1</v>
      </c>
      <c r="P435" s="0" t="s">
        <v>217</v>
      </c>
      <c r="Q435" s="0" t="s">
        <v>218</v>
      </c>
      <c r="R435" s="0" t="s">
        <v>1658</v>
      </c>
      <c r="S435" s="0" t="s">
        <v>158</v>
      </c>
      <c r="T435" s="0" t="s">
        <v>513</v>
      </c>
      <c r="U435" s="0" t="s">
        <v>160</v>
      </c>
      <c r="V435" s="0" t="s">
        <v>1939</v>
      </c>
      <c r="W435" s="12" t="n">
        <v>0</v>
      </c>
      <c r="Y435" s="12" t="s">
        <v>1940</v>
      </c>
      <c r="AG435" s="0" t="s">
        <v>10</v>
      </c>
      <c r="AL435" s="13" t="n">
        <v>911722.69</v>
      </c>
      <c r="AM435" s="14" t="n">
        <v>-31.2296</v>
      </c>
      <c r="AN435" s="13" t="n">
        <v>1423775.55</v>
      </c>
      <c r="AO435" s="13" t="n">
        <v>227325.51</v>
      </c>
      <c r="AR435" s="0" t="s">
        <v>1943</v>
      </c>
      <c r="AZ435" s="0" t="s">
        <v>89</v>
      </c>
      <c r="BA435" s="0" t="s">
        <v>89</v>
      </c>
      <c r="BB435" s="0" t="s">
        <v>90</v>
      </c>
      <c r="BC435" s="0" t="s">
        <v>241</v>
      </c>
      <c r="BD435" s="15" t="s">
        <v>1944</v>
      </c>
      <c r="BE435" s="37" t="s">
        <v>92</v>
      </c>
    </row>
    <row r="436" customFormat="false" ht="16.4" hidden="false" customHeight="false" outlineLevel="0" collapsed="false">
      <c r="A436" s="36" t="str">
        <f aca="false">IF(B436=0,"",MAX($A$3:A435)+1)</f>
        <v/>
      </c>
      <c r="B436" s="36" t="n">
        <f aca="false">IF(OR(M436="FLETE",M436="FLETE ENVIO GARANTIA",M436="FLETE RECOLECCION GARANTIA",M436="COMPENSACION"),0,1)</f>
        <v>0</v>
      </c>
      <c r="D436" s="10" t="n">
        <v>2717717646</v>
      </c>
      <c r="J436" s="0" t="s">
        <v>232</v>
      </c>
      <c r="K436" s="0" t="s">
        <v>93</v>
      </c>
      <c r="L436" s="0" t="s">
        <v>210</v>
      </c>
      <c r="M436" s="0" t="s">
        <v>211</v>
      </c>
      <c r="N436" s="0" t="n">
        <v>1</v>
      </c>
      <c r="P436" s="0" t="s">
        <v>73</v>
      </c>
      <c r="R436" s="0" t="s">
        <v>211</v>
      </c>
      <c r="V436" s="0" t="s">
        <v>1939</v>
      </c>
      <c r="W436" s="12" t="n">
        <v>0</v>
      </c>
      <c r="Y436" s="0" t="s">
        <v>1940</v>
      </c>
      <c r="AG436" s="0" t="s">
        <v>10</v>
      </c>
      <c r="AL436" s="13" t="n">
        <v>0</v>
      </c>
      <c r="AM436" s="14" t="n">
        <v>0</v>
      </c>
      <c r="AO436" s="13" t="n">
        <v>0</v>
      </c>
      <c r="AR436" s="0" t="s">
        <v>1943</v>
      </c>
      <c r="AZ436" s="0" t="s">
        <v>89</v>
      </c>
      <c r="BA436" s="0" t="s">
        <v>89</v>
      </c>
      <c r="BB436" s="0" t="s">
        <v>90</v>
      </c>
      <c r="BC436" s="0" t="s">
        <v>241</v>
      </c>
      <c r="BD436" s="15" t="s">
        <v>1944</v>
      </c>
      <c r="BE436" s="37" t="s">
        <v>92</v>
      </c>
    </row>
    <row r="437" customFormat="false" ht="16.4" hidden="false" customHeight="false" outlineLevel="0" collapsed="false">
      <c r="A437" s="36" t="n">
        <f aca="false">IF(B437=0,"",MAX($A$3:A436)+1)</f>
        <v>338</v>
      </c>
      <c r="B437" s="36" t="n">
        <f aca="false">IF(OR(M437="FLETE",M437="FLETE ENVIO GARANTIA",M437="FLETE RECOLECCION GARANTIA",M437="COMPENSACION"),0,1)</f>
        <v>1</v>
      </c>
      <c r="C437" s="0" t="s">
        <v>1945</v>
      </c>
      <c r="D437" s="10" t="n">
        <v>13890440</v>
      </c>
      <c r="E437" s="11" t="n">
        <v>45692</v>
      </c>
      <c r="F437" s="11" t="n">
        <v>45715</v>
      </c>
      <c r="G437" s="11" t="n">
        <v>45719</v>
      </c>
      <c r="I437" s="11" t="n">
        <v>45719</v>
      </c>
      <c r="J437" s="0" t="s">
        <v>282</v>
      </c>
      <c r="K437" s="0" t="s">
        <v>214</v>
      </c>
      <c r="L437" s="0" t="s">
        <v>1946</v>
      </c>
      <c r="M437" s="0" t="s">
        <v>1947</v>
      </c>
      <c r="N437" s="0" t="n">
        <v>1</v>
      </c>
      <c r="P437" s="0" t="s">
        <v>217</v>
      </c>
      <c r="Q437" s="0" t="s">
        <v>218</v>
      </c>
      <c r="R437" s="0" t="s">
        <v>855</v>
      </c>
      <c r="S437" s="0" t="s">
        <v>591</v>
      </c>
      <c r="T437" s="0" t="s">
        <v>719</v>
      </c>
      <c r="U437" s="0" t="s">
        <v>199</v>
      </c>
      <c r="V437" s="0" t="s">
        <v>1948</v>
      </c>
      <c r="W437" s="12" t="n">
        <v>0</v>
      </c>
      <c r="Y437" s="12" t="s">
        <v>1949</v>
      </c>
      <c r="Z437" s="0" t="s">
        <v>1950</v>
      </c>
      <c r="AB437" s="0" t="n">
        <v>1077476209</v>
      </c>
      <c r="AC437" s="0" t="s">
        <v>1951</v>
      </c>
      <c r="AE437" s="0" t="n">
        <v>3207042152</v>
      </c>
      <c r="AF437" s="0" t="n">
        <v>474665</v>
      </c>
      <c r="AG437" s="0" t="s">
        <v>6</v>
      </c>
      <c r="AK437" s="0" t="s">
        <v>85</v>
      </c>
      <c r="AL437" s="13" t="n">
        <v>1068900</v>
      </c>
      <c r="AM437" s="14" t="n">
        <v>30.5922</v>
      </c>
      <c r="AN437" s="13" t="n">
        <v>882860.96</v>
      </c>
      <c r="AO437" s="13" t="n">
        <v>140960.99</v>
      </c>
      <c r="AP437" s="0" t="n">
        <v>0</v>
      </c>
      <c r="AR437" s="0" t="s">
        <v>1952</v>
      </c>
      <c r="AS437" s="0" t="n">
        <v>882860.96</v>
      </c>
      <c r="AT437" s="0" t="s">
        <v>441</v>
      </c>
      <c r="AU437" s="0" t="s">
        <v>444</v>
      </c>
      <c r="AV437" s="0" t="s">
        <v>445</v>
      </c>
      <c r="AX437" s="0" t="s">
        <v>438</v>
      </c>
      <c r="AY437" s="0" t="s">
        <v>440</v>
      </c>
      <c r="AZ437" s="0" t="s">
        <v>89</v>
      </c>
      <c r="BA437" s="0" t="s">
        <v>89</v>
      </c>
      <c r="BB437" s="0" t="s">
        <v>90</v>
      </c>
      <c r="BC437" s="0" t="s">
        <v>756</v>
      </c>
      <c r="BD437" s="15" t="s">
        <v>1953</v>
      </c>
      <c r="BE437" s="37" t="s">
        <v>461</v>
      </c>
    </row>
    <row r="438" customFormat="false" ht="16.4" hidden="false" customHeight="false" outlineLevel="0" collapsed="false">
      <c r="A438" s="36" t="str">
        <f aca="false">IF(B438=0,"",MAX($A$3:A437)+1)</f>
        <v/>
      </c>
      <c r="B438" s="36" t="n">
        <f aca="false">IF(OR(M438="FLETE",M438="FLETE ENVIO GARANTIA",M438="FLETE RECOLECCION GARANTIA",M438="COMPENSACION"),0,1)</f>
        <v>0</v>
      </c>
      <c r="D438" s="10" t="n">
        <v>13890440</v>
      </c>
      <c r="J438" s="0" t="s">
        <v>282</v>
      </c>
      <c r="K438" s="0" t="s">
        <v>93</v>
      </c>
      <c r="L438" s="0" t="s">
        <v>210</v>
      </c>
      <c r="M438" s="0" t="s">
        <v>211</v>
      </c>
      <c r="N438" s="0" t="n">
        <v>1</v>
      </c>
      <c r="P438" s="0" t="s">
        <v>73</v>
      </c>
      <c r="R438" s="0" t="s">
        <v>211</v>
      </c>
      <c r="V438" s="0" t="s">
        <v>1948</v>
      </c>
      <c r="W438" s="12" t="n">
        <v>0</v>
      </c>
      <c r="Y438" s="12" t="s">
        <v>1949</v>
      </c>
      <c r="AG438" s="0" t="s">
        <v>6</v>
      </c>
      <c r="AL438" s="13" t="n">
        <v>0</v>
      </c>
      <c r="AM438" s="14" t="n">
        <v>0</v>
      </c>
      <c r="AO438" s="13" t="n">
        <v>0</v>
      </c>
      <c r="AR438" s="0" t="s">
        <v>1952</v>
      </c>
      <c r="AZ438" s="0" t="s">
        <v>89</v>
      </c>
      <c r="BA438" s="0" t="s">
        <v>89</v>
      </c>
      <c r="BB438" s="0" t="s">
        <v>90</v>
      </c>
      <c r="BC438" s="0" t="s">
        <v>756</v>
      </c>
      <c r="BD438" s="15" t="s">
        <v>1953</v>
      </c>
      <c r="BE438" s="37" t="s">
        <v>461</v>
      </c>
    </row>
    <row r="439" customFormat="false" ht="16.4" hidden="false" customHeight="false" outlineLevel="0" collapsed="false">
      <c r="A439" s="36" t="n">
        <f aca="false">IF(B439=0,"",MAX($A$3:A438)+1)</f>
        <v>339</v>
      </c>
      <c r="B439" s="36" t="n">
        <f aca="false">IF(OR(M439="FLETE",M439="FLETE ENVIO GARANTIA",M439="FLETE RECOLECCION GARANTIA",M439="COMPENSACION"),0,1)</f>
        <v>1</v>
      </c>
      <c r="C439" s="0" t="s">
        <v>1954</v>
      </c>
      <c r="D439" s="10" t="n">
        <v>1508168005740</v>
      </c>
      <c r="E439" s="11" t="n">
        <v>45691</v>
      </c>
      <c r="F439" s="11" t="n">
        <v>45717</v>
      </c>
      <c r="G439" s="11" t="n">
        <v>45719</v>
      </c>
      <c r="I439" s="11" t="n">
        <v>45719</v>
      </c>
      <c r="J439" s="0" t="s">
        <v>1046</v>
      </c>
      <c r="K439" s="0" t="s">
        <v>214</v>
      </c>
      <c r="L439" s="0" t="s">
        <v>1955</v>
      </c>
      <c r="M439" s="0" t="s">
        <v>1956</v>
      </c>
      <c r="N439" s="0" t="n">
        <v>1</v>
      </c>
      <c r="P439" s="0" t="s">
        <v>217</v>
      </c>
      <c r="Q439" s="0" t="s">
        <v>218</v>
      </c>
      <c r="R439" s="0" t="s">
        <v>1196</v>
      </c>
      <c r="S439" s="0" t="s">
        <v>158</v>
      </c>
      <c r="T439" s="0" t="s">
        <v>513</v>
      </c>
      <c r="U439" s="0" t="s">
        <v>160</v>
      </c>
      <c r="V439" s="0" t="s">
        <v>1957</v>
      </c>
      <c r="W439" s="12" t="n">
        <v>0</v>
      </c>
      <c r="Y439" s="12" t="s">
        <v>1958</v>
      </c>
      <c r="Z439" s="0" t="s">
        <v>1959</v>
      </c>
      <c r="AB439" s="0" t="n">
        <v>1095838999</v>
      </c>
      <c r="AC439" s="0" t="s">
        <v>1960</v>
      </c>
      <c r="AE439" s="0" t="n">
        <v>573176808377</v>
      </c>
      <c r="AF439" s="0" t="n">
        <v>7709283712886</v>
      </c>
      <c r="AG439" s="0" t="s">
        <v>10</v>
      </c>
      <c r="AK439" s="0" t="s">
        <v>85</v>
      </c>
      <c r="AL439" s="13" t="n">
        <v>1163000</v>
      </c>
      <c r="AM439" s="14" t="n">
        <v>6.8034</v>
      </c>
      <c r="AN439" s="13" t="n">
        <v>1289812.99</v>
      </c>
      <c r="AO439" s="13" t="n">
        <v>205936.53</v>
      </c>
      <c r="AP439" s="0" t="n">
        <v>0</v>
      </c>
      <c r="AR439" s="0" t="s">
        <v>1961</v>
      </c>
      <c r="AS439" s="0" t="n">
        <v>1374712.99</v>
      </c>
      <c r="AT439" s="0" t="s">
        <v>1960</v>
      </c>
      <c r="AU439" s="0" t="s">
        <v>1958</v>
      </c>
      <c r="AV439" s="0" t="n">
        <v>573176808377</v>
      </c>
      <c r="AX439" s="0" t="s">
        <v>1957</v>
      </c>
      <c r="AY439" s="0" t="n">
        <v>1095838999</v>
      </c>
      <c r="AZ439" s="0" t="s">
        <v>89</v>
      </c>
      <c r="BA439" s="0" t="s">
        <v>89</v>
      </c>
      <c r="BB439" s="0" t="s">
        <v>90</v>
      </c>
      <c r="BC439" s="0" t="s">
        <v>241</v>
      </c>
      <c r="BD439" s="15" t="s">
        <v>1962</v>
      </c>
      <c r="BE439" s="37" t="s">
        <v>92</v>
      </c>
    </row>
    <row r="440" customFormat="false" ht="16.4" hidden="false" customHeight="false" outlineLevel="0" collapsed="false">
      <c r="A440" s="36" t="str">
        <f aca="false">IF(B440=0,"",MAX($A$3:A439)+1)</f>
        <v/>
      </c>
      <c r="B440" s="36" t="n">
        <f aca="false">IF(OR(M440="FLETE",M440="FLETE ENVIO GARANTIA",M440="FLETE RECOLECCION GARANTIA",M440="COMPENSACION"),0,1)</f>
        <v>0</v>
      </c>
      <c r="D440" s="10" t="n">
        <v>1508168005740</v>
      </c>
      <c r="J440" s="0" t="s">
        <v>1046</v>
      </c>
      <c r="K440" s="0" t="s">
        <v>93</v>
      </c>
      <c r="L440" s="0" t="s">
        <v>210</v>
      </c>
      <c r="M440" s="0" t="s">
        <v>211</v>
      </c>
      <c r="N440" s="0" t="n">
        <v>1</v>
      </c>
      <c r="P440" s="0" t="s">
        <v>73</v>
      </c>
      <c r="R440" s="0" t="s">
        <v>211</v>
      </c>
      <c r="V440" s="0" t="s">
        <v>1957</v>
      </c>
      <c r="W440" s="12" t="n">
        <v>0</v>
      </c>
      <c r="Y440" s="12" t="s">
        <v>1958</v>
      </c>
      <c r="AG440" s="0" t="s">
        <v>10</v>
      </c>
      <c r="AL440" s="13" t="n">
        <v>84900</v>
      </c>
      <c r="AM440" s="14" t="n">
        <v>0</v>
      </c>
      <c r="AN440" s="13" t="n">
        <v>84900</v>
      </c>
      <c r="AO440" s="13" t="n">
        <v>0</v>
      </c>
      <c r="AR440" s="0" t="s">
        <v>1961</v>
      </c>
      <c r="AZ440" s="0" t="s">
        <v>89</v>
      </c>
      <c r="BA440" s="0" t="s">
        <v>89</v>
      </c>
      <c r="BB440" s="0" t="s">
        <v>90</v>
      </c>
      <c r="BC440" s="0" t="s">
        <v>241</v>
      </c>
      <c r="BD440" s="15" t="s">
        <v>1962</v>
      </c>
      <c r="BE440" s="37" t="s">
        <v>92</v>
      </c>
    </row>
    <row r="441" customFormat="false" ht="16.4" hidden="false" customHeight="false" outlineLevel="0" collapsed="false">
      <c r="A441" s="36" t="n">
        <f aca="false">IF(B441=0,"",MAX($A$3:A440)+1)</f>
        <v>340</v>
      </c>
      <c r="B441" s="36" t="n">
        <f aca="false">IF(OR(M441="FLETE",M441="FLETE ENVIO GARANTIA",M441="FLETE RECOLECCION GARANTIA",M441="COMPENSACION"),0,1)</f>
        <v>1</v>
      </c>
      <c r="C441" s="0" t="s">
        <v>1963</v>
      </c>
      <c r="D441" s="10" t="s">
        <v>1964</v>
      </c>
      <c r="E441" s="11" t="n">
        <v>45690</v>
      </c>
      <c r="F441" s="11" t="n">
        <v>45707</v>
      </c>
      <c r="G441" s="11" t="n">
        <v>45719</v>
      </c>
      <c r="H441" s="11" t="n">
        <v>45709</v>
      </c>
      <c r="I441" s="11" t="n">
        <v>45709</v>
      </c>
      <c r="J441" s="0" t="s">
        <v>1250</v>
      </c>
      <c r="K441" s="0" t="s">
        <v>707</v>
      </c>
      <c r="L441" s="0" t="s">
        <v>1965</v>
      </c>
      <c r="M441" s="0" t="s">
        <v>1966</v>
      </c>
      <c r="N441" s="0" t="n">
        <v>1</v>
      </c>
      <c r="P441" s="0" t="s">
        <v>710</v>
      </c>
      <c r="Q441" s="0" t="s">
        <v>711</v>
      </c>
      <c r="R441" s="0" t="s">
        <v>1967</v>
      </c>
      <c r="T441" s="0" t="s">
        <v>198</v>
      </c>
      <c r="U441" s="0" t="s">
        <v>199</v>
      </c>
      <c r="V441" s="0" t="s">
        <v>1968</v>
      </c>
      <c r="W441" s="12" t="n">
        <v>0</v>
      </c>
      <c r="Y441" s="12" t="s">
        <v>143</v>
      </c>
      <c r="Z441" s="0" t="s">
        <v>144</v>
      </c>
      <c r="AB441" s="0" t="n">
        <v>1049614644</v>
      </c>
      <c r="AC441" s="0" t="s">
        <v>1969</v>
      </c>
      <c r="AD441" s="0" t="s">
        <v>1970</v>
      </c>
      <c r="AG441" s="0" t="s">
        <v>8</v>
      </c>
      <c r="AH441" s="0" t="n">
        <v>1</v>
      </c>
      <c r="AI441" s="0" t="s">
        <v>1971</v>
      </c>
      <c r="AJ441" s="0" t="n">
        <v>103300</v>
      </c>
      <c r="AK441" s="0" t="s">
        <v>85</v>
      </c>
      <c r="AL441" s="13" t="n">
        <v>432689.0756</v>
      </c>
      <c r="AM441" s="14" t="n">
        <v>52</v>
      </c>
      <c r="AN441" s="13" t="n">
        <v>247152</v>
      </c>
      <c r="AO441" s="13" t="n">
        <v>39461.24</v>
      </c>
      <c r="AP441" s="0" t="s">
        <v>1972</v>
      </c>
      <c r="AQ441" s="0" t="s">
        <v>1973</v>
      </c>
      <c r="AR441" s="0" t="s">
        <v>1974</v>
      </c>
      <c r="AS441" s="0" t="n">
        <v>247152</v>
      </c>
      <c r="AT441" s="0" t="s">
        <v>1969</v>
      </c>
      <c r="AU441" s="0" t="s">
        <v>143</v>
      </c>
      <c r="AW441" s="0" t="s">
        <v>1970</v>
      </c>
      <c r="AX441" s="0" t="s">
        <v>1968</v>
      </c>
      <c r="AY441" s="0" t="n">
        <v>1049614644</v>
      </c>
      <c r="AZ441" s="0" t="s">
        <v>525</v>
      </c>
      <c r="BA441" s="0" t="s">
        <v>525</v>
      </c>
      <c r="BB441" s="0" t="s">
        <v>90</v>
      </c>
      <c r="BC441" s="0" t="s">
        <v>150</v>
      </c>
      <c r="BD441" s="15" t="s">
        <v>1975</v>
      </c>
      <c r="BE441" s="37" t="s">
        <v>152</v>
      </c>
    </row>
    <row r="442" customFormat="false" ht="16.4" hidden="false" customHeight="false" outlineLevel="0" collapsed="false">
      <c r="A442" s="36" t="n">
        <f aca="false">IF(B442=0,"",MAX($A$3:A441)+1)</f>
        <v>341</v>
      </c>
      <c r="B442" s="36" t="n">
        <f aca="false">IF(OR(M442="FLETE",M442="FLETE ENVIO GARANTIA",M442="FLETE RECOLECCION GARANTIA",M442="COMPENSACION"),0,1)</f>
        <v>1</v>
      </c>
      <c r="C442" s="0" t="s">
        <v>1976</v>
      </c>
      <c r="D442" s="10" t="s">
        <v>1977</v>
      </c>
      <c r="E442" s="11" t="n">
        <v>45690</v>
      </c>
      <c r="F442" s="11" t="n">
        <v>45707</v>
      </c>
      <c r="G442" s="11" t="n">
        <v>45719</v>
      </c>
      <c r="H442" s="11" t="n">
        <v>45709</v>
      </c>
      <c r="I442" s="11" t="n">
        <v>45709</v>
      </c>
      <c r="J442" s="0" t="s">
        <v>1250</v>
      </c>
      <c r="K442" s="0" t="s">
        <v>493</v>
      </c>
      <c r="L442" s="0" t="s">
        <v>1978</v>
      </c>
      <c r="M442" s="0" t="s">
        <v>1979</v>
      </c>
      <c r="N442" s="0" t="n">
        <v>1</v>
      </c>
      <c r="P442" s="0" t="s">
        <v>138</v>
      </c>
      <c r="Q442" s="0" t="s">
        <v>496</v>
      </c>
      <c r="R442" s="0" t="s">
        <v>497</v>
      </c>
      <c r="S442" s="0" t="s">
        <v>158</v>
      </c>
      <c r="T442" s="0" t="s">
        <v>592</v>
      </c>
      <c r="U442" s="0" t="s">
        <v>160</v>
      </c>
      <c r="V442" s="0" t="s">
        <v>1980</v>
      </c>
      <c r="W442" s="12" t="n">
        <v>0</v>
      </c>
      <c r="Y442" s="12" t="s">
        <v>178</v>
      </c>
      <c r="Z442" s="0" t="s">
        <v>179</v>
      </c>
      <c r="AB442" s="0" t="n">
        <v>51933745</v>
      </c>
      <c r="AC442" s="0" t="s">
        <v>1981</v>
      </c>
      <c r="AD442" s="0" t="s">
        <v>1982</v>
      </c>
      <c r="AG442" s="0" t="s">
        <v>8</v>
      </c>
      <c r="AH442" s="0" t="n">
        <v>1</v>
      </c>
      <c r="AI442" s="0" t="s">
        <v>1983</v>
      </c>
      <c r="AJ442" s="0" t="n">
        <v>200300</v>
      </c>
      <c r="AK442" s="0" t="s">
        <v>85</v>
      </c>
      <c r="AL442" s="13" t="n">
        <v>523445.3782</v>
      </c>
      <c r="AM442" s="14" t="n">
        <v>33</v>
      </c>
      <c r="AN442" s="13" t="n">
        <v>417343</v>
      </c>
      <c r="AO442" s="13" t="n">
        <v>66634.6</v>
      </c>
      <c r="AP442" s="0" t="s">
        <v>1984</v>
      </c>
      <c r="AQ442" s="0" t="s">
        <v>1973</v>
      </c>
      <c r="AR442" s="0" t="s">
        <v>1985</v>
      </c>
      <c r="AS442" s="0" t="n">
        <v>417343</v>
      </c>
      <c r="AT442" s="0" t="s">
        <v>1981</v>
      </c>
      <c r="AU442" s="0" t="s">
        <v>178</v>
      </c>
      <c r="AW442" s="0" t="s">
        <v>1982</v>
      </c>
      <c r="AX442" s="0" t="s">
        <v>1980</v>
      </c>
      <c r="AY442" s="0" t="n">
        <v>51933745</v>
      </c>
      <c r="AZ442" s="0" t="s">
        <v>89</v>
      </c>
      <c r="BA442" s="0" t="s">
        <v>89</v>
      </c>
      <c r="BB442" s="0" t="s">
        <v>90</v>
      </c>
      <c r="BC442" s="0" t="s">
        <v>150</v>
      </c>
      <c r="BD442" s="15" t="s">
        <v>1986</v>
      </c>
      <c r="BE442" s="37" t="s">
        <v>152</v>
      </c>
    </row>
    <row r="443" customFormat="false" ht="16.4" hidden="false" customHeight="false" outlineLevel="0" collapsed="false">
      <c r="A443" s="36" t="n">
        <f aca="false">IF(B443=0,"",MAX($A$3:A442)+1)</f>
        <v>342</v>
      </c>
      <c r="B443" s="36" t="n">
        <f aca="false">IF(OR(M443="FLETE",M443="FLETE ENVIO GARANTIA",M443="FLETE RECOLECCION GARANTIA",M443="COMPENSACION"),0,1)</f>
        <v>1</v>
      </c>
      <c r="C443" s="0" t="s">
        <v>1987</v>
      </c>
      <c r="D443" s="10" t="s">
        <v>1988</v>
      </c>
      <c r="E443" s="11" t="n">
        <v>45689</v>
      </c>
      <c r="F443" s="11" t="n">
        <v>45713</v>
      </c>
      <c r="G443" s="11" t="n">
        <v>45719</v>
      </c>
      <c r="H443" s="11" t="n">
        <v>45714</v>
      </c>
      <c r="I443" s="11" t="n">
        <v>45714</v>
      </c>
      <c r="J443" s="0" t="s">
        <v>1250</v>
      </c>
      <c r="K443" s="0" t="s">
        <v>955</v>
      </c>
      <c r="L443" s="0" t="s">
        <v>1989</v>
      </c>
      <c r="M443" s="0" t="s">
        <v>1990</v>
      </c>
      <c r="N443" s="0" t="n">
        <v>1</v>
      </c>
      <c r="P443" s="0" t="s">
        <v>217</v>
      </c>
      <c r="Q443" s="0" t="s">
        <v>958</v>
      </c>
      <c r="R443" s="0" t="s">
        <v>1729</v>
      </c>
      <c r="S443" s="0" t="s">
        <v>591</v>
      </c>
      <c r="T443" s="0" t="s">
        <v>667</v>
      </c>
      <c r="U443" s="0" t="s">
        <v>160</v>
      </c>
      <c r="V443" s="0" t="s">
        <v>1991</v>
      </c>
      <c r="W443" s="12" t="n">
        <v>0</v>
      </c>
      <c r="Y443" s="12" t="s">
        <v>143</v>
      </c>
      <c r="Z443" s="0" t="s">
        <v>144</v>
      </c>
      <c r="AA443" s="12" t="s">
        <v>1992</v>
      </c>
      <c r="AB443" s="0" t="s">
        <v>1993</v>
      </c>
      <c r="AC443" s="0" t="s">
        <v>1994</v>
      </c>
      <c r="AD443" s="0" t="s">
        <v>1995</v>
      </c>
      <c r="AE443" s="0" t="s">
        <v>1996</v>
      </c>
      <c r="AG443" s="0" t="s">
        <v>2</v>
      </c>
      <c r="AH443" s="0" t="n">
        <v>7</v>
      </c>
      <c r="AI443" s="0" t="s">
        <v>1997</v>
      </c>
      <c r="AJ443" s="0" t="n">
        <v>1800000</v>
      </c>
      <c r="AK443" s="0" t="s">
        <v>85</v>
      </c>
      <c r="AL443" s="13" t="n">
        <v>1113361.3445</v>
      </c>
      <c r="AM443" s="14" t="n">
        <v>25</v>
      </c>
      <c r="AN443" s="13" t="n">
        <v>993675</v>
      </c>
      <c r="AO443" s="13" t="n">
        <v>158653.99</v>
      </c>
      <c r="AP443" s="0" t="s">
        <v>1998</v>
      </c>
      <c r="AQ443" s="0" t="s">
        <v>1999</v>
      </c>
      <c r="AR443" s="0" t="s">
        <v>2000</v>
      </c>
      <c r="AS443" s="0" t="n">
        <v>4336595.03</v>
      </c>
      <c r="AT443" s="0" t="s">
        <v>1994</v>
      </c>
      <c r="AU443" s="0" t="s">
        <v>143</v>
      </c>
      <c r="AV443" s="0" t="s">
        <v>1996</v>
      </c>
      <c r="AW443" s="0" t="s">
        <v>1995</v>
      </c>
      <c r="AX443" s="0" t="s">
        <v>1991</v>
      </c>
      <c r="AY443" s="0" t="s">
        <v>1993</v>
      </c>
      <c r="AZ443" s="0" t="s">
        <v>89</v>
      </c>
      <c r="BA443" s="0" t="s">
        <v>89</v>
      </c>
      <c r="BB443" s="0" t="s">
        <v>90</v>
      </c>
      <c r="BC443" s="0" t="s">
        <v>150</v>
      </c>
      <c r="BD443" s="15" t="s">
        <v>2001</v>
      </c>
      <c r="BE443" s="37" t="s">
        <v>152</v>
      </c>
    </row>
    <row r="444" customFormat="false" ht="16.4" hidden="false" customHeight="false" outlineLevel="0" collapsed="false">
      <c r="A444" s="36" t="n">
        <f aca="false">IF(B444=0,"",MAX($A$3:A443)+1)</f>
        <v>343</v>
      </c>
      <c r="B444" s="36" t="n">
        <f aca="false">IF(OR(M444="FLETE",M444="FLETE ENVIO GARANTIA",M444="FLETE RECOLECCION GARANTIA",M444="COMPENSACION"),0,1)</f>
        <v>1</v>
      </c>
      <c r="D444" s="10" t="s">
        <v>1988</v>
      </c>
      <c r="J444" s="0" t="s">
        <v>1250</v>
      </c>
      <c r="K444" s="0" t="s">
        <v>214</v>
      </c>
      <c r="L444" s="0" t="s">
        <v>2002</v>
      </c>
      <c r="M444" s="0" t="s">
        <v>2003</v>
      </c>
      <c r="N444" s="0" t="n">
        <v>1</v>
      </c>
      <c r="P444" s="0" t="s">
        <v>217</v>
      </c>
      <c r="Q444" s="0" t="s">
        <v>218</v>
      </c>
      <c r="R444" s="0" t="s">
        <v>1739</v>
      </c>
      <c r="S444" s="0" t="s">
        <v>591</v>
      </c>
      <c r="T444" s="0" t="s">
        <v>667</v>
      </c>
      <c r="U444" s="0" t="s">
        <v>160</v>
      </c>
      <c r="V444" s="0" t="s">
        <v>1991</v>
      </c>
      <c r="W444" s="12" t="n">
        <v>0</v>
      </c>
      <c r="Y444" s="0" t="s">
        <v>143</v>
      </c>
      <c r="AG444" s="0" t="s">
        <v>2</v>
      </c>
      <c r="AL444" s="13" t="n">
        <v>1526806.7227</v>
      </c>
      <c r="AM444" s="14" t="n">
        <v>40</v>
      </c>
      <c r="AN444" s="13" t="n">
        <v>1090140</v>
      </c>
      <c r="AO444" s="13" t="n">
        <v>174055.97</v>
      </c>
      <c r="AR444" s="0" t="s">
        <v>2004</v>
      </c>
      <c r="AZ444" s="0" t="s">
        <v>89</v>
      </c>
      <c r="BA444" s="0" t="s">
        <v>89</v>
      </c>
      <c r="BB444" s="0" t="s">
        <v>90</v>
      </c>
      <c r="BC444" s="0" t="s">
        <v>150</v>
      </c>
      <c r="BD444" s="15" t="s">
        <v>2001</v>
      </c>
      <c r="BE444" s="37" t="s">
        <v>152</v>
      </c>
    </row>
    <row r="445" customFormat="false" ht="16.4" hidden="false" customHeight="false" outlineLevel="0" collapsed="false">
      <c r="A445" s="36" t="n">
        <f aca="false">IF(B445=0,"",MAX($A$3:A444)+1)</f>
        <v>344</v>
      </c>
      <c r="B445" s="36" t="n">
        <f aca="false">IF(OR(M445="FLETE",M445="FLETE ENVIO GARANTIA",M445="FLETE RECOLECCION GARANTIA",M445="COMPENSACION"),0,1)</f>
        <v>1</v>
      </c>
      <c r="D445" s="10" t="s">
        <v>1988</v>
      </c>
      <c r="J445" s="0" t="s">
        <v>1250</v>
      </c>
      <c r="K445" s="0" t="s">
        <v>479</v>
      </c>
      <c r="L445" s="0" t="s">
        <v>2005</v>
      </c>
      <c r="M445" s="0" t="s">
        <v>2006</v>
      </c>
      <c r="N445" s="0" t="n">
        <v>1</v>
      </c>
      <c r="P445" s="0" t="s">
        <v>217</v>
      </c>
      <c r="Q445" s="0" t="s">
        <v>482</v>
      </c>
      <c r="R445" s="0" t="s">
        <v>600</v>
      </c>
      <c r="S445" s="0" t="s">
        <v>591</v>
      </c>
      <c r="T445" s="0" t="s">
        <v>436</v>
      </c>
      <c r="U445" s="0" t="s">
        <v>160</v>
      </c>
      <c r="V445" s="0" t="s">
        <v>1991</v>
      </c>
      <c r="W445" s="12" t="n">
        <v>0</v>
      </c>
      <c r="Y445" s="12" t="s">
        <v>143</v>
      </c>
      <c r="AG445" s="0" t="s">
        <v>2</v>
      </c>
      <c r="AL445" s="13" t="n">
        <v>1242773.1092</v>
      </c>
      <c r="AM445" s="14" t="n">
        <v>40</v>
      </c>
      <c r="AN445" s="13" t="n">
        <v>887340.01</v>
      </c>
      <c r="AO445" s="13" t="n">
        <v>141676.14</v>
      </c>
      <c r="AR445" s="0" t="s">
        <v>2007</v>
      </c>
      <c r="AZ445" s="0" t="s">
        <v>89</v>
      </c>
      <c r="BA445" s="0" t="s">
        <v>89</v>
      </c>
      <c r="BB445" s="0" t="s">
        <v>90</v>
      </c>
      <c r="BC445" s="0" t="s">
        <v>150</v>
      </c>
      <c r="BD445" s="15" t="s">
        <v>2001</v>
      </c>
      <c r="BE445" s="37" t="s">
        <v>152</v>
      </c>
    </row>
    <row r="446" customFormat="false" ht="16.4" hidden="false" customHeight="false" outlineLevel="0" collapsed="false">
      <c r="A446" s="36" t="n">
        <f aca="false">IF(B446=0,"",MAX($A$3:A445)+1)</f>
        <v>345</v>
      </c>
      <c r="B446" s="36" t="n">
        <f aca="false">IF(OR(M446="FLETE",M446="FLETE ENVIO GARANTIA",M446="FLETE RECOLECCION GARANTIA",M446="COMPENSACION"),0,1)</f>
        <v>1</v>
      </c>
      <c r="D446" s="10" t="s">
        <v>1988</v>
      </c>
      <c r="J446" s="0" t="s">
        <v>1250</v>
      </c>
      <c r="K446" s="0" t="s">
        <v>93</v>
      </c>
      <c r="L446" s="0" t="s">
        <v>2008</v>
      </c>
      <c r="M446" s="0" t="s">
        <v>2009</v>
      </c>
      <c r="N446" s="0" t="n">
        <v>1</v>
      </c>
      <c r="P446" s="0" t="s">
        <v>217</v>
      </c>
      <c r="Q446" s="0" t="s">
        <v>541</v>
      </c>
      <c r="R446" s="0" t="s">
        <v>2010</v>
      </c>
      <c r="T446" s="0" t="s">
        <v>2011</v>
      </c>
      <c r="V446" s="0" t="s">
        <v>1991</v>
      </c>
      <c r="W446" s="12" t="n">
        <v>0</v>
      </c>
      <c r="Y446" s="12" t="s">
        <v>143</v>
      </c>
      <c r="AG446" s="0" t="s">
        <v>2</v>
      </c>
      <c r="AL446" s="13" t="n">
        <v>423445.3782</v>
      </c>
      <c r="AM446" s="14" t="n">
        <v>25</v>
      </c>
      <c r="AN446" s="13" t="n">
        <v>377925</v>
      </c>
      <c r="AO446" s="13" t="n">
        <v>60340.97</v>
      </c>
      <c r="AR446" s="0" t="s">
        <v>2012</v>
      </c>
      <c r="AZ446" s="0" t="s">
        <v>89</v>
      </c>
      <c r="BA446" s="0" t="s">
        <v>89</v>
      </c>
      <c r="BB446" s="0" t="s">
        <v>90</v>
      </c>
      <c r="BC446" s="0" t="s">
        <v>150</v>
      </c>
      <c r="BD446" s="15" t="s">
        <v>2001</v>
      </c>
      <c r="BE446" s="37" t="s">
        <v>152</v>
      </c>
    </row>
    <row r="447" customFormat="false" ht="16.4" hidden="false" customHeight="false" outlineLevel="0" collapsed="false">
      <c r="A447" s="36" t="str">
        <f aca="false">IF(B447=0,"",MAX($A$3:A446)+1)</f>
        <v/>
      </c>
      <c r="B447" s="36" t="n">
        <f aca="false">IF(OR(M447="FLETE",M447="FLETE ENVIO GARANTIA",M447="FLETE RECOLECCION GARANTIA",M447="COMPENSACION"),0,1)</f>
        <v>0</v>
      </c>
      <c r="D447" s="10" t="s">
        <v>1988</v>
      </c>
      <c r="J447" s="0" t="s">
        <v>1250</v>
      </c>
      <c r="K447" s="0" t="s">
        <v>93</v>
      </c>
      <c r="L447" s="0" t="s">
        <v>210</v>
      </c>
      <c r="M447" s="0" t="s">
        <v>211</v>
      </c>
      <c r="N447" s="0" t="n">
        <v>1</v>
      </c>
      <c r="P447" s="0" t="s">
        <v>73</v>
      </c>
      <c r="R447" s="0" t="s">
        <v>211</v>
      </c>
      <c r="V447" s="0" t="s">
        <v>1991</v>
      </c>
      <c r="W447" s="12" t="n">
        <v>0</v>
      </c>
      <c r="Y447" s="12" t="s">
        <v>143</v>
      </c>
      <c r="AG447" s="0" t="s">
        <v>2</v>
      </c>
      <c r="AL447" s="13" t="n">
        <v>50000</v>
      </c>
      <c r="AM447" s="14" t="n">
        <v>0</v>
      </c>
      <c r="AN447" s="13" t="n">
        <v>50000</v>
      </c>
      <c r="AO447" s="13" t="n">
        <v>0</v>
      </c>
      <c r="AR447" s="0" t="s">
        <v>2013</v>
      </c>
      <c r="AZ447" s="0" t="s">
        <v>89</v>
      </c>
      <c r="BA447" s="0" t="s">
        <v>89</v>
      </c>
      <c r="BB447" s="0" t="s">
        <v>90</v>
      </c>
      <c r="BC447" s="0" t="s">
        <v>150</v>
      </c>
      <c r="BD447" s="15" t="s">
        <v>2001</v>
      </c>
      <c r="BE447" s="37" t="s">
        <v>152</v>
      </c>
    </row>
    <row r="448" customFormat="false" ht="16.4" hidden="false" customHeight="false" outlineLevel="0" collapsed="false">
      <c r="A448" s="36" t="n">
        <f aca="false">IF(B448=0,"",MAX($A$3:A447)+1)</f>
        <v>346</v>
      </c>
      <c r="B448" s="36" t="n">
        <f aca="false">IF(OR(M448="FLETE",M448="FLETE ENVIO GARANTIA",M448="FLETE RECOLECCION GARANTIA",M448="COMPENSACION"),0,1)</f>
        <v>1</v>
      </c>
      <c r="D448" s="10" t="s">
        <v>1988</v>
      </c>
      <c r="J448" s="0" t="s">
        <v>1250</v>
      </c>
      <c r="K448" s="0" t="s">
        <v>246</v>
      </c>
      <c r="L448" s="0" t="s">
        <v>2014</v>
      </c>
      <c r="M448" s="0" t="s">
        <v>2015</v>
      </c>
      <c r="N448" s="0" t="n">
        <v>1</v>
      </c>
      <c r="P448" s="0" t="s">
        <v>249</v>
      </c>
      <c r="Q448" s="0" t="s">
        <v>250</v>
      </c>
      <c r="R448" s="0" t="s">
        <v>738</v>
      </c>
      <c r="S448" s="0" t="s">
        <v>591</v>
      </c>
      <c r="T448" s="0" t="s">
        <v>667</v>
      </c>
      <c r="V448" s="0" t="s">
        <v>1991</v>
      </c>
      <c r="W448" s="12" t="n">
        <v>0</v>
      </c>
      <c r="Y448" s="12" t="s">
        <v>143</v>
      </c>
      <c r="AG448" s="0" t="s">
        <v>2</v>
      </c>
      <c r="AL448" s="13" t="n">
        <v>56218.4874</v>
      </c>
      <c r="AM448" s="14" t="n">
        <v>25</v>
      </c>
      <c r="AN448" s="13" t="n">
        <v>50175.01</v>
      </c>
      <c r="AO448" s="13" t="n">
        <v>8011.14</v>
      </c>
      <c r="AR448" s="0" t="s">
        <v>2016</v>
      </c>
      <c r="AZ448" s="0" t="s">
        <v>89</v>
      </c>
      <c r="BA448" s="0" t="s">
        <v>89</v>
      </c>
      <c r="BB448" s="0" t="s">
        <v>90</v>
      </c>
      <c r="BC448" s="0" t="s">
        <v>150</v>
      </c>
      <c r="BD448" s="15" t="s">
        <v>2001</v>
      </c>
      <c r="BE448" s="37" t="s">
        <v>152</v>
      </c>
    </row>
    <row r="449" customFormat="false" ht="16.4" hidden="false" customHeight="false" outlineLevel="0" collapsed="false">
      <c r="A449" s="36" t="n">
        <f aca="false">IF(B449=0,"",MAX($A$3:A448)+1)</f>
        <v>347</v>
      </c>
      <c r="B449" s="36" t="n">
        <f aca="false">IF(OR(M449="FLETE",M449="FLETE ENVIO GARANTIA",M449="FLETE RECOLECCION GARANTIA",M449="COMPENSACION"),0,1)</f>
        <v>1</v>
      </c>
      <c r="D449" s="10" t="s">
        <v>1988</v>
      </c>
      <c r="J449" s="0" t="s">
        <v>1250</v>
      </c>
      <c r="K449" s="0" t="s">
        <v>246</v>
      </c>
      <c r="L449" s="0" t="s">
        <v>2017</v>
      </c>
      <c r="M449" s="0" t="s">
        <v>2018</v>
      </c>
      <c r="N449" s="0" t="n">
        <v>1</v>
      </c>
      <c r="P449" s="0" t="s">
        <v>249</v>
      </c>
      <c r="Q449" s="0" t="s">
        <v>250</v>
      </c>
      <c r="R449" s="0" t="s">
        <v>738</v>
      </c>
      <c r="S449" s="0" t="s">
        <v>591</v>
      </c>
      <c r="T449" s="0" t="s">
        <v>436</v>
      </c>
      <c r="V449" s="0" t="s">
        <v>1991</v>
      </c>
      <c r="W449" s="12" t="n">
        <v>0</v>
      </c>
      <c r="Y449" s="12" t="s">
        <v>143</v>
      </c>
      <c r="AG449" s="0" t="s">
        <v>2</v>
      </c>
      <c r="AL449" s="13" t="n">
        <v>56218.4874</v>
      </c>
      <c r="AM449" s="14" t="n">
        <v>100</v>
      </c>
      <c r="AO449" s="13" t="n">
        <v>0</v>
      </c>
      <c r="AR449" s="0" t="s">
        <v>2019</v>
      </c>
      <c r="AZ449" s="0" t="s">
        <v>89</v>
      </c>
      <c r="BA449" s="0" t="s">
        <v>89</v>
      </c>
      <c r="BB449" s="0" t="s">
        <v>90</v>
      </c>
      <c r="BC449" s="0" t="s">
        <v>150</v>
      </c>
      <c r="BD449" s="15" t="s">
        <v>2001</v>
      </c>
      <c r="BE449" s="37" t="s">
        <v>152</v>
      </c>
    </row>
    <row r="450" customFormat="false" ht="16.4" hidden="false" customHeight="false" outlineLevel="0" collapsed="false">
      <c r="A450" s="36" t="n">
        <f aca="false">IF(B450=0,"",MAX($A$3:A449)+1)</f>
        <v>348</v>
      </c>
      <c r="B450" s="36" t="n">
        <f aca="false">IF(OR(M450="FLETE",M450="FLETE ENVIO GARANTIA",M450="FLETE RECOLECCION GARANTIA",M450="COMPENSACION"),0,1)</f>
        <v>1</v>
      </c>
      <c r="D450" s="10" t="s">
        <v>1988</v>
      </c>
      <c r="J450" s="0" t="s">
        <v>1250</v>
      </c>
      <c r="K450" s="0" t="s">
        <v>246</v>
      </c>
      <c r="L450" s="0" t="s">
        <v>2020</v>
      </c>
      <c r="M450" s="0" t="s">
        <v>2021</v>
      </c>
      <c r="N450" s="0" t="n">
        <v>1</v>
      </c>
      <c r="P450" s="0" t="s">
        <v>249</v>
      </c>
      <c r="Q450" s="0" t="s">
        <v>250</v>
      </c>
      <c r="R450" s="0" t="s">
        <v>738</v>
      </c>
      <c r="S450" s="0" t="s">
        <v>591</v>
      </c>
      <c r="T450" s="0" t="s">
        <v>159</v>
      </c>
      <c r="V450" s="0" t="s">
        <v>1991</v>
      </c>
      <c r="W450" s="12" t="n">
        <v>0</v>
      </c>
      <c r="Y450" s="12" t="s">
        <v>143</v>
      </c>
      <c r="AG450" s="0" t="s">
        <v>2</v>
      </c>
      <c r="AL450" s="13" t="n">
        <v>56218.4874</v>
      </c>
      <c r="AM450" s="14" t="n">
        <v>100</v>
      </c>
      <c r="AO450" s="13" t="n">
        <v>0</v>
      </c>
      <c r="AR450" s="0" t="s">
        <v>2022</v>
      </c>
      <c r="AZ450" s="0" t="s">
        <v>89</v>
      </c>
      <c r="BA450" s="0" t="s">
        <v>89</v>
      </c>
      <c r="BB450" s="0" t="s">
        <v>90</v>
      </c>
      <c r="BC450" s="0" t="s">
        <v>150</v>
      </c>
      <c r="BD450" s="15" t="s">
        <v>2001</v>
      </c>
      <c r="BE450" s="37" t="s">
        <v>152</v>
      </c>
    </row>
    <row r="451" customFormat="false" ht="16.4" hidden="false" customHeight="false" outlineLevel="0" collapsed="false">
      <c r="A451" s="36" t="n">
        <f aca="false">IF(B451=0,"",MAX($A$3:A450)+1)</f>
        <v>349</v>
      </c>
      <c r="B451" s="36" t="n">
        <f aca="false">IF(OR(M451="FLETE",M451="FLETE ENVIO GARANTIA",M451="FLETE RECOLECCION GARANTIA",M451="COMPENSACION"),0,1)</f>
        <v>1</v>
      </c>
      <c r="D451" s="10" t="s">
        <v>1988</v>
      </c>
      <c r="J451" s="0" t="s">
        <v>1250</v>
      </c>
      <c r="K451" s="0" t="s">
        <v>479</v>
      </c>
      <c r="L451" s="0" t="s">
        <v>2023</v>
      </c>
      <c r="M451" s="0" t="s">
        <v>2024</v>
      </c>
      <c r="N451" s="0" t="n">
        <v>1</v>
      </c>
      <c r="P451" s="0" t="s">
        <v>217</v>
      </c>
      <c r="Q451" s="0" t="s">
        <v>482</v>
      </c>
      <c r="R451" s="0" t="s">
        <v>600</v>
      </c>
      <c r="S451" s="0" t="s">
        <v>591</v>
      </c>
      <c r="T451" s="0" t="s">
        <v>159</v>
      </c>
      <c r="U451" s="0" t="s">
        <v>160</v>
      </c>
      <c r="V451" s="0" t="s">
        <v>1991</v>
      </c>
      <c r="W451" s="12" t="n">
        <v>0</v>
      </c>
      <c r="Y451" s="12" t="s">
        <v>143</v>
      </c>
      <c r="AG451" s="0" t="s">
        <v>2</v>
      </c>
      <c r="AL451" s="13" t="n">
        <v>1242773.1092</v>
      </c>
      <c r="AM451" s="14" t="n">
        <v>40</v>
      </c>
      <c r="AN451" s="13" t="n">
        <v>887340.01</v>
      </c>
      <c r="AO451" s="13" t="n">
        <v>141676.14</v>
      </c>
      <c r="AR451" s="0" t="s">
        <v>2025</v>
      </c>
      <c r="AZ451" s="0" t="s">
        <v>89</v>
      </c>
      <c r="BA451" s="0" t="s">
        <v>89</v>
      </c>
      <c r="BB451" s="0" t="s">
        <v>90</v>
      </c>
      <c r="BC451" s="0" t="s">
        <v>150</v>
      </c>
      <c r="BD451" s="15" t="s">
        <v>2001</v>
      </c>
      <c r="BE451" s="37" t="s">
        <v>152</v>
      </c>
    </row>
    <row r="452" customFormat="false" ht="16.4" hidden="false" customHeight="false" outlineLevel="0" collapsed="false">
      <c r="A452" s="36" t="n">
        <f aca="false">IF(B452=0,"",MAX($A$3:A451)+1)</f>
        <v>350</v>
      </c>
      <c r="B452" s="36" t="n">
        <f aca="false">IF(OR(M452="FLETE",M452="FLETE ENVIO GARANTIA",M452="FLETE RECOLECCION GARANTIA",M452="COMPENSACION"),0,1)</f>
        <v>1</v>
      </c>
      <c r="C452" s="0" t="s">
        <v>2026</v>
      </c>
      <c r="D452" s="10" t="s">
        <v>2027</v>
      </c>
      <c r="E452" s="11" t="n">
        <v>45689</v>
      </c>
      <c r="F452" s="11" t="n">
        <v>45713</v>
      </c>
      <c r="G452" s="11" t="n">
        <v>45719</v>
      </c>
      <c r="H452" s="11" t="n">
        <v>45708</v>
      </c>
      <c r="I452" s="11" t="n">
        <v>45714</v>
      </c>
      <c r="J452" s="0" t="s">
        <v>1250</v>
      </c>
      <c r="K452" s="0" t="s">
        <v>214</v>
      </c>
      <c r="L452" s="0" t="s">
        <v>2028</v>
      </c>
      <c r="M452" s="0" t="s">
        <v>2029</v>
      </c>
      <c r="N452" s="0" t="n">
        <v>1</v>
      </c>
      <c r="P452" s="0" t="s">
        <v>217</v>
      </c>
      <c r="Q452" s="0" t="s">
        <v>218</v>
      </c>
      <c r="R452" s="0" t="s">
        <v>1196</v>
      </c>
      <c r="S452" s="0" t="s">
        <v>158</v>
      </c>
      <c r="T452" s="0" t="s">
        <v>236</v>
      </c>
      <c r="U452" s="0" t="s">
        <v>160</v>
      </c>
      <c r="V452" s="0" t="s">
        <v>2030</v>
      </c>
      <c r="W452" s="0" t="n">
        <v>0</v>
      </c>
      <c r="Y452" s="0" t="s">
        <v>143</v>
      </c>
      <c r="Z452" s="0" t="s">
        <v>144</v>
      </c>
      <c r="AA452" s="12" t="s">
        <v>2031</v>
      </c>
      <c r="AB452" s="0" t="n">
        <v>1049604633</v>
      </c>
      <c r="AC452" s="0" t="s">
        <v>2032</v>
      </c>
      <c r="AD452" s="0" t="s">
        <v>2033</v>
      </c>
      <c r="AE452" s="0" t="s">
        <v>2034</v>
      </c>
      <c r="AG452" s="0" t="s">
        <v>3</v>
      </c>
      <c r="AH452" s="0" t="n">
        <v>1</v>
      </c>
      <c r="AI452" s="0" t="s">
        <v>2035</v>
      </c>
      <c r="AK452" s="0" t="s">
        <v>85</v>
      </c>
      <c r="AL452" s="13" t="n">
        <v>1304957.9832</v>
      </c>
      <c r="AM452" s="14" t="n">
        <v>32.391</v>
      </c>
      <c r="AN452" s="13" t="n">
        <v>1049900.16</v>
      </c>
      <c r="AO452" s="13" t="n">
        <v>167631.12</v>
      </c>
      <c r="AP452" s="0" t="s">
        <v>2036</v>
      </c>
      <c r="AQ452" s="0" t="s">
        <v>1999</v>
      </c>
      <c r="AR452" s="0" t="s">
        <v>2037</v>
      </c>
      <c r="AS452" s="0" t="n">
        <v>2558101.16</v>
      </c>
      <c r="AT452" s="0" t="s">
        <v>2032</v>
      </c>
      <c r="AU452" s="0" t="s">
        <v>143</v>
      </c>
      <c r="AV452" s="0" t="s">
        <v>2034</v>
      </c>
      <c r="AW452" s="0" t="s">
        <v>2033</v>
      </c>
      <c r="AX452" s="0" t="s">
        <v>2030</v>
      </c>
      <c r="AY452" s="0" t="n">
        <v>1049604633</v>
      </c>
      <c r="AZ452" s="0" t="s">
        <v>89</v>
      </c>
      <c r="BA452" s="0" t="s">
        <v>89</v>
      </c>
      <c r="BB452" s="0" t="s">
        <v>90</v>
      </c>
      <c r="BC452" s="0" t="s">
        <v>150</v>
      </c>
      <c r="BD452" s="15" t="s">
        <v>2038</v>
      </c>
      <c r="BE452" s="37" t="s">
        <v>152</v>
      </c>
    </row>
    <row r="453" customFormat="false" ht="16.4" hidden="false" customHeight="false" outlineLevel="0" collapsed="false">
      <c r="A453" s="36" t="n">
        <f aca="false">IF(B453=0,"",MAX($A$3:A452)+1)</f>
        <v>351</v>
      </c>
      <c r="B453" s="36" t="n">
        <f aca="false">IF(OR(M453="FLETE",M453="FLETE ENVIO GARANTIA",M453="FLETE RECOLECCION GARANTIA",M453="COMPENSACION"),0,1)</f>
        <v>1</v>
      </c>
      <c r="D453" s="10" t="s">
        <v>2027</v>
      </c>
      <c r="J453" s="0" t="s">
        <v>1250</v>
      </c>
      <c r="K453" s="0" t="s">
        <v>479</v>
      </c>
      <c r="L453" s="0" t="s">
        <v>2039</v>
      </c>
      <c r="M453" s="0" t="s">
        <v>2040</v>
      </c>
      <c r="N453" s="0" t="n">
        <v>2</v>
      </c>
      <c r="P453" s="0" t="s">
        <v>217</v>
      </c>
      <c r="Q453" s="0" t="s">
        <v>482</v>
      </c>
      <c r="R453" s="0" t="s">
        <v>512</v>
      </c>
      <c r="S453" s="0" t="s">
        <v>158</v>
      </c>
      <c r="T453" s="0" t="s">
        <v>513</v>
      </c>
      <c r="U453" s="0" t="s">
        <v>160</v>
      </c>
      <c r="V453" s="0" t="s">
        <v>2030</v>
      </c>
      <c r="W453" s="12" t="n">
        <v>0</v>
      </c>
      <c r="Y453" s="12" t="s">
        <v>143</v>
      </c>
      <c r="AG453" s="0" t="s">
        <v>3</v>
      </c>
      <c r="AL453" s="13" t="n">
        <v>797394.958</v>
      </c>
      <c r="AM453" s="14" t="n">
        <v>33</v>
      </c>
      <c r="AN453" s="13" t="n">
        <v>1271526</v>
      </c>
      <c r="AO453" s="13" t="n">
        <v>203016.76</v>
      </c>
      <c r="AR453" s="0" t="s">
        <v>2041</v>
      </c>
      <c r="AZ453" s="0" t="s">
        <v>89</v>
      </c>
      <c r="BA453" s="0" t="s">
        <v>89</v>
      </c>
      <c r="BB453" s="0" t="s">
        <v>90</v>
      </c>
      <c r="BC453" s="0" t="s">
        <v>150</v>
      </c>
      <c r="BD453" s="15" t="s">
        <v>2038</v>
      </c>
      <c r="BE453" s="37" t="s">
        <v>152</v>
      </c>
    </row>
    <row r="454" customFormat="false" ht="16.4" hidden="false" customHeight="false" outlineLevel="0" collapsed="false">
      <c r="A454" s="36" t="n">
        <f aca="false">IF(B454=0,"",MAX($A$3:A453)+1)</f>
        <v>352</v>
      </c>
      <c r="B454" s="36" t="n">
        <f aca="false">IF(OR(M454="FLETE",M454="FLETE ENVIO GARANTIA",M454="FLETE RECOLECCION GARANTIA",M454="COMPENSACION"),0,1)</f>
        <v>1</v>
      </c>
      <c r="D454" s="10" t="s">
        <v>2027</v>
      </c>
      <c r="J454" s="0" t="s">
        <v>1250</v>
      </c>
      <c r="K454" s="0" t="s">
        <v>529</v>
      </c>
      <c r="L454" s="0" t="s">
        <v>1645</v>
      </c>
      <c r="M454" s="0" t="s">
        <v>1646</v>
      </c>
      <c r="N454" s="0" t="n">
        <v>1</v>
      </c>
      <c r="P454" s="0" t="s">
        <v>217</v>
      </c>
      <c r="Q454" s="0" t="s">
        <v>541</v>
      </c>
      <c r="R454" s="0" t="s">
        <v>868</v>
      </c>
      <c r="T454" s="0" t="s">
        <v>141</v>
      </c>
      <c r="U454" s="0" t="s">
        <v>160</v>
      </c>
      <c r="V454" s="0" t="s">
        <v>2030</v>
      </c>
      <c r="W454" s="12" t="n">
        <v>0</v>
      </c>
      <c r="Y454" s="12" t="s">
        <v>143</v>
      </c>
      <c r="AG454" s="0" t="s">
        <v>3</v>
      </c>
      <c r="AL454" s="13" t="n">
        <v>209159.6639</v>
      </c>
      <c r="AM454" s="14" t="n">
        <v>25</v>
      </c>
      <c r="AN454" s="13" t="n">
        <v>186675</v>
      </c>
      <c r="AO454" s="13" t="n">
        <v>29805.25</v>
      </c>
      <c r="AR454" s="0" t="s">
        <v>2042</v>
      </c>
      <c r="AZ454" s="0" t="s">
        <v>89</v>
      </c>
      <c r="BA454" s="0" t="s">
        <v>89</v>
      </c>
      <c r="BB454" s="0" t="s">
        <v>90</v>
      </c>
      <c r="BC454" s="0" t="s">
        <v>150</v>
      </c>
      <c r="BD454" s="15" t="s">
        <v>2038</v>
      </c>
      <c r="BE454" s="37" t="s">
        <v>152</v>
      </c>
    </row>
    <row r="455" customFormat="false" ht="16.4" hidden="false" customHeight="false" outlineLevel="0" collapsed="false">
      <c r="A455" s="36" t="str">
        <f aca="false">IF(B455=0,"",MAX($A$3:A454)+1)</f>
        <v/>
      </c>
      <c r="B455" s="36" t="n">
        <f aca="false">IF(OR(M455="FLETE",M455="FLETE ENVIO GARANTIA",M455="FLETE RECOLECCION GARANTIA",M455="COMPENSACION"),0,1)</f>
        <v>0</v>
      </c>
      <c r="D455" s="10" t="s">
        <v>2027</v>
      </c>
      <c r="J455" s="0" t="s">
        <v>1250</v>
      </c>
      <c r="K455" s="0" t="s">
        <v>93</v>
      </c>
      <c r="L455" s="0" t="s">
        <v>210</v>
      </c>
      <c r="M455" s="0" t="s">
        <v>211</v>
      </c>
      <c r="N455" s="0" t="n">
        <v>1</v>
      </c>
      <c r="P455" s="0" t="s">
        <v>73</v>
      </c>
      <c r="R455" s="0" t="s">
        <v>211</v>
      </c>
      <c r="V455" s="0" t="s">
        <v>2030</v>
      </c>
      <c r="W455" s="12" t="n">
        <v>0</v>
      </c>
      <c r="Y455" s="0" t="s">
        <v>143</v>
      </c>
      <c r="AG455" s="0" t="s">
        <v>3</v>
      </c>
      <c r="AL455" s="13" t="n">
        <v>50000</v>
      </c>
      <c r="AM455" s="14" t="n">
        <v>0</v>
      </c>
      <c r="AN455" s="13" t="n">
        <v>50000</v>
      </c>
      <c r="AO455" s="13" t="n">
        <v>0</v>
      </c>
      <c r="AR455" s="0" t="s">
        <v>2043</v>
      </c>
      <c r="AZ455" s="0" t="s">
        <v>89</v>
      </c>
      <c r="BA455" s="0" t="s">
        <v>89</v>
      </c>
      <c r="BB455" s="0" t="s">
        <v>90</v>
      </c>
      <c r="BC455" s="0" t="s">
        <v>150</v>
      </c>
      <c r="BD455" s="15" t="s">
        <v>2038</v>
      </c>
      <c r="BE455" s="37" t="s">
        <v>152</v>
      </c>
    </row>
    <row r="456" customFormat="false" ht="16.4" hidden="false" customHeight="false" outlineLevel="0" collapsed="false">
      <c r="A456" s="36" t="n">
        <f aca="false">IF(B456=0,"",MAX($A$3:A455)+1)</f>
        <v>353</v>
      </c>
      <c r="B456" s="36" t="n">
        <f aca="false">IF(OR(M456="FLETE",M456="FLETE ENVIO GARANTIA",M456="FLETE RECOLECCION GARANTIA",M456="COMPENSACION"),0,1)</f>
        <v>1</v>
      </c>
      <c r="D456" s="10" t="s">
        <v>2027</v>
      </c>
      <c r="J456" s="0" t="s">
        <v>1250</v>
      </c>
      <c r="K456" s="0" t="s">
        <v>246</v>
      </c>
      <c r="L456" s="0" t="s">
        <v>1167</v>
      </c>
      <c r="M456" s="0" t="s">
        <v>1168</v>
      </c>
      <c r="N456" s="0" t="n">
        <v>1</v>
      </c>
      <c r="P456" s="0" t="s">
        <v>249</v>
      </c>
      <c r="Q456" s="0" t="s">
        <v>250</v>
      </c>
      <c r="R456" s="0" t="s">
        <v>738</v>
      </c>
      <c r="S456" s="0" t="s">
        <v>158</v>
      </c>
      <c r="T456" s="0" t="s">
        <v>592</v>
      </c>
      <c r="V456" s="0" t="s">
        <v>2030</v>
      </c>
      <c r="W456" s="12" t="n">
        <v>0</v>
      </c>
      <c r="Y456" s="12" t="s">
        <v>143</v>
      </c>
      <c r="AG456" s="0" t="s">
        <v>3</v>
      </c>
      <c r="AL456" s="13" t="n">
        <v>56218.4874</v>
      </c>
      <c r="AM456" s="14" t="n">
        <v>100</v>
      </c>
      <c r="AO456" s="13" t="n">
        <v>0</v>
      </c>
      <c r="AR456" s="0" t="s">
        <v>2044</v>
      </c>
      <c r="AZ456" s="0" t="s">
        <v>89</v>
      </c>
      <c r="BA456" s="0" t="s">
        <v>89</v>
      </c>
      <c r="BB456" s="0" t="s">
        <v>90</v>
      </c>
      <c r="BC456" s="0" t="s">
        <v>150</v>
      </c>
      <c r="BD456" s="15" t="s">
        <v>2038</v>
      </c>
      <c r="BE456" s="37" t="s">
        <v>152</v>
      </c>
    </row>
    <row r="457" customFormat="false" ht="16.4" hidden="false" customHeight="false" outlineLevel="0" collapsed="false">
      <c r="A457" s="36" t="n">
        <f aca="false">IF(B457=0,"",MAX($A$3:A456)+1)</f>
        <v>354</v>
      </c>
      <c r="B457" s="36" t="n">
        <f aca="false">IF(OR(M457="FLETE",M457="FLETE ENVIO GARANTIA",M457="FLETE RECOLECCION GARANTIA",M457="COMPENSACION"),0,1)</f>
        <v>1</v>
      </c>
      <c r="C457" s="0" t="s">
        <v>2045</v>
      </c>
      <c r="D457" s="10" t="s">
        <v>2046</v>
      </c>
      <c r="E457" s="11" t="n">
        <v>45688</v>
      </c>
      <c r="F457" s="11" t="n">
        <v>45717</v>
      </c>
      <c r="G457" s="11" t="n">
        <v>45719</v>
      </c>
      <c r="I457" s="11" t="n">
        <v>45717</v>
      </c>
      <c r="J457" s="0" t="s">
        <v>1085</v>
      </c>
      <c r="K457" s="0" t="s">
        <v>214</v>
      </c>
      <c r="L457" s="0" t="s">
        <v>2047</v>
      </c>
      <c r="M457" s="0" t="s">
        <v>2048</v>
      </c>
      <c r="N457" s="0" t="n">
        <v>1</v>
      </c>
      <c r="P457" s="0" t="s">
        <v>217</v>
      </c>
      <c r="Q457" s="0" t="s">
        <v>218</v>
      </c>
      <c r="R457" s="0" t="s">
        <v>1005</v>
      </c>
      <c r="S457" s="0" t="s">
        <v>591</v>
      </c>
      <c r="T457" s="0" t="s">
        <v>513</v>
      </c>
      <c r="V457" s="0" t="s">
        <v>1085</v>
      </c>
      <c r="W457" s="12" t="n">
        <v>0</v>
      </c>
      <c r="Y457" s="12" t="s">
        <v>143</v>
      </c>
      <c r="AA457" s="12" t="s">
        <v>2048</v>
      </c>
      <c r="AF457" s="0" t="s">
        <v>2049</v>
      </c>
      <c r="AG457" s="0" t="s">
        <v>10</v>
      </c>
      <c r="AK457" s="0" t="s">
        <v>85</v>
      </c>
      <c r="AL457" s="13" t="n">
        <v>610900</v>
      </c>
      <c r="AM457" s="14" t="n">
        <v>0</v>
      </c>
      <c r="AN457" s="13" t="n">
        <v>726971</v>
      </c>
      <c r="AO457" s="13" t="n">
        <v>116071</v>
      </c>
      <c r="AR457" s="0" t="s">
        <v>2050</v>
      </c>
      <c r="AS457" s="0" t="n">
        <v>726971</v>
      </c>
      <c r="AX457" s="0" t="s">
        <v>1085</v>
      </c>
      <c r="AZ457" s="0" t="s">
        <v>89</v>
      </c>
      <c r="BA457" s="0" t="s">
        <v>89</v>
      </c>
      <c r="BB457" s="0" t="s">
        <v>90</v>
      </c>
      <c r="BC457" s="0" t="s">
        <v>241</v>
      </c>
      <c r="BD457" s="15" t="s">
        <v>2051</v>
      </c>
      <c r="BE457" s="37" t="s">
        <v>1091</v>
      </c>
    </row>
    <row r="458" customFormat="false" ht="16.4" hidden="false" customHeight="false" outlineLevel="0" collapsed="false">
      <c r="A458" s="36" t="n">
        <f aca="false">IF(B458=0,"",MAX($A$3:A457)+1)</f>
        <v>355</v>
      </c>
      <c r="B458" s="36" t="n">
        <f aca="false">IF(OR(M458="FLETE",M458="FLETE ENVIO GARANTIA",M458="FLETE RECOLECCION GARANTIA",M458="COMPENSACION"),0,1)</f>
        <v>1</v>
      </c>
      <c r="C458" s="0" t="s">
        <v>2052</v>
      </c>
      <c r="D458" s="10" t="s">
        <v>2053</v>
      </c>
      <c r="E458" s="11" t="n">
        <v>45688</v>
      </c>
      <c r="F458" s="11" t="n">
        <v>45717</v>
      </c>
      <c r="G458" s="11" t="n">
        <v>45719</v>
      </c>
      <c r="I458" s="11" t="n">
        <v>45719</v>
      </c>
      <c r="J458" s="0" t="s">
        <v>1085</v>
      </c>
      <c r="K458" s="0" t="s">
        <v>214</v>
      </c>
      <c r="L458" s="0" t="s">
        <v>2054</v>
      </c>
      <c r="M458" s="0" t="s">
        <v>2055</v>
      </c>
      <c r="N458" s="0" t="n">
        <v>1</v>
      </c>
      <c r="P458" s="0" t="s">
        <v>217</v>
      </c>
      <c r="Q458" s="0" t="s">
        <v>218</v>
      </c>
      <c r="R458" s="0" t="s">
        <v>656</v>
      </c>
      <c r="S458" s="0" t="s">
        <v>454</v>
      </c>
      <c r="T458" s="0" t="s">
        <v>513</v>
      </c>
      <c r="U458" s="0" t="s">
        <v>199</v>
      </c>
      <c r="V458" s="0" t="s">
        <v>1085</v>
      </c>
      <c r="W458" s="12" t="n">
        <v>0</v>
      </c>
      <c r="Y458" s="12" t="s">
        <v>143</v>
      </c>
      <c r="AA458" s="12" t="s">
        <v>2055</v>
      </c>
      <c r="AF458" s="0" t="s">
        <v>2056</v>
      </c>
      <c r="AG458" s="0" t="s">
        <v>10</v>
      </c>
      <c r="AK458" s="0" t="s">
        <v>85</v>
      </c>
      <c r="AL458" s="13" t="n">
        <v>721900</v>
      </c>
      <c r="AM458" s="14" t="n">
        <v>0</v>
      </c>
      <c r="AN458" s="13" t="n">
        <v>859061</v>
      </c>
      <c r="AO458" s="13" t="n">
        <v>137161</v>
      </c>
      <c r="AR458" s="0" t="s">
        <v>2057</v>
      </c>
      <c r="AS458" s="0" t="n">
        <v>859061</v>
      </c>
      <c r="AX458" s="0" t="s">
        <v>1085</v>
      </c>
      <c r="AZ458" s="0" t="s">
        <v>89</v>
      </c>
      <c r="BA458" s="0" t="s">
        <v>89</v>
      </c>
      <c r="BB458" s="0" t="s">
        <v>90</v>
      </c>
      <c r="BC458" s="0" t="n">
        <v>0</v>
      </c>
      <c r="BD458" s="15" t="s">
        <v>2058</v>
      </c>
      <c r="BE458" s="37" t="s">
        <v>1091</v>
      </c>
    </row>
    <row r="459" customFormat="false" ht="16.4" hidden="false" customHeight="false" outlineLevel="0" collapsed="false">
      <c r="A459" s="36" t="n">
        <f aca="false">IF(B459=0,"",MAX($A$3:A458)+1)</f>
        <v>356</v>
      </c>
      <c r="B459" s="36" t="n">
        <f aca="false">IF(OR(M459="FLETE",M459="FLETE ENVIO GARANTIA",M459="FLETE RECOLECCION GARANTIA",M459="COMPENSACION"),0,1)</f>
        <v>1</v>
      </c>
      <c r="C459" s="0" t="s">
        <v>2059</v>
      </c>
      <c r="D459" s="10" t="s">
        <v>2060</v>
      </c>
      <c r="E459" s="11" t="n">
        <v>45688</v>
      </c>
      <c r="F459" s="11" t="n">
        <v>45717</v>
      </c>
      <c r="G459" s="11" t="n">
        <v>45719</v>
      </c>
      <c r="I459" s="11" t="n">
        <v>45719</v>
      </c>
      <c r="J459" s="0" t="s">
        <v>1085</v>
      </c>
      <c r="K459" s="0" t="s">
        <v>214</v>
      </c>
      <c r="L459" s="0" t="s">
        <v>2054</v>
      </c>
      <c r="M459" s="0" t="s">
        <v>2055</v>
      </c>
      <c r="N459" s="0" t="n">
        <v>1</v>
      </c>
      <c r="P459" s="0" t="s">
        <v>217</v>
      </c>
      <c r="Q459" s="0" t="s">
        <v>218</v>
      </c>
      <c r="R459" s="0" t="s">
        <v>656</v>
      </c>
      <c r="S459" s="0" t="s">
        <v>454</v>
      </c>
      <c r="T459" s="0" t="s">
        <v>513</v>
      </c>
      <c r="U459" s="0" t="s">
        <v>199</v>
      </c>
      <c r="V459" s="0" t="s">
        <v>1085</v>
      </c>
      <c r="W459" s="12" t="n">
        <v>0</v>
      </c>
      <c r="Y459" s="12" t="s">
        <v>143</v>
      </c>
      <c r="AA459" s="12" t="s">
        <v>2055</v>
      </c>
      <c r="AF459" s="0" t="s">
        <v>2056</v>
      </c>
      <c r="AG459" s="0" t="s">
        <v>10</v>
      </c>
      <c r="AK459" s="0" t="s">
        <v>85</v>
      </c>
      <c r="AL459" s="13" t="n">
        <v>721900</v>
      </c>
      <c r="AM459" s="14" t="n">
        <v>0</v>
      </c>
      <c r="AN459" s="13" t="n">
        <v>859061</v>
      </c>
      <c r="AO459" s="13" t="n">
        <v>137161</v>
      </c>
      <c r="AR459" s="0" t="s">
        <v>2061</v>
      </c>
      <c r="AS459" s="0" t="n">
        <v>859061</v>
      </c>
      <c r="AX459" s="0" t="s">
        <v>1085</v>
      </c>
      <c r="AZ459" s="0" t="s">
        <v>89</v>
      </c>
      <c r="BA459" s="0" t="s">
        <v>89</v>
      </c>
      <c r="BB459" s="0" t="s">
        <v>90</v>
      </c>
      <c r="BC459" s="0" t="n">
        <v>0</v>
      </c>
      <c r="BD459" s="15" t="s">
        <v>2062</v>
      </c>
      <c r="BE459" s="37" t="s">
        <v>1091</v>
      </c>
    </row>
    <row r="460" customFormat="false" ht="16.4" hidden="false" customHeight="false" outlineLevel="0" collapsed="false">
      <c r="A460" s="36" t="n">
        <f aca="false">IF(B460=0,"",MAX($A$3:A459)+1)</f>
        <v>357</v>
      </c>
      <c r="B460" s="36" t="n">
        <f aca="false">IF(OR(M460="FLETE",M460="FLETE ENVIO GARANTIA",M460="FLETE RECOLECCION GARANTIA",M460="COMPENSACION"),0,1)</f>
        <v>1</v>
      </c>
      <c r="C460" s="0" t="s">
        <v>2063</v>
      </c>
      <c r="D460" s="10" t="s">
        <v>2064</v>
      </c>
      <c r="E460" s="11" t="n">
        <v>45688</v>
      </c>
      <c r="F460" s="11" t="n">
        <v>45717</v>
      </c>
      <c r="G460" s="11" t="n">
        <v>45719</v>
      </c>
      <c r="I460" s="11" t="n">
        <v>45719</v>
      </c>
      <c r="J460" s="0" t="s">
        <v>1085</v>
      </c>
      <c r="K460" s="0" t="s">
        <v>192</v>
      </c>
      <c r="L460" s="0" t="s">
        <v>2065</v>
      </c>
      <c r="M460" s="0" t="s">
        <v>2066</v>
      </c>
      <c r="N460" s="0" t="n">
        <v>1</v>
      </c>
      <c r="P460" s="0" t="s">
        <v>195</v>
      </c>
      <c r="Q460" s="0" t="s">
        <v>196</v>
      </c>
      <c r="R460" s="0" t="s">
        <v>2067</v>
      </c>
      <c r="T460" s="0" t="s">
        <v>198</v>
      </c>
      <c r="U460" s="0" t="s">
        <v>199</v>
      </c>
      <c r="V460" s="0" t="s">
        <v>1085</v>
      </c>
      <c r="W460" s="12" t="n">
        <v>0</v>
      </c>
      <c r="Y460" s="12" t="s">
        <v>143</v>
      </c>
      <c r="AA460" s="12" t="s">
        <v>2066</v>
      </c>
      <c r="AF460" s="0" t="s">
        <v>2068</v>
      </c>
      <c r="AG460" s="0" t="s">
        <v>10</v>
      </c>
      <c r="AK460" s="0" t="s">
        <v>85</v>
      </c>
      <c r="AL460" s="13" t="n">
        <v>705000</v>
      </c>
      <c r="AM460" s="14" t="n">
        <v>0</v>
      </c>
      <c r="AN460" s="13" t="n">
        <v>838950</v>
      </c>
      <c r="AO460" s="13" t="n">
        <v>133950</v>
      </c>
      <c r="AR460" s="0" t="s">
        <v>2069</v>
      </c>
      <c r="AS460" s="0" t="n">
        <v>838950</v>
      </c>
      <c r="AX460" s="0" t="s">
        <v>1085</v>
      </c>
      <c r="AZ460" s="0" t="s">
        <v>89</v>
      </c>
      <c r="BA460" s="0" t="s">
        <v>89</v>
      </c>
      <c r="BB460" s="0" t="s">
        <v>90</v>
      </c>
      <c r="BC460" s="0" t="n">
        <v>0</v>
      </c>
      <c r="BD460" s="15" t="s">
        <v>2070</v>
      </c>
      <c r="BE460" s="37" t="s">
        <v>1091</v>
      </c>
    </row>
    <row r="461" customFormat="false" ht="16.4" hidden="false" customHeight="false" outlineLevel="0" collapsed="false">
      <c r="A461" s="36" t="n">
        <f aca="false">IF(B461=0,"",MAX($A$3:A460)+1)</f>
        <v>358</v>
      </c>
      <c r="B461" s="36" t="n">
        <f aca="false">IF(OR(M461="FLETE",M461="FLETE ENVIO GARANTIA",M461="FLETE RECOLECCION GARANTIA",M461="COMPENSACION"),0,1)</f>
        <v>1</v>
      </c>
      <c r="C461" s="0" t="s">
        <v>2071</v>
      </c>
      <c r="D461" s="10" t="s">
        <v>2072</v>
      </c>
      <c r="E461" s="11" t="n">
        <v>45688</v>
      </c>
      <c r="F461" s="11" t="n">
        <v>45717</v>
      </c>
      <c r="G461" s="11" t="n">
        <v>45719</v>
      </c>
      <c r="I461" s="11" t="n">
        <v>45719</v>
      </c>
      <c r="J461" s="0" t="s">
        <v>1085</v>
      </c>
      <c r="K461" s="0" t="s">
        <v>214</v>
      </c>
      <c r="L461" s="0" t="s">
        <v>2073</v>
      </c>
      <c r="M461" s="0" t="s">
        <v>2074</v>
      </c>
      <c r="N461" s="0" t="n">
        <v>1</v>
      </c>
      <c r="P461" s="0" t="s">
        <v>217</v>
      </c>
      <c r="Q461" s="0" t="s">
        <v>218</v>
      </c>
      <c r="R461" s="0" t="s">
        <v>656</v>
      </c>
      <c r="S461" s="0" t="s">
        <v>454</v>
      </c>
      <c r="T461" s="0" t="s">
        <v>518</v>
      </c>
      <c r="U461" s="0" t="s">
        <v>437</v>
      </c>
      <c r="V461" s="0" t="s">
        <v>1085</v>
      </c>
      <c r="W461" s="12" t="n">
        <v>0</v>
      </c>
      <c r="Y461" s="12" t="s">
        <v>143</v>
      </c>
      <c r="AA461" s="12" t="s">
        <v>2074</v>
      </c>
      <c r="AF461" s="0" t="s">
        <v>2075</v>
      </c>
      <c r="AG461" s="0" t="s">
        <v>10</v>
      </c>
      <c r="AK461" s="0" t="s">
        <v>85</v>
      </c>
      <c r="AL461" s="13" t="n">
        <v>721900</v>
      </c>
      <c r="AM461" s="14" t="n">
        <v>0</v>
      </c>
      <c r="AN461" s="13" t="n">
        <v>859061</v>
      </c>
      <c r="AO461" s="13" t="n">
        <v>137161</v>
      </c>
      <c r="AR461" s="0" t="s">
        <v>2076</v>
      </c>
      <c r="AS461" s="0" t="n">
        <v>859061</v>
      </c>
      <c r="AX461" s="0" t="s">
        <v>1085</v>
      </c>
      <c r="AZ461" s="0" t="s">
        <v>89</v>
      </c>
      <c r="BA461" s="0" t="s">
        <v>89</v>
      </c>
      <c r="BB461" s="0" t="s">
        <v>90</v>
      </c>
      <c r="BC461" s="0" t="n">
        <v>0</v>
      </c>
      <c r="BD461" s="15" t="s">
        <v>2077</v>
      </c>
      <c r="BE461" s="37" t="s">
        <v>1091</v>
      </c>
    </row>
    <row r="462" customFormat="false" ht="16.4" hidden="false" customHeight="false" outlineLevel="0" collapsed="false">
      <c r="A462" s="36" t="n">
        <f aca="false">IF(B462=0,"",MAX($A$3:A461)+1)</f>
        <v>359</v>
      </c>
      <c r="B462" s="36" t="n">
        <f aca="false">IF(OR(M462="FLETE",M462="FLETE ENVIO GARANTIA",M462="FLETE RECOLECCION GARANTIA",M462="COMPENSACION"),0,1)</f>
        <v>1</v>
      </c>
      <c r="C462" s="0" t="s">
        <v>2078</v>
      </c>
      <c r="D462" s="10" t="s">
        <v>2079</v>
      </c>
      <c r="E462" s="11" t="n">
        <v>45688</v>
      </c>
      <c r="F462" s="11" t="n">
        <v>45717</v>
      </c>
      <c r="G462" s="11" t="n">
        <v>45719</v>
      </c>
      <c r="I462" s="11" t="n">
        <v>45719</v>
      </c>
      <c r="J462" s="0" t="s">
        <v>1085</v>
      </c>
      <c r="K462" s="0" t="s">
        <v>214</v>
      </c>
      <c r="L462" s="0" t="s">
        <v>2073</v>
      </c>
      <c r="M462" s="0" t="s">
        <v>2074</v>
      </c>
      <c r="N462" s="0" t="n">
        <v>1</v>
      </c>
      <c r="P462" s="0" t="s">
        <v>217</v>
      </c>
      <c r="Q462" s="0" t="s">
        <v>218</v>
      </c>
      <c r="R462" s="0" t="s">
        <v>656</v>
      </c>
      <c r="S462" s="0" t="s">
        <v>454</v>
      </c>
      <c r="T462" s="0" t="s">
        <v>518</v>
      </c>
      <c r="U462" s="0" t="s">
        <v>437</v>
      </c>
      <c r="V462" s="0" t="s">
        <v>1085</v>
      </c>
      <c r="W462" s="12" t="n">
        <v>0</v>
      </c>
      <c r="Y462" s="0" t="s">
        <v>143</v>
      </c>
      <c r="AA462" s="12" t="s">
        <v>2074</v>
      </c>
      <c r="AF462" s="0" t="s">
        <v>2075</v>
      </c>
      <c r="AG462" s="0" t="s">
        <v>10</v>
      </c>
      <c r="AK462" s="0" t="s">
        <v>85</v>
      </c>
      <c r="AL462" s="13" t="n">
        <v>721900</v>
      </c>
      <c r="AM462" s="14" t="n">
        <v>0</v>
      </c>
      <c r="AN462" s="13" t="n">
        <v>859061</v>
      </c>
      <c r="AO462" s="13" t="n">
        <v>137161</v>
      </c>
      <c r="AR462" s="0" t="s">
        <v>2080</v>
      </c>
      <c r="AS462" s="0" t="n">
        <v>859061</v>
      </c>
      <c r="AX462" s="0" t="s">
        <v>1085</v>
      </c>
      <c r="AZ462" s="0" t="s">
        <v>89</v>
      </c>
      <c r="BA462" s="0" t="s">
        <v>89</v>
      </c>
      <c r="BB462" s="0" t="s">
        <v>90</v>
      </c>
      <c r="BC462" s="0" t="n">
        <v>0</v>
      </c>
      <c r="BD462" s="15" t="s">
        <v>2081</v>
      </c>
      <c r="BE462" s="37" t="s">
        <v>1091</v>
      </c>
    </row>
    <row r="463" customFormat="false" ht="16.4" hidden="false" customHeight="false" outlineLevel="0" collapsed="false">
      <c r="A463" s="36" t="n">
        <f aca="false">IF(B463=0,"",MAX($A$3:A462)+1)</f>
        <v>360</v>
      </c>
      <c r="B463" s="36" t="n">
        <f aca="false">IF(OR(M463="FLETE",M463="FLETE ENVIO GARANTIA",M463="FLETE RECOLECCION GARANTIA",M463="COMPENSACION"),0,1)</f>
        <v>1</v>
      </c>
      <c r="C463" s="0" t="s">
        <v>2082</v>
      </c>
      <c r="D463" s="10" t="s">
        <v>2083</v>
      </c>
      <c r="E463" s="11" t="n">
        <v>45688</v>
      </c>
      <c r="F463" s="11" t="n">
        <v>45717</v>
      </c>
      <c r="G463" s="11" t="n">
        <v>45719</v>
      </c>
      <c r="I463" s="11" t="n">
        <v>45719</v>
      </c>
      <c r="J463" s="0" t="s">
        <v>1085</v>
      </c>
      <c r="K463" s="0" t="s">
        <v>214</v>
      </c>
      <c r="L463" s="0" t="s">
        <v>2073</v>
      </c>
      <c r="M463" s="0" t="s">
        <v>2074</v>
      </c>
      <c r="N463" s="0" t="n">
        <v>1</v>
      </c>
      <c r="P463" s="0" t="s">
        <v>217</v>
      </c>
      <c r="Q463" s="0" t="s">
        <v>218</v>
      </c>
      <c r="R463" s="0" t="s">
        <v>656</v>
      </c>
      <c r="S463" s="0" t="s">
        <v>454</v>
      </c>
      <c r="T463" s="0" t="s">
        <v>518</v>
      </c>
      <c r="U463" s="0" t="s">
        <v>437</v>
      </c>
      <c r="V463" s="0" t="s">
        <v>1085</v>
      </c>
      <c r="W463" s="12" t="n">
        <v>0</v>
      </c>
      <c r="Y463" s="12" t="s">
        <v>143</v>
      </c>
      <c r="AA463" s="12" t="s">
        <v>2074</v>
      </c>
      <c r="AF463" s="0" t="s">
        <v>2075</v>
      </c>
      <c r="AG463" s="0" t="s">
        <v>10</v>
      </c>
      <c r="AK463" s="0" t="s">
        <v>85</v>
      </c>
      <c r="AL463" s="13" t="n">
        <v>721900</v>
      </c>
      <c r="AM463" s="14" t="n">
        <v>0</v>
      </c>
      <c r="AN463" s="13" t="n">
        <v>859061</v>
      </c>
      <c r="AO463" s="13" t="n">
        <v>137161</v>
      </c>
      <c r="AR463" s="0" t="s">
        <v>2084</v>
      </c>
      <c r="AS463" s="0" t="n">
        <v>859061</v>
      </c>
      <c r="AX463" s="0" t="s">
        <v>1085</v>
      </c>
      <c r="AZ463" s="0" t="s">
        <v>89</v>
      </c>
      <c r="BA463" s="0" t="s">
        <v>89</v>
      </c>
      <c r="BB463" s="0" t="s">
        <v>90</v>
      </c>
      <c r="BC463" s="0" t="n">
        <v>0</v>
      </c>
      <c r="BD463" s="15" t="s">
        <v>2085</v>
      </c>
      <c r="BE463" s="37" t="s">
        <v>1091</v>
      </c>
    </row>
    <row r="464" customFormat="false" ht="16.4" hidden="false" customHeight="false" outlineLevel="0" collapsed="false">
      <c r="A464" s="36" t="n">
        <f aca="false">IF(B464=0,"",MAX($A$3:A463)+1)</f>
        <v>361</v>
      </c>
      <c r="B464" s="36" t="n">
        <f aca="false">IF(OR(M464="FLETE",M464="FLETE ENVIO GARANTIA",M464="FLETE RECOLECCION GARANTIA",M464="COMPENSACION"),0,1)</f>
        <v>1</v>
      </c>
      <c r="C464" s="0" t="s">
        <v>2086</v>
      </c>
      <c r="D464" s="10" t="s">
        <v>2087</v>
      </c>
      <c r="E464" s="11" t="n">
        <v>45688</v>
      </c>
      <c r="F464" s="11" t="n">
        <v>45717</v>
      </c>
      <c r="G464" s="11" t="n">
        <v>45719</v>
      </c>
      <c r="I464" s="11" t="n">
        <v>45719</v>
      </c>
      <c r="J464" s="0" t="s">
        <v>1085</v>
      </c>
      <c r="K464" s="0" t="s">
        <v>214</v>
      </c>
      <c r="L464" s="0" t="s">
        <v>2073</v>
      </c>
      <c r="M464" s="0" t="s">
        <v>2074</v>
      </c>
      <c r="N464" s="0" t="n">
        <v>1</v>
      </c>
      <c r="P464" s="0" t="s">
        <v>217</v>
      </c>
      <c r="Q464" s="0" t="s">
        <v>218</v>
      </c>
      <c r="R464" s="0" t="s">
        <v>656</v>
      </c>
      <c r="S464" s="0" t="s">
        <v>454</v>
      </c>
      <c r="T464" s="0" t="s">
        <v>518</v>
      </c>
      <c r="U464" s="0" t="s">
        <v>437</v>
      </c>
      <c r="V464" s="0" t="s">
        <v>1085</v>
      </c>
      <c r="W464" s="12" t="n">
        <v>0</v>
      </c>
      <c r="Y464" s="12" t="s">
        <v>143</v>
      </c>
      <c r="AA464" s="12" t="s">
        <v>2074</v>
      </c>
      <c r="AF464" s="0" t="s">
        <v>2075</v>
      </c>
      <c r="AG464" s="0" t="s">
        <v>10</v>
      </c>
      <c r="AK464" s="0" t="s">
        <v>85</v>
      </c>
      <c r="AL464" s="13" t="n">
        <v>721900</v>
      </c>
      <c r="AM464" s="14" t="n">
        <v>0</v>
      </c>
      <c r="AN464" s="13" t="n">
        <v>859061</v>
      </c>
      <c r="AO464" s="13" t="n">
        <v>137161</v>
      </c>
      <c r="AR464" s="0" t="s">
        <v>2088</v>
      </c>
      <c r="AS464" s="0" t="n">
        <v>859061</v>
      </c>
      <c r="AX464" s="0" t="s">
        <v>1085</v>
      </c>
      <c r="AZ464" s="0" t="s">
        <v>89</v>
      </c>
      <c r="BA464" s="0" t="s">
        <v>89</v>
      </c>
      <c r="BB464" s="0" t="s">
        <v>90</v>
      </c>
      <c r="BC464" s="0" t="n">
        <v>0</v>
      </c>
      <c r="BD464" s="15" t="s">
        <v>2089</v>
      </c>
      <c r="BE464" s="37" t="s">
        <v>1091</v>
      </c>
    </row>
    <row r="465" customFormat="false" ht="16.4" hidden="false" customHeight="false" outlineLevel="0" collapsed="false">
      <c r="A465" s="36" t="n">
        <f aca="false">IF(B465=0,"",MAX($A$3:A464)+1)</f>
        <v>362</v>
      </c>
      <c r="B465" s="36" t="n">
        <f aca="false">IF(OR(M465="FLETE",M465="FLETE ENVIO GARANTIA",M465="FLETE RECOLECCION GARANTIA",M465="COMPENSACION"),0,1)</f>
        <v>1</v>
      </c>
      <c r="C465" s="0" t="s">
        <v>2090</v>
      </c>
      <c r="D465" s="10" t="s">
        <v>2091</v>
      </c>
      <c r="E465" s="11" t="n">
        <v>45688</v>
      </c>
      <c r="F465" s="11" t="n">
        <v>45717</v>
      </c>
      <c r="G465" s="11" t="n">
        <v>45719</v>
      </c>
      <c r="I465" s="11" t="n">
        <v>45719</v>
      </c>
      <c r="J465" s="0" t="s">
        <v>1085</v>
      </c>
      <c r="K465" s="0" t="s">
        <v>214</v>
      </c>
      <c r="L465" s="0" t="s">
        <v>2092</v>
      </c>
      <c r="M465" s="0" t="s">
        <v>2093</v>
      </c>
      <c r="N465" s="0" t="n">
        <v>1</v>
      </c>
      <c r="P465" s="0" t="s">
        <v>217</v>
      </c>
      <c r="Q465" s="0" t="s">
        <v>218</v>
      </c>
      <c r="R465" s="0" t="s">
        <v>959</v>
      </c>
      <c r="S465" s="0" t="s">
        <v>454</v>
      </c>
      <c r="T465" s="0" t="s">
        <v>513</v>
      </c>
      <c r="U465" s="0" t="s">
        <v>199</v>
      </c>
      <c r="V465" s="0" t="s">
        <v>1085</v>
      </c>
      <c r="W465" s="12" t="n">
        <v>0</v>
      </c>
      <c r="Y465" s="12" t="s">
        <v>143</v>
      </c>
      <c r="AA465" s="12" t="s">
        <v>2094</v>
      </c>
      <c r="AF465" s="0" t="s">
        <v>2095</v>
      </c>
      <c r="AG465" s="0" t="s">
        <v>10</v>
      </c>
      <c r="AK465" s="0" t="s">
        <v>85</v>
      </c>
      <c r="AL465" s="13" t="n">
        <v>609900</v>
      </c>
      <c r="AM465" s="14" t="n">
        <v>0</v>
      </c>
      <c r="AN465" s="13" t="n">
        <v>725781</v>
      </c>
      <c r="AO465" s="13" t="n">
        <v>115881</v>
      </c>
      <c r="AR465" s="0" t="s">
        <v>2096</v>
      </c>
      <c r="AS465" s="0" t="n">
        <v>1333633</v>
      </c>
      <c r="AX465" s="0" t="s">
        <v>1085</v>
      </c>
      <c r="AZ465" s="0" t="s">
        <v>89</v>
      </c>
      <c r="BA465" s="0" t="s">
        <v>89</v>
      </c>
      <c r="BB465" s="0" t="s">
        <v>90</v>
      </c>
      <c r="BC465" s="0" t="n">
        <v>0</v>
      </c>
      <c r="BD465" s="15" t="s">
        <v>2097</v>
      </c>
      <c r="BE465" s="37" t="s">
        <v>1091</v>
      </c>
    </row>
    <row r="466" customFormat="false" ht="16.4" hidden="false" customHeight="false" outlineLevel="0" collapsed="false">
      <c r="A466" s="36" t="n">
        <f aca="false">IF(B466=0,"",MAX($A$3:A465)+1)</f>
        <v>363</v>
      </c>
      <c r="B466" s="36" t="n">
        <f aca="false">IF(OR(M466="FLETE",M466="FLETE ENVIO GARANTIA",M466="FLETE RECOLECCION GARANTIA",M466="COMPENSACION"),0,1)</f>
        <v>1</v>
      </c>
      <c r="D466" s="10" t="s">
        <v>2091</v>
      </c>
      <c r="J466" s="0" t="s">
        <v>1085</v>
      </c>
      <c r="K466" s="0" t="s">
        <v>479</v>
      </c>
      <c r="L466" s="0" t="s">
        <v>2098</v>
      </c>
      <c r="M466" s="0" t="s">
        <v>2099</v>
      </c>
      <c r="N466" s="0" t="n">
        <v>1</v>
      </c>
      <c r="P466" s="0" t="s">
        <v>217</v>
      </c>
      <c r="Q466" s="0" t="s">
        <v>482</v>
      </c>
      <c r="R466" s="0" t="s">
        <v>855</v>
      </c>
      <c r="S466" s="0" t="s">
        <v>454</v>
      </c>
      <c r="T466" s="0" t="s">
        <v>513</v>
      </c>
      <c r="U466" s="0" t="s">
        <v>199</v>
      </c>
      <c r="V466" s="0" t="s">
        <v>1085</v>
      </c>
      <c r="W466" s="12" t="n">
        <v>0</v>
      </c>
      <c r="Y466" s="0" t="s">
        <v>143</v>
      </c>
      <c r="AG466" s="0" t="s">
        <v>10</v>
      </c>
      <c r="AL466" s="13" t="n">
        <v>364900</v>
      </c>
      <c r="AM466" s="14" t="n">
        <v>0</v>
      </c>
      <c r="AN466" s="13" t="n">
        <v>434231</v>
      </c>
      <c r="AO466" s="13" t="n">
        <v>69331</v>
      </c>
      <c r="AR466" s="0" t="s">
        <v>2096</v>
      </c>
      <c r="AZ466" s="0" t="s">
        <v>89</v>
      </c>
      <c r="BA466" s="0" t="s">
        <v>89</v>
      </c>
      <c r="BB466" s="0" t="s">
        <v>90</v>
      </c>
      <c r="BC466" s="0" t="n">
        <v>0</v>
      </c>
      <c r="BD466" s="15" t="s">
        <v>2097</v>
      </c>
      <c r="BE466" s="37" t="s">
        <v>1091</v>
      </c>
    </row>
    <row r="467" customFormat="false" ht="16.4" hidden="false" customHeight="false" outlineLevel="0" collapsed="false">
      <c r="A467" s="36" t="n">
        <f aca="false">IF(B467=0,"",MAX($A$3:A466)+1)</f>
        <v>364</v>
      </c>
      <c r="B467" s="36" t="n">
        <f aca="false">IF(OR(M467="FLETE",M467="FLETE ENVIO GARANTIA",M467="FLETE RECOLECCION GARANTIA",M467="COMPENSACION"),0,1)</f>
        <v>1</v>
      </c>
      <c r="D467" s="10" t="s">
        <v>2091</v>
      </c>
      <c r="J467" s="0" t="s">
        <v>1085</v>
      </c>
      <c r="K467" s="0" t="s">
        <v>529</v>
      </c>
      <c r="L467" s="0" t="s">
        <v>866</v>
      </c>
      <c r="M467" s="0" t="s">
        <v>867</v>
      </c>
      <c r="N467" s="0" t="n">
        <v>1</v>
      </c>
      <c r="P467" s="0" t="s">
        <v>217</v>
      </c>
      <c r="Q467" s="0" t="s">
        <v>541</v>
      </c>
      <c r="R467" s="0" t="s">
        <v>868</v>
      </c>
      <c r="T467" s="0" t="s">
        <v>198</v>
      </c>
      <c r="U467" s="0" t="s">
        <v>199</v>
      </c>
      <c r="V467" s="0" t="s">
        <v>1085</v>
      </c>
      <c r="W467" s="12" t="n">
        <v>0</v>
      </c>
      <c r="Y467" s="12" t="s">
        <v>143</v>
      </c>
      <c r="AG467" s="0" t="s">
        <v>10</v>
      </c>
      <c r="AL467" s="13" t="n">
        <v>145900</v>
      </c>
      <c r="AM467" s="14" t="n">
        <v>0</v>
      </c>
      <c r="AN467" s="13" t="n">
        <v>173621</v>
      </c>
      <c r="AO467" s="13" t="n">
        <v>27721</v>
      </c>
      <c r="AR467" s="0" t="s">
        <v>2096</v>
      </c>
      <c r="AZ467" s="0" t="s">
        <v>89</v>
      </c>
      <c r="BA467" s="0" t="s">
        <v>89</v>
      </c>
      <c r="BB467" s="0" t="s">
        <v>90</v>
      </c>
      <c r="BC467" s="0" t="n">
        <v>0</v>
      </c>
      <c r="BD467" s="15" t="s">
        <v>2097</v>
      </c>
      <c r="BE467" s="37" t="s">
        <v>1091</v>
      </c>
    </row>
    <row r="468" customFormat="false" ht="16.4" hidden="false" customHeight="false" outlineLevel="0" collapsed="false">
      <c r="A468" s="36" t="n">
        <f aca="false">IF(B468=0,"",MAX($A$3:A467)+1)</f>
        <v>365</v>
      </c>
      <c r="B468" s="36" t="n">
        <f aca="false">IF(OR(M468="FLETE",M468="FLETE ENVIO GARANTIA",M468="FLETE RECOLECCION GARANTIA",M468="COMPENSACION"),0,1)</f>
        <v>1</v>
      </c>
      <c r="C468" s="0" t="s">
        <v>2100</v>
      </c>
      <c r="D468" s="10" t="s">
        <v>2101</v>
      </c>
      <c r="E468" s="11" t="n">
        <v>45688</v>
      </c>
      <c r="F468" s="11" t="n">
        <v>45717</v>
      </c>
      <c r="G468" s="11" t="n">
        <v>45719</v>
      </c>
      <c r="I468" s="11" t="n">
        <v>45719</v>
      </c>
      <c r="J468" s="0" t="s">
        <v>1085</v>
      </c>
      <c r="K468" s="0" t="s">
        <v>214</v>
      </c>
      <c r="L468" s="0" t="s">
        <v>2092</v>
      </c>
      <c r="M468" s="0" t="s">
        <v>2093</v>
      </c>
      <c r="N468" s="0" t="n">
        <v>1</v>
      </c>
      <c r="P468" s="0" t="s">
        <v>217</v>
      </c>
      <c r="Q468" s="0" t="s">
        <v>218</v>
      </c>
      <c r="R468" s="0" t="s">
        <v>959</v>
      </c>
      <c r="S468" s="0" t="s">
        <v>454</v>
      </c>
      <c r="T468" s="0" t="s">
        <v>513</v>
      </c>
      <c r="U468" s="0" t="s">
        <v>199</v>
      </c>
      <c r="V468" s="0" t="s">
        <v>1085</v>
      </c>
      <c r="W468" s="12" t="n">
        <v>0</v>
      </c>
      <c r="Y468" s="12" t="s">
        <v>143</v>
      </c>
      <c r="AA468" s="12" t="s">
        <v>2094</v>
      </c>
      <c r="AF468" s="0" t="s">
        <v>2095</v>
      </c>
      <c r="AG468" s="0" t="s">
        <v>10</v>
      </c>
      <c r="AK468" s="0" t="s">
        <v>85</v>
      </c>
      <c r="AL468" s="13" t="n">
        <v>609900</v>
      </c>
      <c r="AM468" s="14" t="n">
        <v>0</v>
      </c>
      <c r="AN468" s="13" t="n">
        <v>725781</v>
      </c>
      <c r="AO468" s="13" t="n">
        <v>115881</v>
      </c>
      <c r="AR468" s="0" t="s">
        <v>2102</v>
      </c>
      <c r="AS468" s="0" t="n">
        <v>1333633</v>
      </c>
      <c r="AX468" s="0" t="s">
        <v>1085</v>
      </c>
      <c r="AZ468" s="0" t="s">
        <v>89</v>
      </c>
      <c r="BA468" s="0" t="s">
        <v>89</v>
      </c>
      <c r="BB468" s="0" t="s">
        <v>90</v>
      </c>
      <c r="BC468" s="0" t="n">
        <v>0</v>
      </c>
      <c r="BD468" s="15" t="s">
        <v>2103</v>
      </c>
      <c r="BE468" s="37" t="s">
        <v>1091</v>
      </c>
    </row>
    <row r="469" customFormat="false" ht="16.4" hidden="false" customHeight="false" outlineLevel="0" collapsed="false">
      <c r="A469" s="36" t="n">
        <f aca="false">IF(B469=0,"",MAX($A$3:A468)+1)</f>
        <v>366</v>
      </c>
      <c r="B469" s="36" t="n">
        <f aca="false">IF(OR(M469="FLETE",M469="FLETE ENVIO GARANTIA",M469="FLETE RECOLECCION GARANTIA",M469="COMPENSACION"),0,1)</f>
        <v>1</v>
      </c>
      <c r="D469" s="10" t="s">
        <v>2101</v>
      </c>
      <c r="J469" s="0" t="s">
        <v>1085</v>
      </c>
      <c r="K469" s="0" t="s">
        <v>479</v>
      </c>
      <c r="L469" s="0" t="s">
        <v>2098</v>
      </c>
      <c r="M469" s="0" t="s">
        <v>2099</v>
      </c>
      <c r="N469" s="0" t="n">
        <v>1</v>
      </c>
      <c r="P469" s="0" t="s">
        <v>217</v>
      </c>
      <c r="Q469" s="0" t="s">
        <v>482</v>
      </c>
      <c r="R469" s="0" t="s">
        <v>855</v>
      </c>
      <c r="S469" s="0" t="s">
        <v>454</v>
      </c>
      <c r="T469" s="0" t="s">
        <v>513</v>
      </c>
      <c r="U469" s="0" t="s">
        <v>199</v>
      </c>
      <c r="V469" s="0" t="s">
        <v>1085</v>
      </c>
      <c r="W469" s="12" t="n">
        <v>0</v>
      </c>
      <c r="Y469" s="12" t="s">
        <v>143</v>
      </c>
      <c r="AG469" s="0" t="s">
        <v>10</v>
      </c>
      <c r="AL469" s="13" t="n">
        <v>364900</v>
      </c>
      <c r="AM469" s="14" t="n">
        <v>0</v>
      </c>
      <c r="AN469" s="13" t="n">
        <v>434231</v>
      </c>
      <c r="AO469" s="13" t="n">
        <v>69331</v>
      </c>
      <c r="AR469" s="0" t="s">
        <v>2102</v>
      </c>
      <c r="AZ469" s="0" t="s">
        <v>89</v>
      </c>
      <c r="BA469" s="0" t="s">
        <v>89</v>
      </c>
      <c r="BB469" s="0" t="s">
        <v>90</v>
      </c>
      <c r="BC469" s="0" t="n">
        <v>0</v>
      </c>
      <c r="BD469" s="15" t="s">
        <v>2103</v>
      </c>
      <c r="BE469" s="37" t="s">
        <v>1091</v>
      </c>
    </row>
    <row r="470" customFormat="false" ht="16.4" hidden="false" customHeight="false" outlineLevel="0" collapsed="false">
      <c r="A470" s="36" t="n">
        <f aca="false">IF(B470=0,"",MAX($A$3:A469)+1)</f>
        <v>367</v>
      </c>
      <c r="B470" s="36" t="n">
        <f aca="false">IF(OR(M470="FLETE",M470="FLETE ENVIO GARANTIA",M470="FLETE RECOLECCION GARANTIA",M470="COMPENSACION"),0,1)</f>
        <v>1</v>
      </c>
      <c r="D470" s="10" t="s">
        <v>2101</v>
      </c>
      <c r="J470" s="0" t="s">
        <v>1085</v>
      </c>
      <c r="K470" s="0" t="s">
        <v>529</v>
      </c>
      <c r="L470" s="0" t="s">
        <v>866</v>
      </c>
      <c r="M470" s="0" t="s">
        <v>867</v>
      </c>
      <c r="N470" s="0" t="n">
        <v>1</v>
      </c>
      <c r="P470" s="0" t="s">
        <v>217</v>
      </c>
      <c r="Q470" s="0" t="s">
        <v>541</v>
      </c>
      <c r="R470" s="0" t="s">
        <v>868</v>
      </c>
      <c r="T470" s="0" t="s">
        <v>198</v>
      </c>
      <c r="U470" s="0" t="s">
        <v>199</v>
      </c>
      <c r="V470" s="0" t="s">
        <v>1085</v>
      </c>
      <c r="W470" s="0" t="n">
        <v>0</v>
      </c>
      <c r="Y470" s="0" t="s">
        <v>143</v>
      </c>
      <c r="AG470" s="0" t="s">
        <v>10</v>
      </c>
      <c r="AL470" s="13" t="n">
        <v>145900</v>
      </c>
      <c r="AM470" s="14" t="n">
        <v>0</v>
      </c>
      <c r="AN470" s="13" t="n">
        <v>173621</v>
      </c>
      <c r="AO470" s="13" t="n">
        <v>27721</v>
      </c>
      <c r="AR470" s="0" t="s">
        <v>2102</v>
      </c>
      <c r="AZ470" s="0" t="s">
        <v>89</v>
      </c>
      <c r="BA470" s="0" t="s">
        <v>89</v>
      </c>
      <c r="BB470" s="0" t="s">
        <v>90</v>
      </c>
      <c r="BC470" s="0" t="n">
        <v>0</v>
      </c>
      <c r="BD470" s="15" t="s">
        <v>2103</v>
      </c>
      <c r="BE470" s="37" t="s">
        <v>1091</v>
      </c>
    </row>
    <row r="471" customFormat="false" ht="16.4" hidden="false" customHeight="false" outlineLevel="0" collapsed="false">
      <c r="A471" s="36" t="n">
        <f aca="false">IF(B471=0,"",MAX($A$3:A470)+1)</f>
        <v>368</v>
      </c>
      <c r="B471" s="36" t="n">
        <f aca="false">IF(OR(M471="FLETE",M471="FLETE ENVIO GARANTIA",M471="FLETE RECOLECCION GARANTIA",M471="COMPENSACION"),0,1)</f>
        <v>1</v>
      </c>
      <c r="C471" s="0" t="s">
        <v>2104</v>
      </c>
      <c r="D471" s="10" t="s">
        <v>2105</v>
      </c>
      <c r="E471" s="11" t="n">
        <v>45688</v>
      </c>
      <c r="F471" s="11" t="n">
        <v>45717</v>
      </c>
      <c r="G471" s="11" t="n">
        <v>45719</v>
      </c>
      <c r="I471" s="11" t="n">
        <v>45719</v>
      </c>
      <c r="J471" s="0" t="s">
        <v>1085</v>
      </c>
      <c r="K471" s="0" t="s">
        <v>214</v>
      </c>
      <c r="L471" s="0" t="s">
        <v>2106</v>
      </c>
      <c r="M471" s="0" t="s">
        <v>2107</v>
      </c>
      <c r="N471" s="0" t="n">
        <v>1</v>
      </c>
      <c r="P471" s="0" t="s">
        <v>217</v>
      </c>
      <c r="Q471" s="0" t="s">
        <v>218</v>
      </c>
      <c r="R471" s="0" t="s">
        <v>984</v>
      </c>
      <c r="S471" s="0" t="s">
        <v>435</v>
      </c>
      <c r="T471" s="0" t="s">
        <v>449</v>
      </c>
      <c r="U471" s="0" t="s">
        <v>199</v>
      </c>
      <c r="V471" s="0" t="s">
        <v>1085</v>
      </c>
      <c r="W471" s="12" t="n">
        <v>0</v>
      </c>
      <c r="Y471" s="12" t="s">
        <v>143</v>
      </c>
      <c r="AA471" s="12" t="s">
        <v>2107</v>
      </c>
      <c r="AF471" s="0" t="s">
        <v>2108</v>
      </c>
      <c r="AG471" s="0" t="s">
        <v>10</v>
      </c>
      <c r="AK471" s="0" t="s">
        <v>85</v>
      </c>
      <c r="AL471" s="13" t="n">
        <v>905900</v>
      </c>
      <c r="AM471" s="14" t="n">
        <v>0</v>
      </c>
      <c r="AN471" s="13" t="n">
        <v>1078021</v>
      </c>
      <c r="AO471" s="13" t="n">
        <v>172121</v>
      </c>
      <c r="AR471" s="0" t="s">
        <v>2109</v>
      </c>
      <c r="AS471" s="0" t="n">
        <v>1078021</v>
      </c>
      <c r="AX471" s="0" t="s">
        <v>1085</v>
      </c>
      <c r="AZ471" s="0" t="s">
        <v>89</v>
      </c>
      <c r="BA471" s="0" t="s">
        <v>89</v>
      </c>
      <c r="BB471" s="0" t="s">
        <v>90</v>
      </c>
      <c r="BC471" s="0" t="n">
        <v>0</v>
      </c>
      <c r="BD471" s="15" t="s">
        <v>2110</v>
      </c>
      <c r="BE471" s="37" t="s">
        <v>1091</v>
      </c>
    </row>
    <row r="472" customFormat="false" ht="16.4" hidden="false" customHeight="false" outlineLevel="0" collapsed="false">
      <c r="A472" s="36" t="n">
        <f aca="false">IF(B472=0,"",MAX($A$3:A471)+1)</f>
        <v>369</v>
      </c>
      <c r="B472" s="36" t="n">
        <f aca="false">IF(OR(M472="FLETE",M472="FLETE ENVIO GARANTIA",M472="FLETE RECOLECCION GARANTIA",M472="COMPENSACION"),0,1)</f>
        <v>1</v>
      </c>
      <c r="C472" s="0" t="s">
        <v>2111</v>
      </c>
      <c r="D472" s="10" t="s">
        <v>2112</v>
      </c>
      <c r="E472" s="11" t="n">
        <v>45688</v>
      </c>
      <c r="F472" s="11" t="n">
        <v>45717</v>
      </c>
      <c r="G472" s="11" t="n">
        <v>45719</v>
      </c>
      <c r="I472" s="11" t="n">
        <v>45719</v>
      </c>
      <c r="J472" s="0" t="s">
        <v>1085</v>
      </c>
      <c r="K472" s="0" t="s">
        <v>214</v>
      </c>
      <c r="L472" s="0" t="s">
        <v>2106</v>
      </c>
      <c r="M472" s="0" t="s">
        <v>2107</v>
      </c>
      <c r="N472" s="0" t="n">
        <v>1</v>
      </c>
      <c r="P472" s="0" t="s">
        <v>217</v>
      </c>
      <c r="Q472" s="0" t="s">
        <v>218</v>
      </c>
      <c r="R472" s="0" t="s">
        <v>984</v>
      </c>
      <c r="S472" s="0" t="s">
        <v>435</v>
      </c>
      <c r="T472" s="0" t="s">
        <v>449</v>
      </c>
      <c r="U472" s="0" t="s">
        <v>199</v>
      </c>
      <c r="V472" s="0" t="s">
        <v>1085</v>
      </c>
      <c r="W472" s="12" t="n">
        <v>0</v>
      </c>
      <c r="Y472" s="12" t="s">
        <v>143</v>
      </c>
      <c r="AA472" s="12" t="s">
        <v>2107</v>
      </c>
      <c r="AF472" s="0" t="s">
        <v>2108</v>
      </c>
      <c r="AG472" s="0" t="s">
        <v>10</v>
      </c>
      <c r="AK472" s="0" t="s">
        <v>85</v>
      </c>
      <c r="AL472" s="13" t="n">
        <v>905900</v>
      </c>
      <c r="AM472" s="14" t="n">
        <v>0</v>
      </c>
      <c r="AN472" s="13" t="n">
        <v>1078021</v>
      </c>
      <c r="AO472" s="13" t="n">
        <v>172121</v>
      </c>
      <c r="AR472" s="0" t="s">
        <v>2113</v>
      </c>
      <c r="AS472" s="0" t="n">
        <v>1078021</v>
      </c>
      <c r="AX472" s="0" t="s">
        <v>1085</v>
      </c>
      <c r="AZ472" s="0" t="s">
        <v>89</v>
      </c>
      <c r="BA472" s="0" t="s">
        <v>89</v>
      </c>
      <c r="BB472" s="0" t="s">
        <v>90</v>
      </c>
      <c r="BC472" s="0" t="n">
        <v>0</v>
      </c>
      <c r="BD472" s="15" t="s">
        <v>2114</v>
      </c>
      <c r="BE472" s="37" t="s">
        <v>1091</v>
      </c>
    </row>
    <row r="473" customFormat="false" ht="16.4" hidden="false" customHeight="false" outlineLevel="0" collapsed="false">
      <c r="A473" s="36" t="n">
        <f aca="false">IF(B473=0,"",MAX($A$3:A472)+1)</f>
        <v>370</v>
      </c>
      <c r="B473" s="36" t="n">
        <f aca="false">IF(OR(M473="FLETE",M473="FLETE ENVIO GARANTIA",M473="FLETE RECOLECCION GARANTIA",M473="COMPENSACION"),0,1)</f>
        <v>1</v>
      </c>
      <c r="C473" s="0" t="s">
        <v>2115</v>
      </c>
      <c r="D473" s="10" t="s">
        <v>2116</v>
      </c>
      <c r="E473" s="11" t="n">
        <v>45688</v>
      </c>
      <c r="F473" s="11" t="n">
        <v>45717</v>
      </c>
      <c r="G473" s="11" t="n">
        <v>45719</v>
      </c>
      <c r="I473" s="11" t="n">
        <v>45719</v>
      </c>
      <c r="J473" s="0" t="s">
        <v>1085</v>
      </c>
      <c r="K473" s="0" t="s">
        <v>214</v>
      </c>
      <c r="L473" s="0" t="s">
        <v>2106</v>
      </c>
      <c r="M473" s="0" t="s">
        <v>2107</v>
      </c>
      <c r="N473" s="0" t="n">
        <v>1</v>
      </c>
      <c r="P473" s="0" t="s">
        <v>217</v>
      </c>
      <c r="Q473" s="0" t="s">
        <v>218</v>
      </c>
      <c r="R473" s="0" t="s">
        <v>984</v>
      </c>
      <c r="S473" s="0" t="s">
        <v>435</v>
      </c>
      <c r="T473" s="0" t="s">
        <v>449</v>
      </c>
      <c r="U473" s="0" t="s">
        <v>199</v>
      </c>
      <c r="V473" s="0" t="s">
        <v>1085</v>
      </c>
      <c r="W473" s="12" t="n">
        <v>0</v>
      </c>
      <c r="Y473" s="12" t="s">
        <v>143</v>
      </c>
      <c r="AA473" s="12" t="s">
        <v>2107</v>
      </c>
      <c r="AF473" s="0" t="s">
        <v>2108</v>
      </c>
      <c r="AG473" s="0" t="s">
        <v>10</v>
      </c>
      <c r="AK473" s="0" t="s">
        <v>85</v>
      </c>
      <c r="AL473" s="13" t="n">
        <v>905900</v>
      </c>
      <c r="AM473" s="14" t="n">
        <v>0</v>
      </c>
      <c r="AN473" s="13" t="n">
        <v>1078021</v>
      </c>
      <c r="AO473" s="13" t="n">
        <v>172121</v>
      </c>
      <c r="AR473" s="0" t="s">
        <v>2117</v>
      </c>
      <c r="AS473" s="0" t="n">
        <v>1078021</v>
      </c>
      <c r="AX473" s="0" t="s">
        <v>1085</v>
      </c>
      <c r="AZ473" s="0" t="s">
        <v>89</v>
      </c>
      <c r="BA473" s="0" t="s">
        <v>89</v>
      </c>
      <c r="BB473" s="0" t="s">
        <v>90</v>
      </c>
      <c r="BC473" s="0" t="n">
        <v>0</v>
      </c>
      <c r="BD473" s="15" t="s">
        <v>2118</v>
      </c>
      <c r="BE473" s="37" t="s">
        <v>1091</v>
      </c>
    </row>
    <row r="474" customFormat="false" ht="16.4" hidden="false" customHeight="false" outlineLevel="0" collapsed="false">
      <c r="A474" s="36" t="n">
        <f aca="false">IF(B474=0,"",MAX($A$3:A473)+1)</f>
        <v>371</v>
      </c>
      <c r="B474" s="36" t="n">
        <f aca="false">IF(OR(M474="FLETE",M474="FLETE ENVIO GARANTIA",M474="FLETE RECOLECCION GARANTIA",M474="COMPENSACION"),0,1)</f>
        <v>1</v>
      </c>
      <c r="C474" s="0" t="s">
        <v>2119</v>
      </c>
      <c r="D474" s="10" t="s">
        <v>2120</v>
      </c>
      <c r="E474" s="11" t="n">
        <v>45688</v>
      </c>
      <c r="F474" s="11" t="n">
        <v>45717</v>
      </c>
      <c r="G474" s="11" t="n">
        <v>45719</v>
      </c>
      <c r="I474" s="11" t="n">
        <v>45719</v>
      </c>
      <c r="J474" s="0" t="s">
        <v>1085</v>
      </c>
      <c r="K474" s="0" t="s">
        <v>214</v>
      </c>
      <c r="L474" s="0" t="s">
        <v>2106</v>
      </c>
      <c r="M474" s="0" t="s">
        <v>2107</v>
      </c>
      <c r="N474" s="0" t="n">
        <v>1</v>
      </c>
      <c r="P474" s="0" t="s">
        <v>217</v>
      </c>
      <c r="Q474" s="0" t="s">
        <v>218</v>
      </c>
      <c r="R474" s="0" t="s">
        <v>984</v>
      </c>
      <c r="S474" s="0" t="s">
        <v>435</v>
      </c>
      <c r="T474" s="0" t="s">
        <v>449</v>
      </c>
      <c r="U474" s="0" t="s">
        <v>199</v>
      </c>
      <c r="V474" s="0" t="s">
        <v>1085</v>
      </c>
      <c r="W474" s="12" t="n">
        <v>0</v>
      </c>
      <c r="Y474" s="12" t="s">
        <v>143</v>
      </c>
      <c r="AA474" s="12" t="s">
        <v>2107</v>
      </c>
      <c r="AF474" s="0" t="s">
        <v>2108</v>
      </c>
      <c r="AG474" s="0" t="s">
        <v>10</v>
      </c>
      <c r="AK474" s="0" t="s">
        <v>85</v>
      </c>
      <c r="AL474" s="13" t="n">
        <v>905900</v>
      </c>
      <c r="AM474" s="14" t="n">
        <v>0</v>
      </c>
      <c r="AN474" s="13" t="n">
        <v>1078021</v>
      </c>
      <c r="AO474" s="13" t="n">
        <v>172121</v>
      </c>
      <c r="AR474" s="0" t="s">
        <v>2121</v>
      </c>
      <c r="AS474" s="0" t="n">
        <v>1078021</v>
      </c>
      <c r="AX474" s="0" t="s">
        <v>1085</v>
      </c>
      <c r="AZ474" s="0" t="s">
        <v>89</v>
      </c>
      <c r="BA474" s="0" t="s">
        <v>89</v>
      </c>
      <c r="BB474" s="0" t="s">
        <v>90</v>
      </c>
      <c r="BC474" s="0" t="n">
        <v>0</v>
      </c>
      <c r="BD474" s="15" t="s">
        <v>2122</v>
      </c>
      <c r="BE474" s="37" t="s">
        <v>1091</v>
      </c>
    </row>
    <row r="475" customFormat="false" ht="16.4" hidden="false" customHeight="false" outlineLevel="0" collapsed="false">
      <c r="A475" s="36" t="n">
        <f aca="false">IF(B475=0,"",MAX($A$3:A474)+1)</f>
        <v>372</v>
      </c>
      <c r="B475" s="36" t="n">
        <f aca="false">IF(OR(M475="FLETE",M475="FLETE ENVIO GARANTIA",M475="FLETE RECOLECCION GARANTIA",M475="COMPENSACION"),0,1)</f>
        <v>1</v>
      </c>
      <c r="C475" s="0" t="s">
        <v>2123</v>
      </c>
      <c r="D475" s="10" t="s">
        <v>2124</v>
      </c>
      <c r="E475" s="11" t="n">
        <v>45688</v>
      </c>
      <c r="F475" s="11" t="n">
        <v>45717</v>
      </c>
      <c r="G475" s="11" t="n">
        <v>45719</v>
      </c>
      <c r="I475" s="11" t="n">
        <v>45719</v>
      </c>
      <c r="J475" s="0" t="s">
        <v>1085</v>
      </c>
      <c r="K475" s="0" t="s">
        <v>214</v>
      </c>
      <c r="L475" s="0" t="s">
        <v>2106</v>
      </c>
      <c r="M475" s="0" t="s">
        <v>2107</v>
      </c>
      <c r="N475" s="0" t="n">
        <v>1</v>
      </c>
      <c r="P475" s="0" t="s">
        <v>217</v>
      </c>
      <c r="Q475" s="0" t="s">
        <v>218</v>
      </c>
      <c r="R475" s="0" t="s">
        <v>984</v>
      </c>
      <c r="S475" s="0" t="s">
        <v>435</v>
      </c>
      <c r="T475" s="0" t="s">
        <v>449</v>
      </c>
      <c r="U475" s="0" t="s">
        <v>199</v>
      </c>
      <c r="V475" s="0" t="s">
        <v>1085</v>
      </c>
      <c r="W475" s="12" t="n">
        <v>0</v>
      </c>
      <c r="Y475" s="12" t="s">
        <v>143</v>
      </c>
      <c r="AA475" s="12" t="s">
        <v>2107</v>
      </c>
      <c r="AF475" s="0" t="s">
        <v>2108</v>
      </c>
      <c r="AG475" s="0" t="s">
        <v>10</v>
      </c>
      <c r="AK475" s="0" t="s">
        <v>85</v>
      </c>
      <c r="AL475" s="13" t="n">
        <v>905900</v>
      </c>
      <c r="AM475" s="14" t="n">
        <v>0</v>
      </c>
      <c r="AN475" s="13" t="n">
        <v>1078021</v>
      </c>
      <c r="AO475" s="13" t="n">
        <v>172121</v>
      </c>
      <c r="AR475" s="0" t="s">
        <v>2125</v>
      </c>
      <c r="AS475" s="0" t="n">
        <v>1078021</v>
      </c>
      <c r="AX475" s="0" t="s">
        <v>1085</v>
      </c>
      <c r="AZ475" s="0" t="s">
        <v>89</v>
      </c>
      <c r="BA475" s="0" t="s">
        <v>89</v>
      </c>
      <c r="BB475" s="0" t="s">
        <v>90</v>
      </c>
      <c r="BC475" s="0" t="n">
        <v>0</v>
      </c>
      <c r="BD475" s="15" t="s">
        <v>2126</v>
      </c>
      <c r="BE475" s="37" t="s">
        <v>1091</v>
      </c>
    </row>
    <row r="476" customFormat="false" ht="16.4" hidden="false" customHeight="false" outlineLevel="0" collapsed="false">
      <c r="A476" s="36" t="n">
        <f aca="false">IF(B476=0,"",MAX($A$3:A475)+1)</f>
        <v>373</v>
      </c>
      <c r="B476" s="36" t="n">
        <f aca="false">IF(OR(M476="FLETE",M476="FLETE ENVIO GARANTIA",M476="FLETE RECOLECCION GARANTIA",M476="COMPENSACION"),0,1)</f>
        <v>1</v>
      </c>
      <c r="C476" s="0" t="s">
        <v>2127</v>
      </c>
      <c r="D476" s="10" t="s">
        <v>2128</v>
      </c>
      <c r="E476" s="11" t="n">
        <v>45688</v>
      </c>
      <c r="F476" s="11" t="n">
        <v>45717</v>
      </c>
      <c r="G476" s="11" t="n">
        <v>45719</v>
      </c>
      <c r="I476" s="11" t="n">
        <v>45719</v>
      </c>
      <c r="J476" s="0" t="s">
        <v>1085</v>
      </c>
      <c r="K476" s="0" t="s">
        <v>214</v>
      </c>
      <c r="L476" s="0" t="s">
        <v>982</v>
      </c>
      <c r="M476" s="0" t="s">
        <v>983</v>
      </c>
      <c r="N476" s="0" t="n">
        <v>1</v>
      </c>
      <c r="P476" s="0" t="s">
        <v>217</v>
      </c>
      <c r="Q476" s="0" t="s">
        <v>218</v>
      </c>
      <c r="R476" s="0" t="s">
        <v>984</v>
      </c>
      <c r="S476" s="0" t="s">
        <v>435</v>
      </c>
      <c r="T476" s="0" t="s">
        <v>513</v>
      </c>
      <c r="U476" s="0" t="s">
        <v>199</v>
      </c>
      <c r="V476" s="0" t="s">
        <v>1085</v>
      </c>
      <c r="W476" s="12" t="n">
        <v>0</v>
      </c>
      <c r="Y476" s="12" t="s">
        <v>143</v>
      </c>
      <c r="AA476" s="12" t="s">
        <v>983</v>
      </c>
      <c r="AF476" s="0" t="s">
        <v>2129</v>
      </c>
      <c r="AG476" s="0" t="s">
        <v>10</v>
      </c>
      <c r="AK476" s="0" t="s">
        <v>85</v>
      </c>
      <c r="AL476" s="13" t="n">
        <v>905900</v>
      </c>
      <c r="AM476" s="14" t="n">
        <v>0</v>
      </c>
      <c r="AN476" s="13" t="n">
        <v>1078021</v>
      </c>
      <c r="AO476" s="13" t="n">
        <v>172121</v>
      </c>
      <c r="AR476" s="0" t="s">
        <v>2130</v>
      </c>
      <c r="AS476" s="0" t="n">
        <v>1078021</v>
      </c>
      <c r="AX476" s="0" t="s">
        <v>1085</v>
      </c>
      <c r="AZ476" s="0" t="s">
        <v>89</v>
      </c>
      <c r="BA476" s="0" t="s">
        <v>89</v>
      </c>
      <c r="BB476" s="0" t="s">
        <v>90</v>
      </c>
      <c r="BC476" s="0" t="n">
        <v>0</v>
      </c>
      <c r="BD476" s="15" t="s">
        <v>2131</v>
      </c>
      <c r="BE476" s="37" t="s">
        <v>1091</v>
      </c>
    </row>
    <row r="477" customFormat="false" ht="16.4" hidden="false" customHeight="false" outlineLevel="0" collapsed="false">
      <c r="A477" s="36" t="n">
        <f aca="false">IF(B477=0,"",MAX($A$3:A476)+1)</f>
        <v>374</v>
      </c>
      <c r="B477" s="36" t="n">
        <f aca="false">IF(OR(M477="FLETE",M477="FLETE ENVIO GARANTIA",M477="FLETE RECOLECCION GARANTIA",M477="COMPENSACION"),0,1)</f>
        <v>1</v>
      </c>
      <c r="C477" s="0" t="s">
        <v>2132</v>
      </c>
      <c r="D477" s="10" t="s">
        <v>2133</v>
      </c>
      <c r="E477" s="11" t="n">
        <v>45688</v>
      </c>
      <c r="F477" s="11" t="n">
        <v>45717</v>
      </c>
      <c r="G477" s="11" t="n">
        <v>45719</v>
      </c>
      <c r="I477" s="11" t="n">
        <v>45719</v>
      </c>
      <c r="J477" s="0" t="s">
        <v>1085</v>
      </c>
      <c r="K477" s="0" t="s">
        <v>214</v>
      </c>
      <c r="L477" s="0" t="s">
        <v>982</v>
      </c>
      <c r="M477" s="0" t="s">
        <v>983</v>
      </c>
      <c r="N477" s="0" t="n">
        <v>1</v>
      </c>
      <c r="P477" s="0" t="s">
        <v>217</v>
      </c>
      <c r="Q477" s="0" t="s">
        <v>218</v>
      </c>
      <c r="R477" s="0" t="s">
        <v>984</v>
      </c>
      <c r="S477" s="0" t="s">
        <v>435</v>
      </c>
      <c r="T477" s="0" t="s">
        <v>513</v>
      </c>
      <c r="U477" s="0" t="s">
        <v>199</v>
      </c>
      <c r="V477" s="0" t="s">
        <v>1085</v>
      </c>
      <c r="W477" s="12" t="n">
        <v>0</v>
      </c>
      <c r="Y477" s="12" t="s">
        <v>143</v>
      </c>
      <c r="AA477" s="12" t="s">
        <v>983</v>
      </c>
      <c r="AF477" s="0" t="s">
        <v>2129</v>
      </c>
      <c r="AG477" s="0" t="s">
        <v>10</v>
      </c>
      <c r="AK477" s="0" t="s">
        <v>85</v>
      </c>
      <c r="AL477" s="13" t="n">
        <v>905900</v>
      </c>
      <c r="AM477" s="14" t="n">
        <v>0</v>
      </c>
      <c r="AN477" s="13" t="n">
        <v>1078021</v>
      </c>
      <c r="AO477" s="13" t="n">
        <v>172121</v>
      </c>
      <c r="AR477" s="0" t="s">
        <v>2134</v>
      </c>
      <c r="AS477" s="0" t="n">
        <v>1078021</v>
      </c>
      <c r="AX477" s="0" t="s">
        <v>1085</v>
      </c>
      <c r="AZ477" s="0" t="s">
        <v>89</v>
      </c>
      <c r="BA477" s="0" t="s">
        <v>89</v>
      </c>
      <c r="BB477" s="0" t="s">
        <v>90</v>
      </c>
      <c r="BC477" s="0" t="n">
        <v>0</v>
      </c>
      <c r="BD477" s="15" t="s">
        <v>2135</v>
      </c>
      <c r="BE477" s="37" t="s">
        <v>1091</v>
      </c>
    </row>
    <row r="478" customFormat="false" ht="16.4" hidden="false" customHeight="false" outlineLevel="0" collapsed="false">
      <c r="A478" s="36" t="n">
        <f aca="false">IF(B478=0,"",MAX($A$3:A477)+1)</f>
        <v>375</v>
      </c>
      <c r="B478" s="36" t="n">
        <f aca="false">IF(OR(M478="FLETE",M478="FLETE ENVIO GARANTIA",M478="FLETE RECOLECCION GARANTIA",M478="COMPENSACION"),0,1)</f>
        <v>1</v>
      </c>
      <c r="C478" s="0" t="s">
        <v>2136</v>
      </c>
      <c r="D478" s="10" t="s">
        <v>2137</v>
      </c>
      <c r="E478" s="11" t="n">
        <v>45688</v>
      </c>
      <c r="F478" s="11" t="n">
        <v>45717</v>
      </c>
      <c r="G478" s="11" t="n">
        <v>45719</v>
      </c>
      <c r="I478" s="11" t="n">
        <v>45719</v>
      </c>
      <c r="J478" s="0" t="s">
        <v>1085</v>
      </c>
      <c r="K478" s="0" t="s">
        <v>214</v>
      </c>
      <c r="L478" s="0" t="s">
        <v>2054</v>
      </c>
      <c r="M478" s="0" t="s">
        <v>2055</v>
      </c>
      <c r="N478" s="0" t="n">
        <v>1</v>
      </c>
      <c r="P478" s="0" t="s">
        <v>217</v>
      </c>
      <c r="Q478" s="0" t="s">
        <v>218</v>
      </c>
      <c r="R478" s="0" t="s">
        <v>656</v>
      </c>
      <c r="S478" s="0" t="s">
        <v>454</v>
      </c>
      <c r="T478" s="0" t="s">
        <v>513</v>
      </c>
      <c r="U478" s="0" t="s">
        <v>199</v>
      </c>
      <c r="V478" s="0" t="s">
        <v>1085</v>
      </c>
      <c r="W478" s="12" t="n">
        <v>0</v>
      </c>
      <c r="Y478" s="12" t="s">
        <v>143</v>
      </c>
      <c r="AA478" s="12" t="s">
        <v>2138</v>
      </c>
      <c r="AF478" s="0" t="s">
        <v>2139</v>
      </c>
      <c r="AG478" s="0" t="s">
        <v>10</v>
      </c>
      <c r="AK478" s="0" t="s">
        <v>85</v>
      </c>
      <c r="AL478" s="13" t="n">
        <v>721900</v>
      </c>
      <c r="AM478" s="14" t="n">
        <v>0</v>
      </c>
      <c r="AN478" s="13" t="n">
        <v>859061</v>
      </c>
      <c r="AO478" s="13" t="n">
        <v>137161</v>
      </c>
      <c r="AR478" s="0" t="s">
        <v>2140</v>
      </c>
      <c r="AS478" s="0" t="n">
        <v>2042754</v>
      </c>
      <c r="AX478" s="0" t="s">
        <v>1085</v>
      </c>
      <c r="AZ478" s="0" t="s">
        <v>89</v>
      </c>
      <c r="BA478" s="0" t="s">
        <v>89</v>
      </c>
      <c r="BB478" s="0" t="s">
        <v>90</v>
      </c>
      <c r="BC478" s="0" t="n">
        <v>0</v>
      </c>
      <c r="BD478" s="15" t="s">
        <v>2141</v>
      </c>
      <c r="BE478" s="37" t="s">
        <v>1091</v>
      </c>
    </row>
    <row r="479" customFormat="false" ht="16.4" hidden="false" customHeight="false" outlineLevel="0" collapsed="false">
      <c r="A479" s="36" t="n">
        <f aca="false">IF(B479=0,"",MAX($A$3:A478)+1)</f>
        <v>376</v>
      </c>
      <c r="B479" s="36" t="n">
        <f aca="false">IF(OR(M479="FLETE",M479="FLETE ENVIO GARANTIA",M479="FLETE RECOLECCION GARANTIA",M479="COMPENSACION"),0,1)</f>
        <v>1</v>
      </c>
      <c r="D479" s="10" t="s">
        <v>2137</v>
      </c>
      <c r="J479" s="0" t="s">
        <v>1085</v>
      </c>
      <c r="K479" s="0" t="s">
        <v>479</v>
      </c>
      <c r="L479" s="0" t="s">
        <v>2142</v>
      </c>
      <c r="M479" s="0" t="s">
        <v>2143</v>
      </c>
      <c r="N479" s="0" t="n">
        <v>2</v>
      </c>
      <c r="P479" s="0" t="s">
        <v>217</v>
      </c>
      <c r="Q479" s="0" t="s">
        <v>482</v>
      </c>
      <c r="R479" s="0" t="s">
        <v>656</v>
      </c>
      <c r="S479" s="0" t="s">
        <v>454</v>
      </c>
      <c r="T479" s="0" t="s">
        <v>513</v>
      </c>
      <c r="U479" s="0" t="s">
        <v>199</v>
      </c>
      <c r="V479" s="0" t="s">
        <v>1085</v>
      </c>
      <c r="W479" s="12" t="n">
        <v>0</v>
      </c>
      <c r="Y479" s="12" t="s">
        <v>143</v>
      </c>
      <c r="AG479" s="0" t="s">
        <v>10</v>
      </c>
      <c r="AL479" s="13" t="n">
        <v>400900</v>
      </c>
      <c r="AM479" s="14" t="n">
        <v>0</v>
      </c>
      <c r="AN479" s="13" t="n">
        <v>954142</v>
      </c>
      <c r="AO479" s="13" t="n">
        <v>152342</v>
      </c>
      <c r="AR479" s="0" t="s">
        <v>2140</v>
      </c>
      <c r="AZ479" s="0" t="s">
        <v>89</v>
      </c>
      <c r="BA479" s="0" t="s">
        <v>89</v>
      </c>
      <c r="BB479" s="0" t="s">
        <v>90</v>
      </c>
      <c r="BC479" s="0" t="n">
        <v>0</v>
      </c>
      <c r="BD479" s="15" t="s">
        <v>2141</v>
      </c>
      <c r="BE479" s="37" t="s">
        <v>1091</v>
      </c>
    </row>
    <row r="480" customFormat="false" ht="16.4" hidden="false" customHeight="false" outlineLevel="0" collapsed="false">
      <c r="A480" s="36" t="n">
        <f aca="false">IF(B480=0,"",MAX($A$3:A479)+1)</f>
        <v>377</v>
      </c>
      <c r="B480" s="36" t="n">
        <f aca="false">IF(OR(M480="FLETE",M480="FLETE ENVIO GARANTIA",M480="FLETE RECOLECCION GARANTIA",M480="COMPENSACION"),0,1)</f>
        <v>1</v>
      </c>
      <c r="D480" s="10" t="s">
        <v>2137</v>
      </c>
      <c r="J480" s="0" t="s">
        <v>1085</v>
      </c>
      <c r="K480" s="0" t="s">
        <v>529</v>
      </c>
      <c r="L480" s="0" t="s">
        <v>2144</v>
      </c>
      <c r="M480" s="0" t="s">
        <v>2145</v>
      </c>
      <c r="N480" s="0" t="n">
        <v>1</v>
      </c>
      <c r="P480" s="0" t="s">
        <v>217</v>
      </c>
      <c r="Q480" s="0" t="s">
        <v>541</v>
      </c>
      <c r="R480" s="0" t="s">
        <v>656</v>
      </c>
      <c r="T480" s="0" t="s">
        <v>199</v>
      </c>
      <c r="U480" s="0" t="s">
        <v>456</v>
      </c>
      <c r="V480" s="0" t="s">
        <v>1085</v>
      </c>
      <c r="W480" s="12" t="n">
        <v>0</v>
      </c>
      <c r="Y480" s="12" t="s">
        <v>143</v>
      </c>
      <c r="AG480" s="0" t="s">
        <v>10</v>
      </c>
      <c r="AL480" s="13" t="n">
        <v>192900</v>
      </c>
      <c r="AM480" s="14" t="n">
        <v>0</v>
      </c>
      <c r="AN480" s="13" t="n">
        <v>229551</v>
      </c>
      <c r="AO480" s="13" t="n">
        <v>36651</v>
      </c>
      <c r="AR480" s="0" t="s">
        <v>2140</v>
      </c>
      <c r="AZ480" s="0" t="s">
        <v>89</v>
      </c>
      <c r="BA480" s="0" t="s">
        <v>89</v>
      </c>
      <c r="BB480" s="0" t="s">
        <v>90</v>
      </c>
      <c r="BC480" s="0" t="n">
        <v>0</v>
      </c>
      <c r="BD480" s="15" t="s">
        <v>2141</v>
      </c>
      <c r="BE480" s="37" t="s">
        <v>1091</v>
      </c>
    </row>
    <row r="481" customFormat="false" ht="16.4" hidden="false" customHeight="false" outlineLevel="0" collapsed="false">
      <c r="A481" s="36" t="n">
        <f aca="false">IF(B481=0,"",MAX($A$3:A480)+1)</f>
        <v>378</v>
      </c>
      <c r="B481" s="36" t="n">
        <f aca="false">IF(OR(M481="FLETE",M481="FLETE ENVIO GARANTIA",M481="FLETE RECOLECCION GARANTIA",M481="COMPENSACION"),0,1)</f>
        <v>1</v>
      </c>
      <c r="C481" s="0" t="s">
        <v>2146</v>
      </c>
      <c r="D481" s="10" t="s">
        <v>2147</v>
      </c>
      <c r="E481" s="11" t="n">
        <v>45688</v>
      </c>
      <c r="F481" s="11" t="n">
        <v>45717</v>
      </c>
      <c r="G481" s="11" t="n">
        <v>45719</v>
      </c>
      <c r="I481" s="11" t="n">
        <v>45719</v>
      </c>
      <c r="J481" s="0" t="s">
        <v>1085</v>
      </c>
      <c r="K481" s="0" t="s">
        <v>214</v>
      </c>
      <c r="L481" s="0" t="s">
        <v>2054</v>
      </c>
      <c r="M481" s="0" t="s">
        <v>2055</v>
      </c>
      <c r="N481" s="0" t="n">
        <v>1</v>
      </c>
      <c r="P481" s="0" t="s">
        <v>217</v>
      </c>
      <c r="Q481" s="0" t="s">
        <v>218</v>
      </c>
      <c r="R481" s="0" t="s">
        <v>656</v>
      </c>
      <c r="S481" s="0" t="s">
        <v>454</v>
      </c>
      <c r="T481" s="0" t="s">
        <v>513</v>
      </c>
      <c r="U481" s="0" t="s">
        <v>199</v>
      </c>
      <c r="V481" s="0" t="s">
        <v>1085</v>
      </c>
      <c r="W481" s="12" t="n">
        <v>0</v>
      </c>
      <c r="Y481" s="12" t="s">
        <v>143</v>
      </c>
      <c r="AA481" s="12" t="s">
        <v>2138</v>
      </c>
      <c r="AF481" s="0" t="s">
        <v>2139</v>
      </c>
      <c r="AG481" s="0" t="s">
        <v>10</v>
      </c>
      <c r="AK481" s="0" t="s">
        <v>85</v>
      </c>
      <c r="AL481" s="13" t="n">
        <v>721900</v>
      </c>
      <c r="AM481" s="14" t="n">
        <v>0</v>
      </c>
      <c r="AN481" s="13" t="n">
        <v>859061</v>
      </c>
      <c r="AO481" s="13" t="n">
        <v>137161</v>
      </c>
      <c r="AR481" s="0" t="s">
        <v>2148</v>
      </c>
      <c r="AS481" s="0" t="n">
        <v>2042754</v>
      </c>
      <c r="AX481" s="0" t="s">
        <v>1085</v>
      </c>
      <c r="AZ481" s="0" t="s">
        <v>89</v>
      </c>
      <c r="BA481" s="0" t="s">
        <v>89</v>
      </c>
      <c r="BB481" s="0" t="s">
        <v>90</v>
      </c>
      <c r="BC481" s="0" t="n">
        <v>0</v>
      </c>
      <c r="BD481" s="15" t="s">
        <v>2149</v>
      </c>
      <c r="BE481" s="37" t="s">
        <v>1091</v>
      </c>
    </row>
    <row r="482" customFormat="false" ht="16.4" hidden="false" customHeight="false" outlineLevel="0" collapsed="false">
      <c r="A482" s="36" t="n">
        <f aca="false">IF(B482=0,"",MAX($A$3:A481)+1)</f>
        <v>379</v>
      </c>
      <c r="B482" s="36" t="n">
        <f aca="false">IF(OR(M482="FLETE",M482="FLETE ENVIO GARANTIA",M482="FLETE RECOLECCION GARANTIA",M482="COMPENSACION"),0,1)</f>
        <v>1</v>
      </c>
      <c r="D482" s="10" t="s">
        <v>2147</v>
      </c>
      <c r="J482" s="0" t="s">
        <v>1085</v>
      </c>
      <c r="K482" s="0" t="s">
        <v>479</v>
      </c>
      <c r="L482" s="0" t="s">
        <v>2142</v>
      </c>
      <c r="M482" s="0" t="s">
        <v>2143</v>
      </c>
      <c r="N482" s="0" t="n">
        <v>2</v>
      </c>
      <c r="P482" s="0" t="s">
        <v>217</v>
      </c>
      <c r="Q482" s="0" t="s">
        <v>482</v>
      </c>
      <c r="R482" s="0" t="s">
        <v>656</v>
      </c>
      <c r="S482" s="0" t="s">
        <v>454</v>
      </c>
      <c r="T482" s="0" t="s">
        <v>513</v>
      </c>
      <c r="U482" s="0" t="s">
        <v>199</v>
      </c>
      <c r="V482" s="0" t="s">
        <v>1085</v>
      </c>
      <c r="W482" s="12" t="n">
        <v>0</v>
      </c>
      <c r="Y482" s="12" t="s">
        <v>143</v>
      </c>
      <c r="AG482" s="0" t="s">
        <v>10</v>
      </c>
      <c r="AL482" s="13" t="n">
        <v>400900</v>
      </c>
      <c r="AM482" s="14" t="n">
        <v>0</v>
      </c>
      <c r="AN482" s="13" t="n">
        <v>954142</v>
      </c>
      <c r="AO482" s="13" t="n">
        <v>152342</v>
      </c>
      <c r="AR482" s="0" t="s">
        <v>2148</v>
      </c>
      <c r="AZ482" s="0" t="s">
        <v>89</v>
      </c>
      <c r="BA482" s="0" t="s">
        <v>89</v>
      </c>
      <c r="BB482" s="0" t="s">
        <v>90</v>
      </c>
      <c r="BC482" s="0" t="n">
        <v>0</v>
      </c>
      <c r="BD482" s="15" t="s">
        <v>2149</v>
      </c>
      <c r="BE482" s="37" t="s">
        <v>1091</v>
      </c>
    </row>
    <row r="483" customFormat="false" ht="16.4" hidden="false" customHeight="false" outlineLevel="0" collapsed="false">
      <c r="A483" s="36" t="n">
        <f aca="false">IF(B483=0,"",MAX($A$3:A482)+1)</f>
        <v>380</v>
      </c>
      <c r="B483" s="36" t="n">
        <f aca="false">IF(OR(M483="FLETE",M483="FLETE ENVIO GARANTIA",M483="FLETE RECOLECCION GARANTIA",M483="COMPENSACION"),0,1)</f>
        <v>1</v>
      </c>
      <c r="D483" s="10" t="s">
        <v>2147</v>
      </c>
      <c r="J483" s="0" t="s">
        <v>1085</v>
      </c>
      <c r="K483" s="0" t="s">
        <v>529</v>
      </c>
      <c r="L483" s="0" t="s">
        <v>2144</v>
      </c>
      <c r="M483" s="0" t="s">
        <v>2145</v>
      </c>
      <c r="N483" s="0" t="n">
        <v>1</v>
      </c>
      <c r="P483" s="0" t="s">
        <v>217</v>
      </c>
      <c r="Q483" s="0" t="s">
        <v>541</v>
      </c>
      <c r="R483" s="0" t="s">
        <v>656</v>
      </c>
      <c r="T483" s="0" t="s">
        <v>199</v>
      </c>
      <c r="U483" s="0" t="s">
        <v>456</v>
      </c>
      <c r="V483" s="0" t="s">
        <v>1085</v>
      </c>
      <c r="W483" s="12" t="n">
        <v>0</v>
      </c>
      <c r="Y483" s="12" t="s">
        <v>143</v>
      </c>
      <c r="AG483" s="0" t="s">
        <v>10</v>
      </c>
      <c r="AL483" s="13" t="n">
        <v>192900</v>
      </c>
      <c r="AM483" s="14" t="n">
        <v>0</v>
      </c>
      <c r="AN483" s="13" t="n">
        <v>229551</v>
      </c>
      <c r="AO483" s="13" t="n">
        <v>36651</v>
      </c>
      <c r="AR483" s="0" t="s">
        <v>2148</v>
      </c>
      <c r="AZ483" s="0" t="s">
        <v>89</v>
      </c>
      <c r="BA483" s="0" t="s">
        <v>89</v>
      </c>
      <c r="BB483" s="0" t="s">
        <v>90</v>
      </c>
      <c r="BC483" s="0" t="n">
        <v>0</v>
      </c>
      <c r="BD483" s="15" t="s">
        <v>2149</v>
      </c>
      <c r="BE483" s="37" t="s">
        <v>1091</v>
      </c>
    </row>
    <row r="484" customFormat="false" ht="16.4" hidden="false" customHeight="false" outlineLevel="0" collapsed="false">
      <c r="A484" s="36" t="n">
        <f aca="false">IF(B484=0,"",MAX($A$3:A483)+1)</f>
        <v>381</v>
      </c>
      <c r="B484" s="36" t="n">
        <f aca="false">IF(OR(M484="FLETE",M484="FLETE ENVIO GARANTIA",M484="FLETE RECOLECCION GARANTIA",M484="COMPENSACION"),0,1)</f>
        <v>1</v>
      </c>
      <c r="C484" s="0" t="s">
        <v>2150</v>
      </c>
      <c r="D484" s="10" t="s">
        <v>2151</v>
      </c>
      <c r="E484" s="11" t="n">
        <v>45688</v>
      </c>
      <c r="F484" s="11" t="n">
        <v>45717</v>
      </c>
      <c r="G484" s="11" t="n">
        <v>45719</v>
      </c>
      <c r="I484" s="11" t="n">
        <v>45719</v>
      </c>
      <c r="J484" s="0" t="s">
        <v>1085</v>
      </c>
      <c r="K484" s="0" t="s">
        <v>214</v>
      </c>
      <c r="L484" s="0" t="s">
        <v>2054</v>
      </c>
      <c r="M484" s="0" t="s">
        <v>2055</v>
      </c>
      <c r="N484" s="0" t="n">
        <v>1</v>
      </c>
      <c r="P484" s="0" t="s">
        <v>217</v>
      </c>
      <c r="Q484" s="0" t="s">
        <v>218</v>
      </c>
      <c r="R484" s="0" t="s">
        <v>656</v>
      </c>
      <c r="S484" s="0" t="s">
        <v>454</v>
      </c>
      <c r="T484" s="0" t="s">
        <v>513</v>
      </c>
      <c r="U484" s="0" t="s">
        <v>199</v>
      </c>
      <c r="V484" s="0" t="s">
        <v>1085</v>
      </c>
      <c r="W484" s="12" t="n">
        <v>0</v>
      </c>
      <c r="Y484" s="12" t="s">
        <v>143</v>
      </c>
      <c r="AA484" s="12" t="s">
        <v>2138</v>
      </c>
      <c r="AF484" s="0" t="s">
        <v>2139</v>
      </c>
      <c r="AG484" s="0" t="s">
        <v>10</v>
      </c>
      <c r="AK484" s="0" t="s">
        <v>85</v>
      </c>
      <c r="AL484" s="13" t="n">
        <v>721900</v>
      </c>
      <c r="AM484" s="14" t="n">
        <v>0</v>
      </c>
      <c r="AN484" s="13" t="n">
        <v>859061</v>
      </c>
      <c r="AO484" s="13" t="n">
        <v>137161</v>
      </c>
      <c r="AR484" s="0" t="s">
        <v>2152</v>
      </c>
      <c r="AS484" s="0" t="n">
        <v>2042754</v>
      </c>
      <c r="AX484" s="0" t="s">
        <v>1085</v>
      </c>
      <c r="AZ484" s="0" t="s">
        <v>89</v>
      </c>
      <c r="BA484" s="0" t="s">
        <v>89</v>
      </c>
      <c r="BB484" s="0" t="s">
        <v>90</v>
      </c>
      <c r="BC484" s="0" t="n">
        <v>0</v>
      </c>
      <c r="BD484" s="15" t="s">
        <v>2153</v>
      </c>
      <c r="BE484" s="37" t="s">
        <v>1091</v>
      </c>
    </row>
    <row r="485" customFormat="false" ht="16.4" hidden="false" customHeight="false" outlineLevel="0" collapsed="false">
      <c r="A485" s="36" t="n">
        <f aca="false">IF(B485=0,"",MAX($A$3:A484)+1)</f>
        <v>382</v>
      </c>
      <c r="B485" s="36" t="n">
        <f aca="false">IF(OR(M485="FLETE",M485="FLETE ENVIO GARANTIA",M485="FLETE RECOLECCION GARANTIA",M485="COMPENSACION"),0,1)</f>
        <v>1</v>
      </c>
      <c r="D485" s="10" t="s">
        <v>2151</v>
      </c>
      <c r="J485" s="0" t="s">
        <v>1085</v>
      </c>
      <c r="K485" s="0" t="s">
        <v>479</v>
      </c>
      <c r="L485" s="0" t="s">
        <v>2142</v>
      </c>
      <c r="M485" s="0" t="s">
        <v>2143</v>
      </c>
      <c r="N485" s="0" t="n">
        <v>2</v>
      </c>
      <c r="P485" s="0" t="s">
        <v>217</v>
      </c>
      <c r="Q485" s="0" t="s">
        <v>482</v>
      </c>
      <c r="R485" s="0" t="s">
        <v>656</v>
      </c>
      <c r="S485" s="0" t="s">
        <v>454</v>
      </c>
      <c r="T485" s="0" t="s">
        <v>513</v>
      </c>
      <c r="U485" s="0" t="s">
        <v>199</v>
      </c>
      <c r="V485" s="0" t="s">
        <v>1085</v>
      </c>
      <c r="W485" s="12" t="n">
        <v>0</v>
      </c>
      <c r="Y485" s="12" t="s">
        <v>143</v>
      </c>
      <c r="AG485" s="0" t="s">
        <v>10</v>
      </c>
      <c r="AL485" s="13" t="n">
        <v>400900</v>
      </c>
      <c r="AM485" s="14" t="n">
        <v>0</v>
      </c>
      <c r="AN485" s="13" t="n">
        <v>954142</v>
      </c>
      <c r="AO485" s="13" t="n">
        <v>152342</v>
      </c>
      <c r="AR485" s="0" t="s">
        <v>2152</v>
      </c>
      <c r="AZ485" s="0" t="s">
        <v>89</v>
      </c>
      <c r="BA485" s="0" t="s">
        <v>89</v>
      </c>
      <c r="BB485" s="0" t="s">
        <v>90</v>
      </c>
      <c r="BC485" s="0" t="n">
        <v>0</v>
      </c>
      <c r="BD485" s="15" t="s">
        <v>2153</v>
      </c>
      <c r="BE485" s="37" t="s">
        <v>1091</v>
      </c>
    </row>
    <row r="486" customFormat="false" ht="16.4" hidden="false" customHeight="false" outlineLevel="0" collapsed="false">
      <c r="A486" s="36" t="n">
        <f aca="false">IF(B486=0,"",MAX($A$3:A485)+1)</f>
        <v>383</v>
      </c>
      <c r="B486" s="36" t="n">
        <f aca="false">IF(OR(M486="FLETE",M486="FLETE ENVIO GARANTIA",M486="FLETE RECOLECCION GARANTIA",M486="COMPENSACION"),0,1)</f>
        <v>1</v>
      </c>
      <c r="D486" s="10" t="s">
        <v>2151</v>
      </c>
      <c r="J486" s="0" t="s">
        <v>1085</v>
      </c>
      <c r="K486" s="0" t="s">
        <v>529</v>
      </c>
      <c r="L486" s="0" t="s">
        <v>2144</v>
      </c>
      <c r="M486" s="0" t="s">
        <v>2145</v>
      </c>
      <c r="N486" s="0" t="n">
        <v>1</v>
      </c>
      <c r="P486" s="0" t="s">
        <v>217</v>
      </c>
      <c r="Q486" s="0" t="s">
        <v>541</v>
      </c>
      <c r="R486" s="0" t="s">
        <v>656</v>
      </c>
      <c r="T486" s="0" t="s">
        <v>199</v>
      </c>
      <c r="U486" s="0" t="s">
        <v>456</v>
      </c>
      <c r="V486" s="0" t="s">
        <v>1085</v>
      </c>
      <c r="W486" s="12" t="n">
        <v>0</v>
      </c>
      <c r="Y486" s="12" t="s">
        <v>143</v>
      </c>
      <c r="AG486" s="0" t="s">
        <v>10</v>
      </c>
      <c r="AL486" s="13" t="n">
        <v>192900</v>
      </c>
      <c r="AM486" s="14" t="n">
        <v>0</v>
      </c>
      <c r="AN486" s="13" t="n">
        <v>229551</v>
      </c>
      <c r="AO486" s="13" t="n">
        <v>36651</v>
      </c>
      <c r="AR486" s="0" t="s">
        <v>2152</v>
      </c>
      <c r="AZ486" s="0" t="s">
        <v>89</v>
      </c>
      <c r="BA486" s="0" t="s">
        <v>89</v>
      </c>
      <c r="BB486" s="0" t="s">
        <v>90</v>
      </c>
      <c r="BC486" s="0" t="n">
        <v>0</v>
      </c>
      <c r="BD486" s="15" t="s">
        <v>2153</v>
      </c>
      <c r="BE486" s="37" t="s">
        <v>1091</v>
      </c>
    </row>
    <row r="487" customFormat="false" ht="16.4" hidden="false" customHeight="false" outlineLevel="0" collapsed="false">
      <c r="A487" s="36" t="n">
        <f aca="false">IF(B487=0,"",MAX($A$3:A486)+1)</f>
        <v>384</v>
      </c>
      <c r="B487" s="36" t="n">
        <f aca="false">IF(OR(M487="FLETE",M487="FLETE ENVIO GARANTIA",M487="FLETE RECOLECCION GARANTIA",M487="COMPENSACION"),0,1)</f>
        <v>1</v>
      </c>
      <c r="C487" s="0" t="s">
        <v>2154</v>
      </c>
      <c r="D487" s="10" t="s">
        <v>2155</v>
      </c>
      <c r="E487" s="11" t="n">
        <v>45688</v>
      </c>
      <c r="F487" s="11" t="n">
        <v>45717</v>
      </c>
      <c r="G487" s="11" t="n">
        <v>45719</v>
      </c>
      <c r="I487" s="11" t="n">
        <v>45719</v>
      </c>
      <c r="J487" s="0" t="s">
        <v>1085</v>
      </c>
      <c r="K487" s="0" t="s">
        <v>214</v>
      </c>
      <c r="L487" s="0" t="s">
        <v>2156</v>
      </c>
      <c r="M487" s="0" t="s">
        <v>2157</v>
      </c>
      <c r="N487" s="0" t="n">
        <v>1</v>
      </c>
      <c r="P487" s="0" t="s">
        <v>217</v>
      </c>
      <c r="Q487" s="0" t="s">
        <v>218</v>
      </c>
      <c r="R487" s="0" t="s">
        <v>855</v>
      </c>
      <c r="S487" s="0" t="s">
        <v>454</v>
      </c>
      <c r="T487" s="0" t="s">
        <v>449</v>
      </c>
      <c r="U487" s="0" t="s">
        <v>199</v>
      </c>
      <c r="V487" s="0" t="s">
        <v>1085</v>
      </c>
      <c r="W487" s="12" t="n">
        <v>0</v>
      </c>
      <c r="Y487" s="12" t="s">
        <v>143</v>
      </c>
      <c r="AA487" s="12" t="s">
        <v>2158</v>
      </c>
      <c r="AF487" s="0" t="s">
        <v>2159</v>
      </c>
      <c r="AG487" s="0" t="s">
        <v>10</v>
      </c>
      <c r="AK487" s="0" t="s">
        <v>85</v>
      </c>
      <c r="AL487" s="13" t="n">
        <v>1042900</v>
      </c>
      <c r="AM487" s="14" t="n">
        <v>0</v>
      </c>
      <c r="AN487" s="13" t="n">
        <v>1241051</v>
      </c>
      <c r="AO487" s="13" t="n">
        <v>198151</v>
      </c>
      <c r="AR487" s="0" t="s">
        <v>2160</v>
      </c>
      <c r="AS487" s="0" t="n">
        <v>2283134</v>
      </c>
      <c r="AX487" s="0" t="s">
        <v>1085</v>
      </c>
      <c r="AZ487" s="0" t="s">
        <v>89</v>
      </c>
      <c r="BA487" s="0" t="s">
        <v>89</v>
      </c>
      <c r="BB487" s="0" t="s">
        <v>90</v>
      </c>
      <c r="BC487" s="0" t="n">
        <v>0</v>
      </c>
      <c r="BD487" s="15" t="s">
        <v>2161</v>
      </c>
      <c r="BE487" s="37" t="s">
        <v>1091</v>
      </c>
    </row>
    <row r="488" customFormat="false" ht="16.4" hidden="false" customHeight="false" outlineLevel="0" collapsed="false">
      <c r="A488" s="36" t="n">
        <f aca="false">IF(B488=0,"",MAX($A$3:A487)+1)</f>
        <v>385</v>
      </c>
      <c r="B488" s="36" t="n">
        <f aca="false">IF(OR(M488="FLETE",M488="FLETE ENVIO GARANTIA",M488="FLETE RECOLECCION GARANTIA",M488="COMPENSACION"),0,1)</f>
        <v>1</v>
      </c>
      <c r="D488" s="10" t="s">
        <v>2155</v>
      </c>
      <c r="J488" s="0" t="s">
        <v>1085</v>
      </c>
      <c r="K488" s="0" t="s">
        <v>479</v>
      </c>
      <c r="L488" s="0" t="s">
        <v>2162</v>
      </c>
      <c r="M488" s="0" t="s">
        <v>2163</v>
      </c>
      <c r="N488" s="0" t="n">
        <v>2</v>
      </c>
      <c r="P488" s="0" t="s">
        <v>217</v>
      </c>
      <c r="Q488" s="0" t="s">
        <v>482</v>
      </c>
      <c r="R488" s="0" t="s">
        <v>855</v>
      </c>
      <c r="S488" s="0" t="s">
        <v>454</v>
      </c>
      <c r="T488" s="0" t="s">
        <v>449</v>
      </c>
      <c r="U488" s="0" t="s">
        <v>199</v>
      </c>
      <c r="V488" s="0" t="s">
        <v>1085</v>
      </c>
      <c r="W488" s="12" t="n">
        <v>0</v>
      </c>
      <c r="Y488" s="12" t="s">
        <v>143</v>
      </c>
      <c r="AG488" s="0" t="s">
        <v>10</v>
      </c>
      <c r="AL488" s="13" t="n">
        <v>364900</v>
      </c>
      <c r="AM488" s="14" t="n">
        <v>0</v>
      </c>
      <c r="AN488" s="13" t="n">
        <v>868462</v>
      </c>
      <c r="AO488" s="13" t="n">
        <v>138662</v>
      </c>
      <c r="AR488" s="0" t="s">
        <v>2160</v>
      </c>
      <c r="AZ488" s="0" t="s">
        <v>89</v>
      </c>
      <c r="BA488" s="0" t="s">
        <v>89</v>
      </c>
      <c r="BB488" s="0" t="s">
        <v>90</v>
      </c>
      <c r="BC488" s="0" t="n">
        <v>0</v>
      </c>
      <c r="BD488" s="15" t="s">
        <v>2161</v>
      </c>
      <c r="BE488" s="37" t="s">
        <v>1091</v>
      </c>
    </row>
    <row r="489" customFormat="false" ht="16.4" hidden="false" customHeight="false" outlineLevel="0" collapsed="false">
      <c r="A489" s="36" t="n">
        <f aca="false">IF(B489=0,"",MAX($A$3:A488)+1)</f>
        <v>386</v>
      </c>
      <c r="B489" s="36" t="n">
        <f aca="false">IF(OR(M489="FLETE",M489="FLETE ENVIO GARANTIA",M489="FLETE RECOLECCION GARANTIA",M489="COMPENSACION"),0,1)</f>
        <v>1</v>
      </c>
      <c r="D489" s="10" t="s">
        <v>2155</v>
      </c>
      <c r="J489" s="0" t="s">
        <v>1085</v>
      </c>
      <c r="K489" s="0" t="s">
        <v>529</v>
      </c>
      <c r="L489" s="0" t="s">
        <v>866</v>
      </c>
      <c r="M489" s="0" t="s">
        <v>867</v>
      </c>
      <c r="N489" s="0" t="n">
        <v>1</v>
      </c>
      <c r="P489" s="0" t="s">
        <v>217</v>
      </c>
      <c r="Q489" s="0" t="s">
        <v>541</v>
      </c>
      <c r="R489" s="0" t="s">
        <v>868</v>
      </c>
      <c r="T489" s="0" t="s">
        <v>198</v>
      </c>
      <c r="U489" s="0" t="s">
        <v>199</v>
      </c>
      <c r="V489" s="0" t="s">
        <v>1085</v>
      </c>
      <c r="W489" s="12" t="n">
        <v>0</v>
      </c>
      <c r="Y489" s="0" t="s">
        <v>143</v>
      </c>
      <c r="AG489" s="0" t="s">
        <v>10</v>
      </c>
      <c r="AL489" s="13" t="n">
        <v>145900</v>
      </c>
      <c r="AM489" s="14" t="n">
        <v>0</v>
      </c>
      <c r="AN489" s="13" t="n">
        <v>173621</v>
      </c>
      <c r="AO489" s="13" t="n">
        <v>27721</v>
      </c>
      <c r="AR489" s="0" t="s">
        <v>2160</v>
      </c>
      <c r="AZ489" s="0" t="s">
        <v>89</v>
      </c>
      <c r="BA489" s="0" t="s">
        <v>89</v>
      </c>
      <c r="BB489" s="0" t="s">
        <v>90</v>
      </c>
      <c r="BC489" s="0" t="n">
        <v>0</v>
      </c>
      <c r="BD489" s="15" t="s">
        <v>2161</v>
      </c>
      <c r="BE489" s="37" t="s">
        <v>1091</v>
      </c>
    </row>
    <row r="490" customFormat="false" ht="16.4" hidden="false" customHeight="false" outlineLevel="0" collapsed="false">
      <c r="A490" s="36" t="n">
        <f aca="false">IF(B490=0,"",MAX($A$3:A489)+1)</f>
        <v>387</v>
      </c>
      <c r="B490" s="36" t="n">
        <f aca="false">IF(OR(M490="FLETE",M490="FLETE ENVIO GARANTIA",M490="FLETE RECOLECCION GARANTIA",M490="COMPENSACION"),0,1)</f>
        <v>1</v>
      </c>
      <c r="C490" s="0" t="s">
        <v>2164</v>
      </c>
      <c r="D490" s="10" t="s">
        <v>2165</v>
      </c>
      <c r="E490" s="11" t="n">
        <v>45688</v>
      </c>
      <c r="F490" s="11" t="n">
        <v>45717</v>
      </c>
      <c r="G490" s="11" t="n">
        <v>45719</v>
      </c>
      <c r="I490" s="11" t="n">
        <v>45719</v>
      </c>
      <c r="J490" s="0" t="s">
        <v>1085</v>
      </c>
      <c r="K490" s="0" t="s">
        <v>214</v>
      </c>
      <c r="L490" s="0" t="s">
        <v>2156</v>
      </c>
      <c r="M490" s="0" t="s">
        <v>2157</v>
      </c>
      <c r="N490" s="0" t="n">
        <v>1</v>
      </c>
      <c r="P490" s="0" t="s">
        <v>217</v>
      </c>
      <c r="Q490" s="0" t="s">
        <v>218</v>
      </c>
      <c r="R490" s="0" t="s">
        <v>855</v>
      </c>
      <c r="S490" s="0" t="s">
        <v>454</v>
      </c>
      <c r="T490" s="0" t="s">
        <v>449</v>
      </c>
      <c r="U490" s="0" t="s">
        <v>199</v>
      </c>
      <c r="V490" s="0" t="s">
        <v>1085</v>
      </c>
      <c r="W490" s="12" t="n">
        <v>0</v>
      </c>
      <c r="Y490" s="12" t="s">
        <v>143</v>
      </c>
      <c r="AA490" s="12" t="s">
        <v>2158</v>
      </c>
      <c r="AF490" s="0" t="s">
        <v>2159</v>
      </c>
      <c r="AG490" s="0" t="s">
        <v>10</v>
      </c>
      <c r="AK490" s="0" t="s">
        <v>85</v>
      </c>
      <c r="AL490" s="13" t="n">
        <v>1042900</v>
      </c>
      <c r="AM490" s="14" t="n">
        <v>0</v>
      </c>
      <c r="AN490" s="13" t="n">
        <v>1241051</v>
      </c>
      <c r="AO490" s="13" t="n">
        <v>198151</v>
      </c>
      <c r="AR490" s="0" t="s">
        <v>2166</v>
      </c>
      <c r="AS490" s="0" t="n">
        <v>2283134</v>
      </c>
      <c r="AX490" s="0" t="s">
        <v>1085</v>
      </c>
      <c r="AZ490" s="0" t="s">
        <v>89</v>
      </c>
      <c r="BA490" s="0" t="s">
        <v>89</v>
      </c>
      <c r="BB490" s="0" t="s">
        <v>90</v>
      </c>
      <c r="BC490" s="0" t="n">
        <v>0</v>
      </c>
      <c r="BD490" s="15" t="s">
        <v>2167</v>
      </c>
      <c r="BE490" s="37" t="s">
        <v>1091</v>
      </c>
    </row>
    <row r="491" customFormat="false" ht="16.4" hidden="false" customHeight="false" outlineLevel="0" collapsed="false">
      <c r="A491" s="36" t="n">
        <f aca="false">IF(B491=0,"",MAX($A$3:A490)+1)</f>
        <v>388</v>
      </c>
      <c r="B491" s="36" t="n">
        <f aca="false">IF(OR(M491="FLETE",M491="FLETE ENVIO GARANTIA",M491="FLETE RECOLECCION GARANTIA",M491="COMPENSACION"),0,1)</f>
        <v>1</v>
      </c>
      <c r="D491" s="10" t="s">
        <v>2165</v>
      </c>
      <c r="J491" s="0" t="s">
        <v>1085</v>
      </c>
      <c r="K491" s="0" t="s">
        <v>479</v>
      </c>
      <c r="L491" s="0" t="s">
        <v>2162</v>
      </c>
      <c r="M491" s="0" t="s">
        <v>2163</v>
      </c>
      <c r="N491" s="0" t="n">
        <v>2</v>
      </c>
      <c r="P491" s="0" t="s">
        <v>217</v>
      </c>
      <c r="Q491" s="0" t="s">
        <v>482</v>
      </c>
      <c r="R491" s="0" t="s">
        <v>855</v>
      </c>
      <c r="S491" s="0" t="s">
        <v>454</v>
      </c>
      <c r="T491" s="0" t="s">
        <v>449</v>
      </c>
      <c r="U491" s="0" t="s">
        <v>199</v>
      </c>
      <c r="V491" s="0" t="s">
        <v>1085</v>
      </c>
      <c r="W491" s="12" t="n">
        <v>0</v>
      </c>
      <c r="Y491" s="12" t="s">
        <v>143</v>
      </c>
      <c r="AG491" s="0" t="s">
        <v>10</v>
      </c>
      <c r="AL491" s="13" t="n">
        <v>364900</v>
      </c>
      <c r="AM491" s="14" t="n">
        <v>0</v>
      </c>
      <c r="AN491" s="13" t="n">
        <v>868462</v>
      </c>
      <c r="AO491" s="13" t="n">
        <v>138662</v>
      </c>
      <c r="AR491" s="0" t="s">
        <v>2166</v>
      </c>
      <c r="AZ491" s="0" t="s">
        <v>89</v>
      </c>
      <c r="BA491" s="0" t="s">
        <v>89</v>
      </c>
      <c r="BB491" s="0" t="s">
        <v>90</v>
      </c>
      <c r="BC491" s="0" t="n">
        <v>0</v>
      </c>
      <c r="BD491" s="15" t="s">
        <v>2167</v>
      </c>
      <c r="BE491" s="37" t="s">
        <v>1091</v>
      </c>
    </row>
    <row r="492" customFormat="false" ht="16.4" hidden="false" customHeight="false" outlineLevel="0" collapsed="false">
      <c r="A492" s="36" t="n">
        <f aca="false">IF(B492=0,"",MAX($A$3:A491)+1)</f>
        <v>389</v>
      </c>
      <c r="B492" s="36" t="n">
        <f aca="false">IF(OR(M492="FLETE",M492="FLETE ENVIO GARANTIA",M492="FLETE RECOLECCION GARANTIA",M492="COMPENSACION"),0,1)</f>
        <v>1</v>
      </c>
      <c r="D492" s="10" t="s">
        <v>2165</v>
      </c>
      <c r="J492" s="0" t="s">
        <v>1085</v>
      </c>
      <c r="K492" s="0" t="s">
        <v>529</v>
      </c>
      <c r="L492" s="0" t="s">
        <v>866</v>
      </c>
      <c r="M492" s="0" t="s">
        <v>867</v>
      </c>
      <c r="N492" s="0" t="n">
        <v>1</v>
      </c>
      <c r="P492" s="0" t="s">
        <v>217</v>
      </c>
      <c r="Q492" s="0" t="s">
        <v>541</v>
      </c>
      <c r="R492" s="0" t="s">
        <v>868</v>
      </c>
      <c r="T492" s="0" t="s">
        <v>198</v>
      </c>
      <c r="U492" s="0" t="s">
        <v>199</v>
      </c>
      <c r="V492" s="0" t="s">
        <v>1085</v>
      </c>
      <c r="W492" s="12" t="n">
        <v>0</v>
      </c>
      <c r="Y492" s="0" t="s">
        <v>143</v>
      </c>
      <c r="AG492" s="0" t="s">
        <v>10</v>
      </c>
      <c r="AL492" s="13" t="n">
        <v>145900</v>
      </c>
      <c r="AM492" s="14" t="n">
        <v>0</v>
      </c>
      <c r="AN492" s="13" t="n">
        <v>173621</v>
      </c>
      <c r="AO492" s="13" t="n">
        <v>27721</v>
      </c>
      <c r="AR492" s="0" t="s">
        <v>2166</v>
      </c>
      <c r="AZ492" s="0" t="s">
        <v>89</v>
      </c>
      <c r="BA492" s="0" t="s">
        <v>89</v>
      </c>
      <c r="BB492" s="0" t="s">
        <v>90</v>
      </c>
      <c r="BC492" s="0" t="n">
        <v>0</v>
      </c>
      <c r="BD492" s="15" t="s">
        <v>2167</v>
      </c>
      <c r="BE492" s="37" t="s">
        <v>1091</v>
      </c>
    </row>
    <row r="493" customFormat="false" ht="16.4" hidden="false" customHeight="false" outlineLevel="0" collapsed="false">
      <c r="A493" s="36" t="n">
        <f aca="false">IF(B493=0,"",MAX($A$3:A492)+1)</f>
        <v>390</v>
      </c>
      <c r="B493" s="36" t="n">
        <f aca="false">IF(OR(M493="FLETE",M493="FLETE ENVIO GARANTIA",M493="FLETE RECOLECCION GARANTIA",M493="COMPENSACION"),0,1)</f>
        <v>1</v>
      </c>
      <c r="C493" s="0" t="s">
        <v>2168</v>
      </c>
      <c r="D493" s="10" t="s">
        <v>2169</v>
      </c>
      <c r="E493" s="11" t="n">
        <v>45688</v>
      </c>
      <c r="F493" s="11" t="n">
        <v>45717</v>
      </c>
      <c r="G493" s="11" t="n">
        <v>45719</v>
      </c>
      <c r="I493" s="11" t="n">
        <v>45719</v>
      </c>
      <c r="J493" s="0" t="s">
        <v>1085</v>
      </c>
      <c r="K493" s="0" t="s">
        <v>214</v>
      </c>
      <c r="L493" s="0" t="s">
        <v>2156</v>
      </c>
      <c r="M493" s="0" t="s">
        <v>2157</v>
      </c>
      <c r="N493" s="0" t="n">
        <v>1</v>
      </c>
      <c r="P493" s="0" t="s">
        <v>217</v>
      </c>
      <c r="Q493" s="0" t="s">
        <v>218</v>
      </c>
      <c r="R493" s="0" t="s">
        <v>855</v>
      </c>
      <c r="S493" s="0" t="s">
        <v>454</v>
      </c>
      <c r="T493" s="0" t="s">
        <v>449</v>
      </c>
      <c r="U493" s="0" t="s">
        <v>199</v>
      </c>
      <c r="V493" s="0" t="s">
        <v>1085</v>
      </c>
      <c r="W493" s="12" t="n">
        <v>0</v>
      </c>
      <c r="Y493" s="12" t="s">
        <v>143</v>
      </c>
      <c r="AA493" s="12" t="s">
        <v>2158</v>
      </c>
      <c r="AF493" s="0" t="s">
        <v>2159</v>
      </c>
      <c r="AG493" s="0" t="s">
        <v>10</v>
      </c>
      <c r="AK493" s="0" t="s">
        <v>85</v>
      </c>
      <c r="AL493" s="13" t="n">
        <v>1042900</v>
      </c>
      <c r="AM493" s="14" t="n">
        <v>0</v>
      </c>
      <c r="AN493" s="13" t="n">
        <v>1241051</v>
      </c>
      <c r="AO493" s="13" t="n">
        <v>198151</v>
      </c>
      <c r="AR493" s="0" t="s">
        <v>2170</v>
      </c>
      <c r="AS493" s="0" t="n">
        <v>2283134</v>
      </c>
      <c r="AX493" s="0" t="s">
        <v>1085</v>
      </c>
      <c r="AZ493" s="0" t="s">
        <v>89</v>
      </c>
      <c r="BA493" s="0" t="s">
        <v>89</v>
      </c>
      <c r="BB493" s="0" t="s">
        <v>90</v>
      </c>
      <c r="BC493" s="0" t="n">
        <v>0</v>
      </c>
      <c r="BD493" s="15" t="s">
        <v>2171</v>
      </c>
      <c r="BE493" s="37" t="s">
        <v>1091</v>
      </c>
    </row>
    <row r="494" customFormat="false" ht="16.4" hidden="false" customHeight="false" outlineLevel="0" collapsed="false">
      <c r="A494" s="36" t="n">
        <f aca="false">IF(B494=0,"",MAX($A$3:A493)+1)</f>
        <v>391</v>
      </c>
      <c r="B494" s="36" t="n">
        <f aca="false">IF(OR(M494="FLETE",M494="FLETE ENVIO GARANTIA",M494="FLETE RECOLECCION GARANTIA",M494="COMPENSACION"),0,1)</f>
        <v>1</v>
      </c>
      <c r="D494" s="10" t="s">
        <v>2169</v>
      </c>
      <c r="J494" s="0" t="s">
        <v>1085</v>
      </c>
      <c r="K494" s="0" t="s">
        <v>479</v>
      </c>
      <c r="L494" s="0" t="s">
        <v>2162</v>
      </c>
      <c r="M494" s="0" t="s">
        <v>2163</v>
      </c>
      <c r="N494" s="0" t="n">
        <v>2</v>
      </c>
      <c r="P494" s="0" t="s">
        <v>217</v>
      </c>
      <c r="Q494" s="0" t="s">
        <v>482</v>
      </c>
      <c r="R494" s="0" t="s">
        <v>855</v>
      </c>
      <c r="S494" s="0" t="s">
        <v>454</v>
      </c>
      <c r="T494" s="0" t="s">
        <v>449</v>
      </c>
      <c r="U494" s="0" t="s">
        <v>199</v>
      </c>
      <c r="V494" s="0" t="s">
        <v>1085</v>
      </c>
      <c r="W494" s="12" t="n">
        <v>0</v>
      </c>
      <c r="Y494" s="12" t="s">
        <v>143</v>
      </c>
      <c r="AG494" s="0" t="s">
        <v>10</v>
      </c>
      <c r="AL494" s="13" t="n">
        <v>364900</v>
      </c>
      <c r="AM494" s="14" t="n">
        <v>0</v>
      </c>
      <c r="AN494" s="13" t="n">
        <v>868462</v>
      </c>
      <c r="AO494" s="13" t="n">
        <v>138662</v>
      </c>
      <c r="AR494" s="0" t="s">
        <v>2170</v>
      </c>
      <c r="AZ494" s="0" t="s">
        <v>89</v>
      </c>
      <c r="BA494" s="0" t="s">
        <v>89</v>
      </c>
      <c r="BB494" s="0" t="s">
        <v>90</v>
      </c>
      <c r="BC494" s="0" t="n">
        <v>0</v>
      </c>
      <c r="BD494" s="15" t="s">
        <v>2171</v>
      </c>
      <c r="BE494" s="37" t="s">
        <v>1091</v>
      </c>
    </row>
    <row r="495" customFormat="false" ht="16.4" hidden="false" customHeight="false" outlineLevel="0" collapsed="false">
      <c r="A495" s="36" t="n">
        <f aca="false">IF(B495=0,"",MAX($A$3:A494)+1)</f>
        <v>392</v>
      </c>
      <c r="B495" s="36" t="n">
        <f aca="false">IF(OR(M495="FLETE",M495="FLETE ENVIO GARANTIA",M495="FLETE RECOLECCION GARANTIA",M495="COMPENSACION"),0,1)</f>
        <v>1</v>
      </c>
      <c r="D495" s="10" t="s">
        <v>2169</v>
      </c>
      <c r="J495" s="0" t="s">
        <v>1085</v>
      </c>
      <c r="K495" s="0" t="s">
        <v>529</v>
      </c>
      <c r="L495" s="0" t="s">
        <v>866</v>
      </c>
      <c r="M495" s="0" t="s">
        <v>867</v>
      </c>
      <c r="N495" s="0" t="n">
        <v>1</v>
      </c>
      <c r="P495" s="0" t="s">
        <v>217</v>
      </c>
      <c r="Q495" s="0" t="s">
        <v>541</v>
      </c>
      <c r="R495" s="0" t="s">
        <v>868</v>
      </c>
      <c r="T495" s="0" t="s">
        <v>198</v>
      </c>
      <c r="U495" s="0" t="s">
        <v>199</v>
      </c>
      <c r="V495" s="0" t="s">
        <v>1085</v>
      </c>
      <c r="W495" s="12" t="n">
        <v>0</v>
      </c>
      <c r="Y495" s="12" t="s">
        <v>143</v>
      </c>
      <c r="AG495" s="0" t="s">
        <v>10</v>
      </c>
      <c r="AL495" s="13" t="n">
        <v>145900</v>
      </c>
      <c r="AM495" s="14" t="n">
        <v>0</v>
      </c>
      <c r="AN495" s="13" t="n">
        <v>173621</v>
      </c>
      <c r="AO495" s="13" t="n">
        <v>27721</v>
      </c>
      <c r="AR495" s="0" t="s">
        <v>2170</v>
      </c>
      <c r="AZ495" s="0" t="s">
        <v>89</v>
      </c>
      <c r="BA495" s="0" t="s">
        <v>89</v>
      </c>
      <c r="BB495" s="0" t="s">
        <v>90</v>
      </c>
      <c r="BC495" s="0" t="n">
        <v>0</v>
      </c>
      <c r="BD495" s="15" t="s">
        <v>2171</v>
      </c>
      <c r="BE495" s="37" t="s">
        <v>1091</v>
      </c>
    </row>
    <row r="496" customFormat="false" ht="16.4" hidden="false" customHeight="false" outlineLevel="0" collapsed="false">
      <c r="A496" s="36" t="n">
        <f aca="false">IF(B496=0,"",MAX($A$3:A495)+1)</f>
        <v>393</v>
      </c>
      <c r="B496" s="36" t="n">
        <f aca="false">IF(OR(M496="FLETE",M496="FLETE ENVIO GARANTIA",M496="FLETE RECOLECCION GARANTIA",M496="COMPENSACION"),0,1)</f>
        <v>1</v>
      </c>
      <c r="C496" s="0" t="s">
        <v>2172</v>
      </c>
      <c r="D496" s="10" t="s">
        <v>2173</v>
      </c>
      <c r="E496" s="11" t="n">
        <v>45688</v>
      </c>
      <c r="F496" s="11" t="n">
        <v>45717</v>
      </c>
      <c r="G496" s="11" t="n">
        <v>45719</v>
      </c>
      <c r="I496" s="11" t="n">
        <v>45719</v>
      </c>
      <c r="J496" s="0" t="s">
        <v>1085</v>
      </c>
      <c r="K496" s="0" t="s">
        <v>214</v>
      </c>
      <c r="L496" s="0" t="s">
        <v>2174</v>
      </c>
      <c r="M496" s="0" t="s">
        <v>2175</v>
      </c>
      <c r="N496" s="0" t="n">
        <v>1</v>
      </c>
      <c r="P496" s="0" t="s">
        <v>217</v>
      </c>
      <c r="Q496" s="0" t="s">
        <v>218</v>
      </c>
      <c r="R496" s="0" t="s">
        <v>656</v>
      </c>
      <c r="S496" s="0" t="s">
        <v>454</v>
      </c>
      <c r="T496" s="0" t="s">
        <v>449</v>
      </c>
      <c r="U496" s="0" t="s">
        <v>199</v>
      </c>
      <c r="V496" s="0" t="s">
        <v>1085</v>
      </c>
      <c r="W496" s="12" t="n">
        <v>0</v>
      </c>
      <c r="Y496" s="12" t="s">
        <v>143</v>
      </c>
      <c r="AA496" s="12" t="s">
        <v>2175</v>
      </c>
      <c r="AF496" s="0" t="s">
        <v>2176</v>
      </c>
      <c r="AG496" s="0" t="s">
        <v>10</v>
      </c>
      <c r="AK496" s="0" t="s">
        <v>85</v>
      </c>
      <c r="AL496" s="13" t="n">
        <v>721900</v>
      </c>
      <c r="AM496" s="14" t="n">
        <v>0</v>
      </c>
      <c r="AN496" s="13" t="n">
        <v>859061</v>
      </c>
      <c r="AO496" s="13" t="n">
        <v>137161</v>
      </c>
      <c r="AR496" s="0" t="s">
        <v>2177</v>
      </c>
      <c r="AS496" s="0" t="n">
        <v>859061</v>
      </c>
      <c r="AX496" s="0" t="s">
        <v>1085</v>
      </c>
      <c r="AZ496" s="0" t="s">
        <v>89</v>
      </c>
      <c r="BA496" s="0" t="s">
        <v>89</v>
      </c>
      <c r="BB496" s="0" t="s">
        <v>90</v>
      </c>
      <c r="BC496" s="0" t="n">
        <v>0</v>
      </c>
      <c r="BD496" s="15" t="s">
        <v>2178</v>
      </c>
      <c r="BE496" s="37" t="s">
        <v>1091</v>
      </c>
    </row>
    <row r="497" customFormat="false" ht="16.4" hidden="false" customHeight="false" outlineLevel="0" collapsed="false">
      <c r="A497" s="36" t="n">
        <f aca="false">IF(B497=0,"",MAX($A$3:A496)+1)</f>
        <v>394</v>
      </c>
      <c r="B497" s="36" t="n">
        <f aca="false">IF(OR(M497="FLETE",M497="FLETE ENVIO GARANTIA",M497="FLETE RECOLECCION GARANTIA",M497="COMPENSACION"),0,1)</f>
        <v>1</v>
      </c>
      <c r="C497" s="0" t="s">
        <v>2179</v>
      </c>
      <c r="D497" s="10" t="s">
        <v>2180</v>
      </c>
      <c r="E497" s="11" t="n">
        <v>45688</v>
      </c>
      <c r="F497" s="11" t="n">
        <v>45717</v>
      </c>
      <c r="G497" s="11" t="n">
        <v>45719</v>
      </c>
      <c r="I497" s="11" t="n">
        <v>45719</v>
      </c>
      <c r="J497" s="0" t="s">
        <v>1085</v>
      </c>
      <c r="K497" s="0" t="s">
        <v>214</v>
      </c>
      <c r="L497" s="0" t="s">
        <v>2174</v>
      </c>
      <c r="M497" s="0" t="s">
        <v>2175</v>
      </c>
      <c r="N497" s="0" t="n">
        <v>1</v>
      </c>
      <c r="P497" s="0" t="s">
        <v>217</v>
      </c>
      <c r="Q497" s="0" t="s">
        <v>218</v>
      </c>
      <c r="R497" s="0" t="s">
        <v>656</v>
      </c>
      <c r="S497" s="0" t="s">
        <v>454</v>
      </c>
      <c r="T497" s="0" t="s">
        <v>449</v>
      </c>
      <c r="U497" s="0" t="s">
        <v>199</v>
      </c>
      <c r="V497" s="0" t="s">
        <v>1085</v>
      </c>
      <c r="W497" s="12" t="n">
        <v>0</v>
      </c>
      <c r="Y497" s="12" t="s">
        <v>143</v>
      </c>
      <c r="AA497" s="12" t="s">
        <v>2175</v>
      </c>
      <c r="AF497" s="0" t="s">
        <v>2176</v>
      </c>
      <c r="AG497" s="0" t="s">
        <v>10</v>
      </c>
      <c r="AK497" s="0" t="s">
        <v>85</v>
      </c>
      <c r="AL497" s="13" t="n">
        <v>721900</v>
      </c>
      <c r="AM497" s="14" t="n">
        <v>0</v>
      </c>
      <c r="AN497" s="13" t="n">
        <v>859061</v>
      </c>
      <c r="AO497" s="13" t="n">
        <v>137161</v>
      </c>
      <c r="AR497" s="0" t="s">
        <v>2181</v>
      </c>
      <c r="AS497" s="0" t="n">
        <v>859061</v>
      </c>
      <c r="AX497" s="0" t="s">
        <v>1085</v>
      </c>
      <c r="AZ497" s="0" t="s">
        <v>89</v>
      </c>
      <c r="BA497" s="0" t="s">
        <v>89</v>
      </c>
      <c r="BB497" s="0" t="s">
        <v>90</v>
      </c>
      <c r="BC497" s="0" t="n">
        <v>0</v>
      </c>
      <c r="BD497" s="15" t="s">
        <v>2182</v>
      </c>
      <c r="BE497" s="37" t="s">
        <v>1091</v>
      </c>
    </row>
    <row r="498" customFormat="false" ht="16.4" hidden="false" customHeight="false" outlineLevel="0" collapsed="false">
      <c r="A498" s="36" t="n">
        <f aca="false">IF(B498=0,"",MAX($A$3:A497)+1)</f>
        <v>395</v>
      </c>
      <c r="B498" s="36" t="n">
        <f aca="false">IF(OR(M498="FLETE",M498="FLETE ENVIO GARANTIA",M498="FLETE RECOLECCION GARANTIA",M498="COMPENSACION"),0,1)</f>
        <v>1</v>
      </c>
      <c r="C498" s="0" t="s">
        <v>2183</v>
      </c>
      <c r="D498" s="10" t="s">
        <v>2184</v>
      </c>
      <c r="E498" s="11" t="n">
        <v>45688</v>
      </c>
      <c r="F498" s="11" t="n">
        <v>45717</v>
      </c>
      <c r="G498" s="11" t="n">
        <v>45719</v>
      </c>
      <c r="I498" s="11" t="n">
        <v>45719</v>
      </c>
      <c r="J498" s="0" t="s">
        <v>1085</v>
      </c>
      <c r="K498" s="0" t="s">
        <v>214</v>
      </c>
      <c r="L498" s="0" t="s">
        <v>2174</v>
      </c>
      <c r="M498" s="0" t="s">
        <v>2175</v>
      </c>
      <c r="N498" s="0" t="n">
        <v>1</v>
      </c>
      <c r="P498" s="0" t="s">
        <v>217</v>
      </c>
      <c r="Q498" s="0" t="s">
        <v>218</v>
      </c>
      <c r="R498" s="0" t="s">
        <v>656</v>
      </c>
      <c r="S498" s="0" t="s">
        <v>454</v>
      </c>
      <c r="T498" s="0" t="s">
        <v>449</v>
      </c>
      <c r="U498" s="0" t="s">
        <v>199</v>
      </c>
      <c r="V498" s="0" t="s">
        <v>1085</v>
      </c>
      <c r="W498" s="12" t="n">
        <v>0</v>
      </c>
      <c r="Y498" s="12" t="s">
        <v>143</v>
      </c>
      <c r="AA498" s="12" t="s">
        <v>2175</v>
      </c>
      <c r="AF498" s="0" t="s">
        <v>2176</v>
      </c>
      <c r="AG498" s="0" t="s">
        <v>10</v>
      </c>
      <c r="AK498" s="0" t="s">
        <v>85</v>
      </c>
      <c r="AL498" s="13" t="n">
        <v>721900</v>
      </c>
      <c r="AM498" s="14" t="n">
        <v>0</v>
      </c>
      <c r="AN498" s="13" t="n">
        <v>859061</v>
      </c>
      <c r="AO498" s="13" t="n">
        <v>137161</v>
      </c>
      <c r="AR498" s="0" t="s">
        <v>2185</v>
      </c>
      <c r="AS498" s="0" t="n">
        <v>859061</v>
      </c>
      <c r="AX498" s="0" t="s">
        <v>1085</v>
      </c>
      <c r="AZ498" s="0" t="s">
        <v>89</v>
      </c>
      <c r="BA498" s="0" t="s">
        <v>89</v>
      </c>
      <c r="BB498" s="0" t="s">
        <v>90</v>
      </c>
      <c r="BC498" s="0" t="n">
        <v>0</v>
      </c>
      <c r="BD498" s="15" t="s">
        <v>2186</v>
      </c>
      <c r="BE498" s="37" t="s">
        <v>1091</v>
      </c>
    </row>
    <row r="499" customFormat="false" ht="16.4" hidden="false" customHeight="false" outlineLevel="0" collapsed="false">
      <c r="A499" s="36" t="n">
        <f aca="false">IF(B499=0,"",MAX($A$3:A498)+1)</f>
        <v>396</v>
      </c>
      <c r="B499" s="36" t="n">
        <f aca="false">IF(OR(M499="FLETE",M499="FLETE ENVIO GARANTIA",M499="FLETE RECOLECCION GARANTIA",M499="COMPENSACION"),0,1)</f>
        <v>1</v>
      </c>
      <c r="C499" s="0" t="s">
        <v>2187</v>
      </c>
      <c r="D499" s="10" t="s">
        <v>2188</v>
      </c>
      <c r="E499" s="11" t="n">
        <v>45688</v>
      </c>
      <c r="F499" s="11" t="n">
        <v>45717</v>
      </c>
      <c r="G499" s="11" t="n">
        <v>45719</v>
      </c>
      <c r="I499" s="11" t="n">
        <v>45719</v>
      </c>
      <c r="J499" s="0" t="s">
        <v>1085</v>
      </c>
      <c r="K499" s="0" t="s">
        <v>214</v>
      </c>
      <c r="L499" s="0" t="s">
        <v>2174</v>
      </c>
      <c r="M499" s="0" t="s">
        <v>2175</v>
      </c>
      <c r="N499" s="0" t="n">
        <v>1</v>
      </c>
      <c r="P499" s="0" t="s">
        <v>217</v>
      </c>
      <c r="Q499" s="0" t="s">
        <v>218</v>
      </c>
      <c r="R499" s="0" t="s">
        <v>656</v>
      </c>
      <c r="S499" s="0" t="s">
        <v>454</v>
      </c>
      <c r="T499" s="0" t="s">
        <v>449</v>
      </c>
      <c r="U499" s="0" t="s">
        <v>199</v>
      </c>
      <c r="V499" s="0" t="s">
        <v>1085</v>
      </c>
      <c r="W499" s="12" t="n">
        <v>0</v>
      </c>
      <c r="Y499" s="12" t="s">
        <v>143</v>
      </c>
      <c r="AA499" s="12" t="s">
        <v>2175</v>
      </c>
      <c r="AF499" s="0" t="s">
        <v>2176</v>
      </c>
      <c r="AG499" s="0" t="s">
        <v>10</v>
      </c>
      <c r="AK499" s="0" t="s">
        <v>85</v>
      </c>
      <c r="AL499" s="13" t="n">
        <v>721900</v>
      </c>
      <c r="AM499" s="14" t="n">
        <v>0</v>
      </c>
      <c r="AN499" s="13" t="n">
        <v>859061</v>
      </c>
      <c r="AO499" s="13" t="n">
        <v>137161</v>
      </c>
      <c r="AR499" s="0" t="s">
        <v>2189</v>
      </c>
      <c r="AS499" s="0" t="n">
        <v>859061</v>
      </c>
      <c r="AX499" s="0" t="s">
        <v>1085</v>
      </c>
      <c r="AZ499" s="0" t="s">
        <v>89</v>
      </c>
      <c r="BA499" s="0" t="s">
        <v>89</v>
      </c>
      <c r="BB499" s="0" t="s">
        <v>90</v>
      </c>
      <c r="BC499" s="0" t="n">
        <v>0</v>
      </c>
      <c r="BD499" s="15" t="s">
        <v>2190</v>
      </c>
      <c r="BE499" s="37" t="s">
        <v>1091</v>
      </c>
    </row>
    <row r="500" customFormat="false" ht="16.4" hidden="false" customHeight="false" outlineLevel="0" collapsed="false">
      <c r="A500" s="36" t="n">
        <f aca="false">IF(B500=0,"",MAX($A$3:A499)+1)</f>
        <v>397</v>
      </c>
      <c r="B500" s="36" t="n">
        <f aca="false">IF(OR(M500="FLETE",M500="FLETE ENVIO GARANTIA",M500="FLETE RECOLECCION GARANTIA",M500="COMPENSACION"),0,1)</f>
        <v>1</v>
      </c>
      <c r="C500" s="0" t="s">
        <v>2191</v>
      </c>
      <c r="D500" s="10" t="s">
        <v>2192</v>
      </c>
      <c r="E500" s="11" t="n">
        <v>45688</v>
      </c>
      <c r="F500" s="11" t="n">
        <v>45717</v>
      </c>
      <c r="G500" s="11" t="n">
        <v>45719</v>
      </c>
      <c r="I500" s="11" t="n">
        <v>45719</v>
      </c>
      <c r="J500" s="0" t="s">
        <v>1085</v>
      </c>
      <c r="K500" s="0" t="s">
        <v>214</v>
      </c>
      <c r="L500" s="0" t="s">
        <v>2174</v>
      </c>
      <c r="M500" s="0" t="s">
        <v>2175</v>
      </c>
      <c r="N500" s="0" t="n">
        <v>1</v>
      </c>
      <c r="P500" s="0" t="s">
        <v>217</v>
      </c>
      <c r="Q500" s="0" t="s">
        <v>218</v>
      </c>
      <c r="R500" s="0" t="s">
        <v>656</v>
      </c>
      <c r="S500" s="0" t="s">
        <v>454</v>
      </c>
      <c r="T500" s="0" t="s">
        <v>449</v>
      </c>
      <c r="U500" s="0" t="s">
        <v>199</v>
      </c>
      <c r="V500" s="0" t="s">
        <v>1085</v>
      </c>
      <c r="W500" s="12" t="n">
        <v>0</v>
      </c>
      <c r="Y500" s="12" t="s">
        <v>143</v>
      </c>
      <c r="AA500" s="12" t="s">
        <v>2175</v>
      </c>
      <c r="AF500" s="0" t="s">
        <v>2176</v>
      </c>
      <c r="AG500" s="0" t="s">
        <v>10</v>
      </c>
      <c r="AK500" s="0" t="s">
        <v>85</v>
      </c>
      <c r="AL500" s="13" t="n">
        <v>721900</v>
      </c>
      <c r="AM500" s="14" t="n">
        <v>0</v>
      </c>
      <c r="AN500" s="13" t="n">
        <v>859061</v>
      </c>
      <c r="AO500" s="13" t="n">
        <v>137161</v>
      </c>
      <c r="AR500" s="0" t="s">
        <v>2193</v>
      </c>
      <c r="AS500" s="0" t="n">
        <v>859061</v>
      </c>
      <c r="AX500" s="0" t="s">
        <v>1085</v>
      </c>
      <c r="AZ500" s="0" t="s">
        <v>89</v>
      </c>
      <c r="BA500" s="0" t="s">
        <v>89</v>
      </c>
      <c r="BB500" s="0" t="s">
        <v>90</v>
      </c>
      <c r="BC500" s="0" t="n">
        <v>0</v>
      </c>
      <c r="BD500" s="15" t="s">
        <v>2194</v>
      </c>
      <c r="BE500" s="37" t="s">
        <v>1091</v>
      </c>
    </row>
    <row r="501" customFormat="false" ht="16.4" hidden="false" customHeight="false" outlineLevel="0" collapsed="false">
      <c r="A501" s="36" t="n">
        <f aca="false">IF(B501=0,"",MAX($A$3:A500)+1)</f>
        <v>398</v>
      </c>
      <c r="B501" s="36" t="n">
        <f aca="false">IF(OR(M501="FLETE",M501="FLETE ENVIO GARANTIA",M501="FLETE RECOLECCION GARANTIA",M501="COMPENSACION"),0,1)</f>
        <v>1</v>
      </c>
      <c r="C501" s="0" t="s">
        <v>2195</v>
      </c>
      <c r="D501" s="10" t="s">
        <v>2196</v>
      </c>
      <c r="E501" s="11" t="n">
        <v>45688</v>
      </c>
      <c r="F501" s="11" t="n">
        <v>45717</v>
      </c>
      <c r="G501" s="11" t="n">
        <v>45719</v>
      </c>
      <c r="I501" s="11" t="n">
        <v>45719</v>
      </c>
      <c r="J501" s="0" t="s">
        <v>1085</v>
      </c>
      <c r="K501" s="0" t="s">
        <v>93</v>
      </c>
      <c r="L501" s="0" t="s">
        <v>1086</v>
      </c>
      <c r="M501" s="0" t="s">
        <v>1087</v>
      </c>
      <c r="N501" s="0" t="n">
        <v>1</v>
      </c>
      <c r="P501" s="0" t="s">
        <v>217</v>
      </c>
      <c r="Q501" s="0" t="s">
        <v>218</v>
      </c>
      <c r="R501" s="0" t="s">
        <v>744</v>
      </c>
      <c r="S501" s="0" t="s">
        <v>435</v>
      </c>
      <c r="T501" s="0" t="s">
        <v>449</v>
      </c>
      <c r="U501" s="0" t="s">
        <v>199</v>
      </c>
      <c r="V501" s="0" t="s">
        <v>1085</v>
      </c>
      <c r="W501" s="12" t="n">
        <v>0</v>
      </c>
      <c r="Y501" s="12" t="s">
        <v>143</v>
      </c>
      <c r="AA501" s="12" t="s">
        <v>1087</v>
      </c>
      <c r="AF501" s="0" t="s">
        <v>1088</v>
      </c>
      <c r="AG501" s="0" t="s">
        <v>10</v>
      </c>
      <c r="AK501" s="0" t="s">
        <v>85</v>
      </c>
      <c r="AL501" s="13" t="n">
        <v>1463900</v>
      </c>
      <c r="AM501" s="14" t="n">
        <v>0</v>
      </c>
      <c r="AN501" s="13" t="n">
        <v>1742041</v>
      </c>
      <c r="AO501" s="13" t="n">
        <v>278141</v>
      </c>
      <c r="AR501" s="0" t="s">
        <v>2197</v>
      </c>
      <c r="AS501" s="0" t="n">
        <v>1742041</v>
      </c>
      <c r="AX501" s="0" t="s">
        <v>1085</v>
      </c>
      <c r="AZ501" s="0" t="s">
        <v>89</v>
      </c>
      <c r="BA501" s="0" t="s">
        <v>89</v>
      </c>
      <c r="BB501" s="0" t="s">
        <v>90</v>
      </c>
      <c r="BC501" s="0" t="n">
        <v>0</v>
      </c>
      <c r="BD501" s="15" t="s">
        <v>2198</v>
      </c>
      <c r="BE501" s="37" t="s">
        <v>1091</v>
      </c>
    </row>
    <row r="502" customFormat="false" ht="16.4" hidden="false" customHeight="false" outlineLevel="0" collapsed="false">
      <c r="A502" s="36" t="n">
        <f aca="false">IF(B502=0,"",MAX($A$3:A501)+1)</f>
        <v>399</v>
      </c>
      <c r="B502" s="36" t="n">
        <f aca="false">IF(OR(M502="FLETE",M502="FLETE ENVIO GARANTIA",M502="FLETE RECOLECCION GARANTIA",M502="COMPENSACION"),0,1)</f>
        <v>1</v>
      </c>
      <c r="C502" s="0" t="s">
        <v>2199</v>
      </c>
      <c r="D502" s="10" t="s">
        <v>2200</v>
      </c>
      <c r="E502" s="11" t="n">
        <v>45688</v>
      </c>
      <c r="F502" s="11" t="n">
        <v>45717</v>
      </c>
      <c r="G502" s="11" t="n">
        <v>45719</v>
      </c>
      <c r="I502" s="11" t="n">
        <v>45719</v>
      </c>
      <c r="J502" s="0" t="s">
        <v>1085</v>
      </c>
      <c r="K502" s="0" t="s">
        <v>93</v>
      </c>
      <c r="L502" s="0" t="s">
        <v>1086</v>
      </c>
      <c r="M502" s="0" t="s">
        <v>1087</v>
      </c>
      <c r="N502" s="0" t="n">
        <v>1</v>
      </c>
      <c r="P502" s="0" t="s">
        <v>217</v>
      </c>
      <c r="Q502" s="0" t="s">
        <v>218</v>
      </c>
      <c r="R502" s="0" t="s">
        <v>744</v>
      </c>
      <c r="S502" s="0" t="s">
        <v>435</v>
      </c>
      <c r="T502" s="0" t="s">
        <v>449</v>
      </c>
      <c r="U502" s="0" t="s">
        <v>199</v>
      </c>
      <c r="V502" s="0" t="s">
        <v>1085</v>
      </c>
      <c r="W502" s="12" t="n">
        <v>0</v>
      </c>
      <c r="Y502" s="12" t="s">
        <v>143</v>
      </c>
      <c r="AA502" s="12" t="s">
        <v>1087</v>
      </c>
      <c r="AF502" s="0" t="s">
        <v>1088</v>
      </c>
      <c r="AG502" s="0" t="s">
        <v>10</v>
      </c>
      <c r="AK502" s="0" t="s">
        <v>85</v>
      </c>
      <c r="AL502" s="13" t="n">
        <v>1463900</v>
      </c>
      <c r="AM502" s="14" t="n">
        <v>0</v>
      </c>
      <c r="AN502" s="13" t="n">
        <v>1742041</v>
      </c>
      <c r="AO502" s="13" t="n">
        <v>278141</v>
      </c>
      <c r="AR502" s="0" t="s">
        <v>2201</v>
      </c>
      <c r="AS502" s="0" t="n">
        <v>1742041</v>
      </c>
      <c r="AX502" s="0" t="s">
        <v>1085</v>
      </c>
      <c r="AZ502" s="0" t="s">
        <v>89</v>
      </c>
      <c r="BA502" s="0" t="s">
        <v>89</v>
      </c>
      <c r="BB502" s="0" t="s">
        <v>90</v>
      </c>
      <c r="BC502" s="0" t="n">
        <v>0</v>
      </c>
      <c r="BD502" s="15" t="s">
        <v>2202</v>
      </c>
      <c r="BE502" s="37" t="s">
        <v>1091</v>
      </c>
    </row>
    <row r="503" customFormat="false" ht="16.4" hidden="false" customHeight="false" outlineLevel="0" collapsed="false">
      <c r="A503" s="36" t="n">
        <f aca="false">IF(B503=0,"",MAX($A$3:A502)+1)</f>
        <v>400</v>
      </c>
      <c r="B503" s="36" t="n">
        <f aca="false">IF(OR(M503="FLETE",M503="FLETE ENVIO GARANTIA",M503="FLETE RECOLECCION GARANTIA",M503="COMPENSACION"),0,1)</f>
        <v>1</v>
      </c>
      <c r="C503" s="0" t="s">
        <v>2203</v>
      </c>
      <c r="D503" s="10" t="s">
        <v>2204</v>
      </c>
      <c r="E503" s="11" t="n">
        <v>45688</v>
      </c>
      <c r="F503" s="11" t="n">
        <v>45717</v>
      </c>
      <c r="G503" s="11" t="n">
        <v>45719</v>
      </c>
      <c r="I503" s="11" t="n">
        <v>45719</v>
      </c>
      <c r="J503" s="0" t="s">
        <v>1085</v>
      </c>
      <c r="K503" s="0" t="s">
        <v>93</v>
      </c>
      <c r="L503" s="0" t="s">
        <v>1086</v>
      </c>
      <c r="M503" s="0" t="s">
        <v>1087</v>
      </c>
      <c r="N503" s="0" t="n">
        <v>1</v>
      </c>
      <c r="P503" s="0" t="s">
        <v>217</v>
      </c>
      <c r="Q503" s="0" t="s">
        <v>218</v>
      </c>
      <c r="R503" s="0" t="s">
        <v>744</v>
      </c>
      <c r="S503" s="0" t="s">
        <v>435</v>
      </c>
      <c r="T503" s="0" t="s">
        <v>449</v>
      </c>
      <c r="U503" s="0" t="s">
        <v>199</v>
      </c>
      <c r="V503" s="0" t="s">
        <v>1085</v>
      </c>
      <c r="W503" s="0" t="n">
        <v>0</v>
      </c>
      <c r="Y503" s="0" t="s">
        <v>143</v>
      </c>
      <c r="AA503" s="12" t="s">
        <v>1087</v>
      </c>
      <c r="AF503" s="0" t="s">
        <v>1088</v>
      </c>
      <c r="AG503" s="0" t="s">
        <v>10</v>
      </c>
      <c r="AK503" s="0" t="s">
        <v>85</v>
      </c>
      <c r="AL503" s="13" t="n">
        <v>1463900</v>
      </c>
      <c r="AM503" s="14" t="n">
        <v>0</v>
      </c>
      <c r="AN503" s="13" t="n">
        <v>1742041</v>
      </c>
      <c r="AO503" s="13" t="n">
        <v>278141</v>
      </c>
      <c r="AR503" s="0" t="s">
        <v>2205</v>
      </c>
      <c r="AS503" s="0" t="n">
        <v>1742041</v>
      </c>
      <c r="AX503" s="0" t="s">
        <v>1085</v>
      </c>
      <c r="AZ503" s="0" t="s">
        <v>89</v>
      </c>
      <c r="BA503" s="0" t="s">
        <v>89</v>
      </c>
      <c r="BB503" s="0" t="s">
        <v>90</v>
      </c>
      <c r="BC503" s="0" t="n">
        <v>0</v>
      </c>
      <c r="BD503" s="15" t="s">
        <v>2206</v>
      </c>
      <c r="BE503" s="37" t="s">
        <v>1091</v>
      </c>
    </row>
    <row r="504" customFormat="false" ht="16.4" hidden="false" customHeight="false" outlineLevel="0" collapsed="false">
      <c r="A504" s="36" t="n">
        <f aca="false">IF(B504=0,"",MAX($A$3:A503)+1)</f>
        <v>401</v>
      </c>
      <c r="B504" s="36" t="n">
        <f aca="false">IF(OR(M504="FLETE",M504="FLETE ENVIO GARANTIA",M504="FLETE RECOLECCION GARANTIA",M504="COMPENSACION"),0,1)</f>
        <v>1</v>
      </c>
      <c r="C504" s="0" t="s">
        <v>2207</v>
      </c>
      <c r="D504" s="10" t="s">
        <v>2208</v>
      </c>
      <c r="E504" s="11" t="n">
        <v>45688</v>
      </c>
      <c r="F504" s="11" t="n">
        <v>45717</v>
      </c>
      <c r="G504" s="11" t="n">
        <v>45719</v>
      </c>
      <c r="I504" s="11" t="n">
        <v>45719</v>
      </c>
      <c r="J504" s="0" t="s">
        <v>1085</v>
      </c>
      <c r="K504" s="0" t="s">
        <v>93</v>
      </c>
      <c r="L504" s="0" t="s">
        <v>1086</v>
      </c>
      <c r="M504" s="0" t="s">
        <v>1087</v>
      </c>
      <c r="N504" s="0" t="n">
        <v>1</v>
      </c>
      <c r="P504" s="0" t="s">
        <v>217</v>
      </c>
      <c r="Q504" s="0" t="s">
        <v>218</v>
      </c>
      <c r="R504" s="0" t="s">
        <v>744</v>
      </c>
      <c r="S504" s="0" t="s">
        <v>435</v>
      </c>
      <c r="T504" s="0" t="s">
        <v>449</v>
      </c>
      <c r="U504" s="0" t="s">
        <v>199</v>
      </c>
      <c r="V504" s="0" t="s">
        <v>1085</v>
      </c>
      <c r="W504" s="12" t="n">
        <v>0</v>
      </c>
      <c r="Y504" s="12" t="s">
        <v>143</v>
      </c>
      <c r="AA504" s="12" t="s">
        <v>1087</v>
      </c>
      <c r="AF504" s="0" t="s">
        <v>1088</v>
      </c>
      <c r="AG504" s="0" t="s">
        <v>10</v>
      </c>
      <c r="AK504" s="0" t="s">
        <v>85</v>
      </c>
      <c r="AL504" s="13" t="n">
        <v>1463900</v>
      </c>
      <c r="AM504" s="14" t="n">
        <v>0</v>
      </c>
      <c r="AN504" s="13" t="n">
        <v>1742041</v>
      </c>
      <c r="AO504" s="13" t="n">
        <v>278141</v>
      </c>
      <c r="AR504" s="0" t="s">
        <v>2209</v>
      </c>
      <c r="AS504" s="0" t="n">
        <v>1742041</v>
      </c>
      <c r="AX504" s="0" t="s">
        <v>1085</v>
      </c>
      <c r="AZ504" s="0" t="s">
        <v>89</v>
      </c>
      <c r="BA504" s="0" t="s">
        <v>89</v>
      </c>
      <c r="BB504" s="0" t="s">
        <v>90</v>
      </c>
      <c r="BC504" s="0" t="n">
        <v>0</v>
      </c>
      <c r="BD504" s="15" t="s">
        <v>2210</v>
      </c>
      <c r="BE504" s="37" t="s">
        <v>1091</v>
      </c>
    </row>
    <row r="505" customFormat="false" ht="16.4" hidden="false" customHeight="false" outlineLevel="0" collapsed="false">
      <c r="A505" s="36" t="n">
        <f aca="false">IF(B505=0,"",MAX($A$3:A504)+1)</f>
        <v>402</v>
      </c>
      <c r="B505" s="36" t="n">
        <f aca="false">IF(OR(M505="FLETE",M505="FLETE ENVIO GARANTIA",M505="FLETE RECOLECCION GARANTIA",M505="COMPENSACION"),0,1)</f>
        <v>1</v>
      </c>
      <c r="C505" s="0" t="s">
        <v>2211</v>
      </c>
      <c r="D505" s="10" t="s">
        <v>2212</v>
      </c>
      <c r="E505" s="11" t="n">
        <v>45688</v>
      </c>
      <c r="F505" s="11" t="n">
        <v>45717</v>
      </c>
      <c r="G505" s="11" t="n">
        <v>45719</v>
      </c>
      <c r="I505" s="11" t="n">
        <v>45719</v>
      </c>
      <c r="J505" s="0" t="s">
        <v>1085</v>
      </c>
      <c r="K505" s="0" t="s">
        <v>93</v>
      </c>
      <c r="L505" s="0" t="s">
        <v>1086</v>
      </c>
      <c r="M505" s="0" t="s">
        <v>1087</v>
      </c>
      <c r="N505" s="0" t="n">
        <v>1</v>
      </c>
      <c r="P505" s="0" t="s">
        <v>217</v>
      </c>
      <c r="Q505" s="0" t="s">
        <v>218</v>
      </c>
      <c r="R505" s="0" t="s">
        <v>744</v>
      </c>
      <c r="S505" s="0" t="s">
        <v>435</v>
      </c>
      <c r="T505" s="0" t="s">
        <v>449</v>
      </c>
      <c r="U505" s="0" t="s">
        <v>199</v>
      </c>
      <c r="V505" s="0" t="s">
        <v>1085</v>
      </c>
      <c r="W505" s="12" t="n">
        <v>0</v>
      </c>
      <c r="Y505" s="0" t="s">
        <v>143</v>
      </c>
      <c r="AA505" s="12" t="s">
        <v>1087</v>
      </c>
      <c r="AF505" s="0" t="s">
        <v>1088</v>
      </c>
      <c r="AG505" s="0" t="s">
        <v>10</v>
      </c>
      <c r="AK505" s="0" t="s">
        <v>85</v>
      </c>
      <c r="AL505" s="13" t="n">
        <v>1463900</v>
      </c>
      <c r="AM505" s="14" t="n">
        <v>0</v>
      </c>
      <c r="AN505" s="13" t="n">
        <v>1742041</v>
      </c>
      <c r="AO505" s="13" t="n">
        <v>278141</v>
      </c>
      <c r="AR505" s="0" t="s">
        <v>2213</v>
      </c>
      <c r="AS505" s="0" t="n">
        <v>1742041</v>
      </c>
      <c r="AX505" s="0" t="s">
        <v>1085</v>
      </c>
      <c r="AZ505" s="0" t="s">
        <v>89</v>
      </c>
      <c r="BA505" s="0" t="s">
        <v>89</v>
      </c>
      <c r="BB505" s="0" t="s">
        <v>90</v>
      </c>
      <c r="BC505" s="0" t="n">
        <v>0</v>
      </c>
      <c r="BD505" s="15" t="s">
        <v>2214</v>
      </c>
      <c r="BE505" s="37" t="s">
        <v>1091</v>
      </c>
    </row>
    <row r="506" customFormat="false" ht="16.4" hidden="false" customHeight="false" outlineLevel="0" collapsed="false">
      <c r="A506" s="36" t="n">
        <f aca="false">IF(B506=0,"",MAX($A$3:A505)+1)</f>
        <v>403</v>
      </c>
      <c r="B506" s="36" t="n">
        <f aca="false">IF(OR(M506="FLETE",M506="FLETE ENVIO GARANTIA",M506="FLETE RECOLECCION GARANTIA",M506="COMPENSACION"),0,1)</f>
        <v>1</v>
      </c>
      <c r="C506" s="0" t="s">
        <v>2215</v>
      </c>
      <c r="D506" s="10" t="s">
        <v>2216</v>
      </c>
      <c r="E506" s="11" t="n">
        <v>45685</v>
      </c>
      <c r="F506" s="11" t="n">
        <v>45698</v>
      </c>
      <c r="G506" s="11" t="n">
        <v>45719</v>
      </c>
      <c r="I506" s="11" t="n">
        <v>45701</v>
      </c>
      <c r="J506" s="0" t="s">
        <v>73</v>
      </c>
      <c r="K506" s="0" t="s">
        <v>135</v>
      </c>
      <c r="L506" s="0" t="s">
        <v>2217</v>
      </c>
      <c r="M506" s="0" t="s">
        <v>2218</v>
      </c>
      <c r="N506" s="0" t="n">
        <v>1</v>
      </c>
      <c r="P506" s="0" t="s">
        <v>138</v>
      </c>
      <c r="Q506" s="0" t="s">
        <v>139</v>
      </c>
      <c r="R506" s="0" t="s">
        <v>2219</v>
      </c>
      <c r="T506" s="0" t="s">
        <v>198</v>
      </c>
      <c r="U506" s="0" t="s">
        <v>199</v>
      </c>
      <c r="V506" s="0" t="s">
        <v>2220</v>
      </c>
      <c r="W506" s="12" t="n">
        <v>0</v>
      </c>
      <c r="Y506" s="0" t="s">
        <v>2221</v>
      </c>
      <c r="Z506" s="0" t="s">
        <v>179</v>
      </c>
      <c r="AB506" s="0" t="n">
        <v>20865980</v>
      </c>
      <c r="AC506" s="0" t="s">
        <v>2222</v>
      </c>
      <c r="AD506" s="0" t="s">
        <v>2223</v>
      </c>
      <c r="AE506" s="0" t="s">
        <v>2223</v>
      </c>
      <c r="AG506" s="0" t="s">
        <v>11</v>
      </c>
      <c r="AH506" s="0" t="n">
        <v>1</v>
      </c>
      <c r="AK506" s="0" t="s">
        <v>85</v>
      </c>
      <c r="AL506" s="13" t="n">
        <v>293300</v>
      </c>
      <c r="AM506" s="14" t="n">
        <v>50</v>
      </c>
      <c r="AN506" s="13" t="n">
        <v>146650</v>
      </c>
      <c r="AO506" s="13" t="n">
        <v>0</v>
      </c>
      <c r="AP506" s="0" t="s">
        <v>2224</v>
      </c>
      <c r="AQ506" s="0" t="s">
        <v>128</v>
      </c>
      <c r="AR506" s="0" t="s">
        <v>2225</v>
      </c>
      <c r="AS506" s="0" t="n">
        <v>422600</v>
      </c>
      <c r="AT506" s="0" t="s">
        <v>2222</v>
      </c>
      <c r="AU506" s="0" t="s">
        <v>2221</v>
      </c>
      <c r="AV506" s="0" t="s">
        <v>2223</v>
      </c>
      <c r="AW506" s="0" t="s">
        <v>2223</v>
      </c>
      <c r="AX506" s="0" t="s">
        <v>2220</v>
      </c>
      <c r="AY506" s="0" t="n">
        <v>20865980</v>
      </c>
      <c r="AZ506" s="0" t="s">
        <v>89</v>
      </c>
      <c r="BA506" s="0" t="s">
        <v>89</v>
      </c>
      <c r="BB506" s="0" t="s">
        <v>90</v>
      </c>
      <c r="BC506" s="0" t="s">
        <v>150</v>
      </c>
      <c r="BD506" s="15" t="s">
        <v>2226</v>
      </c>
      <c r="BE506" s="37" t="s">
        <v>186</v>
      </c>
    </row>
    <row r="507" customFormat="false" ht="16.4" hidden="false" customHeight="false" outlineLevel="0" collapsed="false">
      <c r="A507" s="36" t="n">
        <f aca="false">IF(B507=0,"",MAX($A$3:A506)+1)</f>
        <v>404</v>
      </c>
      <c r="B507" s="36" t="n">
        <f aca="false">IF(OR(M507="FLETE",M507="FLETE ENVIO GARANTIA",M507="FLETE RECOLECCION GARANTIA",M507="COMPENSACION"),0,1)</f>
        <v>1</v>
      </c>
      <c r="D507" s="10" t="s">
        <v>2216</v>
      </c>
      <c r="J507" s="0" t="s">
        <v>73</v>
      </c>
      <c r="K507" s="0" t="s">
        <v>172</v>
      </c>
      <c r="L507" s="0" t="s">
        <v>2227</v>
      </c>
      <c r="M507" s="0" t="s">
        <v>2228</v>
      </c>
      <c r="N507" s="0" t="n">
        <v>1</v>
      </c>
      <c r="P507" s="0" t="s">
        <v>73</v>
      </c>
      <c r="R507" s="0" t="s">
        <v>2229</v>
      </c>
      <c r="U507" s="0" t="s">
        <v>199</v>
      </c>
      <c r="V507" s="0" t="s">
        <v>2220</v>
      </c>
      <c r="W507" s="12" t="n">
        <v>0</v>
      </c>
      <c r="Y507" s="12" t="s">
        <v>2221</v>
      </c>
      <c r="AG507" s="0" t="s">
        <v>11</v>
      </c>
      <c r="AL507" s="13" t="n">
        <v>51900</v>
      </c>
      <c r="AM507" s="14" t="n">
        <v>50</v>
      </c>
      <c r="AN507" s="13" t="n">
        <v>25950</v>
      </c>
      <c r="AO507" s="13" t="n">
        <v>0</v>
      </c>
      <c r="AR507" s="0" t="s">
        <v>2230</v>
      </c>
      <c r="AZ507" s="0" t="s">
        <v>89</v>
      </c>
      <c r="BA507" s="0" t="s">
        <v>89</v>
      </c>
      <c r="BB507" s="0" t="s">
        <v>90</v>
      </c>
      <c r="BC507" s="0" t="s">
        <v>150</v>
      </c>
      <c r="BD507" s="15" t="s">
        <v>2226</v>
      </c>
      <c r="BE507" s="37" t="s">
        <v>186</v>
      </c>
    </row>
    <row r="508" customFormat="false" ht="16.4" hidden="false" customHeight="false" outlineLevel="0" collapsed="false">
      <c r="A508" s="36" t="str">
        <f aca="false">IF(B508=0,"",MAX($A$3:A507)+1)</f>
        <v/>
      </c>
      <c r="B508" s="36" t="n">
        <f aca="false">IF(OR(M508="FLETE",M508="FLETE ENVIO GARANTIA",M508="FLETE RECOLECCION GARANTIA",M508="COMPENSACION"),0,1)</f>
        <v>0</v>
      </c>
      <c r="D508" s="10" t="s">
        <v>2216</v>
      </c>
      <c r="J508" s="0" t="s">
        <v>73</v>
      </c>
      <c r="K508" s="0" t="s">
        <v>93</v>
      </c>
      <c r="L508" s="0" t="s">
        <v>166</v>
      </c>
      <c r="M508" s="0" t="s">
        <v>167</v>
      </c>
      <c r="N508" s="0" t="n">
        <v>1</v>
      </c>
      <c r="P508" s="0" t="s">
        <v>73</v>
      </c>
      <c r="R508" s="0" t="s">
        <v>168</v>
      </c>
      <c r="V508" s="0" t="s">
        <v>2220</v>
      </c>
      <c r="W508" s="12" t="n">
        <v>0</v>
      </c>
      <c r="Y508" s="12" t="s">
        <v>2221</v>
      </c>
      <c r="AG508" s="0" t="s">
        <v>11</v>
      </c>
      <c r="AL508" s="13" t="n">
        <v>125000</v>
      </c>
      <c r="AM508" s="14" t="n">
        <v>0</v>
      </c>
      <c r="AN508" s="13" t="n">
        <v>125000</v>
      </c>
      <c r="AO508" s="13" t="n">
        <v>0</v>
      </c>
      <c r="AR508" s="0" t="s">
        <v>2231</v>
      </c>
      <c r="AZ508" s="0" t="s">
        <v>89</v>
      </c>
      <c r="BA508" s="0" t="s">
        <v>89</v>
      </c>
      <c r="BB508" s="0" t="s">
        <v>90</v>
      </c>
      <c r="BC508" s="0" t="s">
        <v>150</v>
      </c>
      <c r="BD508" s="15" t="s">
        <v>2226</v>
      </c>
      <c r="BE508" s="37" t="s">
        <v>186</v>
      </c>
    </row>
    <row r="509" customFormat="false" ht="16.4" hidden="false" customHeight="false" outlineLevel="0" collapsed="false">
      <c r="A509" s="36" t="str">
        <f aca="false">IF(B509=0,"",MAX($A$3:A508)+1)</f>
        <v/>
      </c>
      <c r="B509" s="36" t="n">
        <f aca="false">IF(OR(M509="FLETE",M509="FLETE ENVIO GARANTIA",M509="FLETE RECOLECCION GARANTIA",M509="COMPENSACION"),0,1)</f>
        <v>0</v>
      </c>
      <c r="D509" s="10" t="s">
        <v>2216</v>
      </c>
      <c r="J509" s="0" t="s">
        <v>73</v>
      </c>
      <c r="K509" s="0" t="s">
        <v>93</v>
      </c>
      <c r="L509" s="0" t="s">
        <v>94</v>
      </c>
      <c r="M509" s="0" t="s">
        <v>95</v>
      </c>
      <c r="N509" s="0" t="n">
        <v>1</v>
      </c>
      <c r="V509" s="0" t="s">
        <v>2220</v>
      </c>
      <c r="W509" s="12" t="n">
        <v>0</v>
      </c>
      <c r="Y509" s="12" t="s">
        <v>2221</v>
      </c>
      <c r="AG509" s="0" t="s">
        <v>11</v>
      </c>
      <c r="AL509" s="13" t="n">
        <v>125000</v>
      </c>
      <c r="AM509" s="14" t="n">
        <v>0</v>
      </c>
      <c r="AN509" s="13" t="n">
        <v>125000</v>
      </c>
      <c r="AO509" s="13" t="n">
        <v>0</v>
      </c>
      <c r="AR509" s="0" t="s">
        <v>2232</v>
      </c>
      <c r="AZ509" s="0" t="s">
        <v>89</v>
      </c>
      <c r="BA509" s="0" t="s">
        <v>89</v>
      </c>
      <c r="BB509" s="0" t="s">
        <v>90</v>
      </c>
      <c r="BC509" s="0" t="s">
        <v>150</v>
      </c>
      <c r="BD509" s="15" t="s">
        <v>2226</v>
      </c>
      <c r="BE509" s="37" t="s">
        <v>186</v>
      </c>
    </row>
    <row r="510" customFormat="false" ht="16.4" hidden="false" customHeight="false" outlineLevel="0" collapsed="false">
      <c r="A510" s="36" t="n">
        <f aca="false">IF(B510=0,"",MAX($A$3:A509)+1)</f>
        <v>405</v>
      </c>
      <c r="B510" s="36" t="n">
        <f aca="false">IF(OR(M510="FLETE",M510="FLETE ENVIO GARANTIA",M510="FLETE RECOLECCION GARANTIA",M510="COMPENSACION"),0,1)</f>
        <v>1</v>
      </c>
      <c r="C510" s="0" t="s">
        <v>2233</v>
      </c>
      <c r="D510" s="10" t="s">
        <v>2234</v>
      </c>
      <c r="E510" s="11" t="n">
        <v>45680</v>
      </c>
      <c r="F510" s="11" t="n">
        <v>45698</v>
      </c>
      <c r="G510" s="11" t="n">
        <v>45719</v>
      </c>
      <c r="H510" s="11" t="n">
        <v>45700</v>
      </c>
      <c r="I510" s="11" t="n">
        <v>45700</v>
      </c>
      <c r="J510" s="0" t="s">
        <v>1250</v>
      </c>
      <c r="K510" s="0" t="s">
        <v>246</v>
      </c>
      <c r="L510" s="0" t="s">
        <v>2235</v>
      </c>
      <c r="M510" s="0" t="s">
        <v>2236</v>
      </c>
      <c r="N510" s="0" t="n">
        <v>3</v>
      </c>
      <c r="P510" s="0" t="s">
        <v>249</v>
      </c>
      <c r="Q510" s="0" t="s">
        <v>250</v>
      </c>
      <c r="R510" s="0" t="s">
        <v>738</v>
      </c>
      <c r="S510" s="0" t="s">
        <v>158</v>
      </c>
      <c r="T510" s="0" t="s">
        <v>518</v>
      </c>
      <c r="V510" s="0" t="s">
        <v>2237</v>
      </c>
      <c r="W510" s="12" t="n">
        <v>0</v>
      </c>
      <c r="Y510" s="0" t="s">
        <v>143</v>
      </c>
      <c r="Z510" s="0" t="s">
        <v>144</v>
      </c>
      <c r="AB510" s="0" t="n">
        <v>7170875</v>
      </c>
      <c r="AC510" s="0" t="s">
        <v>2238</v>
      </c>
      <c r="AD510" s="0" t="s">
        <v>2239</v>
      </c>
      <c r="AE510" s="0" t="s">
        <v>2240</v>
      </c>
      <c r="AG510" s="0" t="s">
        <v>8</v>
      </c>
      <c r="AH510" s="0" t="n">
        <v>3</v>
      </c>
      <c r="AI510" s="0" t="s">
        <v>2241</v>
      </c>
      <c r="AJ510" s="0" t="n">
        <v>70500</v>
      </c>
      <c r="AK510" s="0" t="s">
        <v>85</v>
      </c>
      <c r="AL510" s="13" t="n">
        <v>56218.4874</v>
      </c>
      <c r="AM510" s="14" t="n">
        <v>25</v>
      </c>
      <c r="AN510" s="13" t="n">
        <v>150525</v>
      </c>
      <c r="AO510" s="13" t="n">
        <v>24033.4</v>
      </c>
      <c r="AP510" s="0" t="s">
        <v>2242</v>
      </c>
      <c r="AQ510" s="0" t="s">
        <v>1798</v>
      </c>
      <c r="AR510" s="0" t="s">
        <v>2243</v>
      </c>
      <c r="AS510" s="0" t="n">
        <v>150525</v>
      </c>
      <c r="AT510" s="0" t="s">
        <v>2238</v>
      </c>
      <c r="AU510" s="0" t="s">
        <v>143</v>
      </c>
      <c r="AV510" s="0" t="s">
        <v>2240</v>
      </c>
      <c r="AW510" s="0" t="s">
        <v>2239</v>
      </c>
      <c r="AX510" s="0" t="s">
        <v>2237</v>
      </c>
      <c r="AY510" s="0" t="n">
        <v>7170875</v>
      </c>
      <c r="AZ510" s="0" t="s">
        <v>89</v>
      </c>
      <c r="BA510" s="0" t="s">
        <v>89</v>
      </c>
      <c r="BB510" s="0" t="s">
        <v>90</v>
      </c>
      <c r="BC510" s="0" t="s">
        <v>150</v>
      </c>
      <c r="BD510" s="15" t="s">
        <v>2244</v>
      </c>
      <c r="BE510" s="37" t="s">
        <v>152</v>
      </c>
    </row>
    <row r="511" customFormat="false" ht="16.4" hidden="false" customHeight="false" outlineLevel="0" collapsed="false">
      <c r="A511" s="36" t="n">
        <f aca="false">IF(B511=0,"",MAX($A$3:A510)+1)</f>
        <v>406</v>
      </c>
      <c r="B511" s="36" t="n">
        <f aca="false">IF(OR(M511="FLETE",M511="FLETE ENVIO GARANTIA",M511="FLETE RECOLECCION GARANTIA",M511="COMPENSACION"),0,1)</f>
        <v>1</v>
      </c>
      <c r="C511" s="0" t="s">
        <v>2245</v>
      </c>
      <c r="D511" s="10" t="s">
        <v>2246</v>
      </c>
      <c r="E511" s="11" t="n">
        <v>45679</v>
      </c>
      <c r="F511" s="11" t="n">
        <v>45698</v>
      </c>
      <c r="G511" s="11" t="n">
        <v>45719</v>
      </c>
      <c r="H511" s="11" t="n">
        <v>45700</v>
      </c>
      <c r="I511" s="11" t="n">
        <v>45700</v>
      </c>
      <c r="J511" s="0" t="s">
        <v>1212</v>
      </c>
      <c r="K511" s="0" t="s">
        <v>214</v>
      </c>
      <c r="L511" s="0" t="s">
        <v>2247</v>
      </c>
      <c r="M511" s="0" t="s">
        <v>2248</v>
      </c>
      <c r="N511" s="0" t="n">
        <v>1</v>
      </c>
      <c r="P511" s="0" t="s">
        <v>217</v>
      </c>
      <c r="Q511" s="0" t="s">
        <v>218</v>
      </c>
      <c r="R511" s="0" t="s">
        <v>984</v>
      </c>
      <c r="S511" s="0" t="s">
        <v>591</v>
      </c>
      <c r="T511" s="0" t="s">
        <v>513</v>
      </c>
      <c r="U511" s="0" t="s">
        <v>199</v>
      </c>
      <c r="V511" s="0" t="s">
        <v>2249</v>
      </c>
      <c r="W511" s="0" t="n">
        <v>0</v>
      </c>
      <c r="Y511" s="0" t="s">
        <v>178</v>
      </c>
      <c r="Z511" s="0" t="s">
        <v>179</v>
      </c>
      <c r="AB511" s="0" t="n">
        <v>1080292518</v>
      </c>
      <c r="AC511" s="0" t="s">
        <v>2250</v>
      </c>
      <c r="AD511" s="0" t="s">
        <v>2251</v>
      </c>
      <c r="AE511" s="0" t="s">
        <v>2251</v>
      </c>
      <c r="AG511" s="0" t="s">
        <v>11</v>
      </c>
      <c r="AH511" s="0" t="n">
        <v>3</v>
      </c>
      <c r="AI511" s="0" t="s">
        <v>2252</v>
      </c>
      <c r="AK511" s="0" t="s">
        <v>85</v>
      </c>
      <c r="AL511" s="13" t="n">
        <v>1385630.2521</v>
      </c>
      <c r="AM511" s="14" t="n">
        <v>33</v>
      </c>
      <c r="AN511" s="13" t="n">
        <v>1104763</v>
      </c>
      <c r="AO511" s="13" t="n">
        <v>176390.73</v>
      </c>
      <c r="AP511" s="0" t="s">
        <v>2253</v>
      </c>
      <c r="AQ511" s="0" t="s">
        <v>1449</v>
      </c>
      <c r="AR511" s="0" t="s">
        <v>2254</v>
      </c>
      <c r="AS511" s="0" t="n">
        <v>2192012.99</v>
      </c>
      <c r="AT511" s="0" t="s">
        <v>2250</v>
      </c>
      <c r="AU511" s="0" t="s">
        <v>178</v>
      </c>
      <c r="AV511" s="0" t="s">
        <v>2251</v>
      </c>
      <c r="AW511" s="0" t="s">
        <v>2251</v>
      </c>
      <c r="AX511" s="0" t="s">
        <v>2249</v>
      </c>
      <c r="AY511" s="0" t="n">
        <v>1080292518</v>
      </c>
      <c r="AZ511" s="0" t="s">
        <v>89</v>
      </c>
      <c r="BA511" s="0" t="s">
        <v>89</v>
      </c>
      <c r="BB511" s="0" t="s">
        <v>90</v>
      </c>
      <c r="BC511" s="0" t="s">
        <v>150</v>
      </c>
      <c r="BD511" s="15" t="s">
        <v>2255</v>
      </c>
      <c r="BE511" s="37" t="s">
        <v>186</v>
      </c>
    </row>
    <row r="512" customFormat="false" ht="16.4" hidden="false" customHeight="false" outlineLevel="0" collapsed="false">
      <c r="A512" s="36" t="n">
        <f aca="false">IF(B512=0,"",MAX($A$3:A511)+1)</f>
        <v>407</v>
      </c>
      <c r="B512" s="36" t="n">
        <f aca="false">IF(OR(M512="FLETE",M512="FLETE ENVIO GARANTIA",M512="FLETE RECOLECCION GARANTIA",M512="COMPENSACION"),0,1)</f>
        <v>1</v>
      </c>
      <c r="D512" s="10" t="s">
        <v>2246</v>
      </c>
      <c r="J512" s="0" t="s">
        <v>1212</v>
      </c>
      <c r="K512" s="0" t="s">
        <v>135</v>
      </c>
      <c r="L512" s="0" t="s">
        <v>2256</v>
      </c>
      <c r="M512" s="0" t="s">
        <v>2257</v>
      </c>
      <c r="N512" s="0" t="n">
        <v>1</v>
      </c>
      <c r="P512" s="0" t="s">
        <v>138</v>
      </c>
      <c r="Q512" s="0" t="s">
        <v>139</v>
      </c>
      <c r="R512" s="0" t="s">
        <v>2258</v>
      </c>
      <c r="T512" s="0" t="s">
        <v>198</v>
      </c>
      <c r="U512" s="0" t="s">
        <v>199</v>
      </c>
      <c r="V512" s="0" t="s">
        <v>2249</v>
      </c>
      <c r="W512" s="12" t="n">
        <v>0</v>
      </c>
      <c r="Y512" s="12" t="s">
        <v>178</v>
      </c>
      <c r="AG512" s="0" t="s">
        <v>11</v>
      </c>
      <c r="AL512" s="13" t="n">
        <v>439159</v>
      </c>
      <c r="AM512" s="14" t="n">
        <v>39.555</v>
      </c>
      <c r="AN512" s="13" t="n">
        <v>315885.1</v>
      </c>
      <c r="AO512" s="13" t="n">
        <v>50435.44</v>
      </c>
      <c r="AR512" s="0" t="s">
        <v>2259</v>
      </c>
      <c r="AZ512" s="0" t="s">
        <v>89</v>
      </c>
      <c r="BA512" s="0" t="s">
        <v>89</v>
      </c>
      <c r="BB512" s="0" t="s">
        <v>90</v>
      </c>
      <c r="BC512" s="0" t="s">
        <v>150</v>
      </c>
      <c r="BD512" s="15" t="s">
        <v>2255</v>
      </c>
      <c r="BE512" s="37" t="s">
        <v>186</v>
      </c>
    </row>
    <row r="513" customFormat="false" ht="16.4" hidden="false" customHeight="false" outlineLevel="0" collapsed="false">
      <c r="A513" s="36" t="n">
        <f aca="false">IF(B513=0,"",MAX($A$3:A512)+1)</f>
        <v>408</v>
      </c>
      <c r="B513" s="36" t="n">
        <f aca="false">IF(OR(M513="FLETE",M513="FLETE ENVIO GARANTIA",M513="FLETE RECOLECCION GARANTIA",M513="COMPENSACION"),0,1)</f>
        <v>1</v>
      </c>
      <c r="D513" s="10" t="s">
        <v>2246</v>
      </c>
      <c r="J513" s="0" t="s">
        <v>1212</v>
      </c>
      <c r="K513" s="0" t="s">
        <v>493</v>
      </c>
      <c r="L513" s="0" t="s">
        <v>2260</v>
      </c>
      <c r="M513" s="0" t="s">
        <v>2261</v>
      </c>
      <c r="N513" s="0" t="n">
        <v>4</v>
      </c>
      <c r="P513" s="0" t="s">
        <v>138</v>
      </c>
      <c r="Q513" s="0" t="s">
        <v>496</v>
      </c>
      <c r="R513" s="0" t="s">
        <v>1241</v>
      </c>
      <c r="T513" s="0" t="s">
        <v>513</v>
      </c>
      <c r="U513" s="0" t="s">
        <v>199</v>
      </c>
      <c r="V513" s="0" t="s">
        <v>2249</v>
      </c>
      <c r="W513" s="12" t="n">
        <v>0</v>
      </c>
      <c r="Y513" s="12" t="s">
        <v>178</v>
      </c>
      <c r="AG513" s="0" t="s">
        <v>11</v>
      </c>
      <c r="AL513" s="13" t="n">
        <v>191512</v>
      </c>
      <c r="AM513" s="14" t="n">
        <v>39.555</v>
      </c>
      <c r="AN513" s="13" t="n">
        <v>551014.87</v>
      </c>
      <c r="AO513" s="13" t="n">
        <v>87977.16</v>
      </c>
      <c r="AR513" s="0" t="s">
        <v>2262</v>
      </c>
      <c r="AZ513" s="0" t="s">
        <v>525</v>
      </c>
      <c r="BA513" s="0" t="s">
        <v>525</v>
      </c>
      <c r="BB513" s="0" t="s">
        <v>90</v>
      </c>
      <c r="BC513" s="0" t="s">
        <v>150</v>
      </c>
      <c r="BD513" s="15" t="s">
        <v>2255</v>
      </c>
      <c r="BE513" s="37" t="s">
        <v>186</v>
      </c>
    </row>
    <row r="514" customFormat="false" ht="16.4" hidden="false" customHeight="false" outlineLevel="0" collapsed="false">
      <c r="A514" s="36" t="n">
        <f aca="false">IF(B514=0,"",MAX($A$3:A513)+1)</f>
        <v>409</v>
      </c>
      <c r="B514" s="36" t="n">
        <f aca="false">IF(OR(M514="FLETE",M514="FLETE ENVIO GARANTIA",M514="FLETE RECOLECCION GARANTIA",M514="COMPENSACION"),0,1)</f>
        <v>1</v>
      </c>
      <c r="D514" s="10" t="s">
        <v>2246</v>
      </c>
      <c r="J514" s="0" t="s">
        <v>1212</v>
      </c>
      <c r="K514" s="0" t="s">
        <v>246</v>
      </c>
      <c r="L514" s="0" t="s">
        <v>2263</v>
      </c>
      <c r="M514" s="0" t="s">
        <v>2264</v>
      </c>
      <c r="N514" s="0" t="n">
        <v>1</v>
      </c>
      <c r="P514" s="0" t="s">
        <v>249</v>
      </c>
      <c r="Q514" s="0" t="s">
        <v>250</v>
      </c>
      <c r="R514" s="0" t="s">
        <v>738</v>
      </c>
      <c r="S514" s="0" t="s">
        <v>591</v>
      </c>
      <c r="T514" s="0" t="s">
        <v>1391</v>
      </c>
      <c r="V514" s="0" t="s">
        <v>2249</v>
      </c>
      <c r="W514" s="0" t="n">
        <v>0</v>
      </c>
      <c r="Y514" s="0" t="s">
        <v>178</v>
      </c>
      <c r="AG514" s="0" t="s">
        <v>11</v>
      </c>
      <c r="AL514" s="13" t="n">
        <v>56218.4874</v>
      </c>
      <c r="AM514" s="14" t="n">
        <v>25</v>
      </c>
      <c r="AN514" s="13" t="n">
        <v>50175.01</v>
      </c>
      <c r="AO514" s="13" t="n">
        <v>8011.14</v>
      </c>
      <c r="AR514" s="0" t="s">
        <v>2265</v>
      </c>
      <c r="AZ514" s="0" t="s">
        <v>89</v>
      </c>
      <c r="BA514" s="0" t="s">
        <v>89</v>
      </c>
      <c r="BB514" s="0" t="s">
        <v>90</v>
      </c>
      <c r="BC514" s="0" t="s">
        <v>150</v>
      </c>
      <c r="BD514" s="15" t="s">
        <v>2255</v>
      </c>
      <c r="BE514" s="37" t="s">
        <v>186</v>
      </c>
    </row>
    <row r="515" customFormat="false" ht="16.4" hidden="false" customHeight="false" outlineLevel="0" collapsed="false">
      <c r="A515" s="36" t="n">
        <f aca="false">IF(B515=0,"",MAX($A$3:A514)+1)</f>
        <v>410</v>
      </c>
      <c r="B515" s="36" t="n">
        <f aca="false">IF(OR(M515="FLETE",M515="FLETE ENVIO GARANTIA",M515="FLETE RECOLECCION GARANTIA",M515="COMPENSACION"),0,1)</f>
        <v>1</v>
      </c>
      <c r="D515" s="10" t="s">
        <v>2246</v>
      </c>
      <c r="J515" s="0" t="s">
        <v>1212</v>
      </c>
      <c r="K515" s="0" t="s">
        <v>246</v>
      </c>
      <c r="L515" s="0" t="s">
        <v>2266</v>
      </c>
      <c r="M515" s="0" t="s">
        <v>2267</v>
      </c>
      <c r="N515" s="0" t="n">
        <v>1</v>
      </c>
      <c r="P515" s="0" t="s">
        <v>249</v>
      </c>
      <c r="Q515" s="0" t="s">
        <v>250</v>
      </c>
      <c r="R515" s="0" t="s">
        <v>738</v>
      </c>
      <c r="S515" s="0" t="s">
        <v>591</v>
      </c>
      <c r="T515" s="0" t="s">
        <v>615</v>
      </c>
      <c r="V515" s="0" t="s">
        <v>2249</v>
      </c>
      <c r="W515" s="0" t="n">
        <v>0</v>
      </c>
      <c r="Y515" s="0" t="s">
        <v>178</v>
      </c>
      <c r="AG515" s="0" t="s">
        <v>11</v>
      </c>
      <c r="AL515" s="13" t="n">
        <v>56218.4874</v>
      </c>
      <c r="AM515" s="45" t="n">
        <v>25</v>
      </c>
      <c r="AN515" s="46" t="n">
        <v>50175.01</v>
      </c>
      <c r="AO515" s="46" t="n">
        <v>8011.14</v>
      </c>
      <c r="AR515" s="0" t="s">
        <v>2268</v>
      </c>
      <c r="AZ515" s="0" t="s">
        <v>89</v>
      </c>
      <c r="BA515" s="0" t="s">
        <v>89</v>
      </c>
      <c r="BB515" s="0" t="s">
        <v>90</v>
      </c>
      <c r="BC515" s="0" t="s">
        <v>150</v>
      </c>
      <c r="BD515" s="15" t="s">
        <v>2255</v>
      </c>
      <c r="BE515" s="37" t="s">
        <v>186</v>
      </c>
    </row>
    <row r="516" customFormat="false" ht="16.4" hidden="false" customHeight="false" outlineLevel="0" collapsed="false">
      <c r="A516" s="36" t="str">
        <f aca="false">IF(B516=0,"",MAX($A$3:A515)+1)</f>
        <v/>
      </c>
      <c r="B516" s="36" t="n">
        <f aca="false">IF(OR(M516="FLETE",M516="FLETE ENVIO GARANTIA",M516="FLETE RECOLECCION GARANTIA",M516="COMPENSACION"),0,1)</f>
        <v>0</v>
      </c>
      <c r="D516" s="10" t="s">
        <v>2246</v>
      </c>
      <c r="J516" s="0" t="s">
        <v>1212</v>
      </c>
      <c r="K516" s="0" t="s">
        <v>93</v>
      </c>
      <c r="L516" s="0" t="s">
        <v>210</v>
      </c>
      <c r="M516" s="0" t="s">
        <v>211</v>
      </c>
      <c r="N516" s="0" t="n">
        <v>1</v>
      </c>
      <c r="P516" s="0" t="s">
        <v>73</v>
      </c>
      <c r="R516" s="0" t="s">
        <v>211</v>
      </c>
      <c r="V516" s="0" t="s">
        <v>2249</v>
      </c>
      <c r="W516" s="0" t="n">
        <v>0</v>
      </c>
      <c r="Y516" s="0" t="s">
        <v>178</v>
      </c>
      <c r="AG516" s="0" t="s">
        <v>11</v>
      </c>
      <c r="AL516" s="13" t="n">
        <v>120000</v>
      </c>
      <c r="AM516" s="45" t="n">
        <v>0</v>
      </c>
      <c r="AN516" s="46" t="n">
        <v>120000</v>
      </c>
      <c r="AO516" s="46" t="n">
        <v>0</v>
      </c>
      <c r="AR516" s="0" t="s">
        <v>2269</v>
      </c>
      <c r="AZ516" s="0" t="s">
        <v>89</v>
      </c>
      <c r="BA516" s="0" t="s">
        <v>89</v>
      </c>
      <c r="BB516" s="0" t="s">
        <v>90</v>
      </c>
      <c r="BC516" s="0" t="s">
        <v>150</v>
      </c>
      <c r="BD516" s="15" t="s">
        <v>2255</v>
      </c>
      <c r="BE516" s="37" t="s">
        <v>186</v>
      </c>
    </row>
    <row r="517" customFormat="false" ht="16.4" hidden="false" customHeight="false" outlineLevel="0" collapsed="false">
      <c r="A517" s="36" t="n">
        <f aca="false">IF(B517=0,"",MAX($A$3:A516)+1)</f>
        <v>411</v>
      </c>
      <c r="B517" s="36" t="n">
        <f aca="false">IF(OR(M517="FLETE",M517="FLETE ENVIO GARANTIA",M517="FLETE RECOLECCION GARANTIA",M517="COMPENSACION"),0,1)</f>
        <v>1</v>
      </c>
      <c r="C517" s="0" t="s">
        <v>2270</v>
      </c>
      <c r="D517" s="10" t="s">
        <v>2271</v>
      </c>
      <c r="E517" s="11" t="n">
        <v>45663</v>
      </c>
      <c r="F517" s="11" t="n">
        <v>45680</v>
      </c>
      <c r="G517" s="11" t="n">
        <v>45719</v>
      </c>
      <c r="H517" s="11" t="n">
        <v>45682</v>
      </c>
      <c r="I517" s="11" t="n">
        <v>45682</v>
      </c>
      <c r="J517" s="0" t="s">
        <v>1250</v>
      </c>
      <c r="K517" s="0" t="s">
        <v>214</v>
      </c>
      <c r="L517" s="0" t="s">
        <v>2272</v>
      </c>
      <c r="M517" s="0" t="s">
        <v>2273</v>
      </c>
      <c r="N517" s="0" t="n">
        <v>1</v>
      </c>
      <c r="P517" s="0" t="s">
        <v>217</v>
      </c>
      <c r="Q517" s="0" t="s">
        <v>218</v>
      </c>
      <c r="R517" s="0" t="s">
        <v>984</v>
      </c>
      <c r="S517" s="0" t="s">
        <v>435</v>
      </c>
      <c r="T517" s="0" t="s">
        <v>719</v>
      </c>
      <c r="U517" s="0" t="s">
        <v>199</v>
      </c>
      <c r="V517" s="0" t="s">
        <v>2274</v>
      </c>
      <c r="W517" s="0" t="n">
        <v>0</v>
      </c>
      <c r="Y517" s="0" t="s">
        <v>468</v>
      </c>
      <c r="Z517" s="0" t="s">
        <v>144</v>
      </c>
      <c r="AB517" s="0" t="n">
        <v>1002397654</v>
      </c>
      <c r="AC517" s="0" t="s">
        <v>2275</v>
      </c>
      <c r="AD517" s="0" t="s">
        <v>2276</v>
      </c>
      <c r="AG517" s="0" t="s">
        <v>8</v>
      </c>
      <c r="AH517" s="0" t="n">
        <v>4</v>
      </c>
      <c r="AI517" s="0" t="s">
        <v>2277</v>
      </c>
      <c r="AJ517" s="0" t="n">
        <v>2100000</v>
      </c>
      <c r="AK517" s="0" t="s">
        <v>85</v>
      </c>
      <c r="AL517" s="13" t="n">
        <v>1282868</v>
      </c>
      <c r="AM517" s="45" t="n">
        <v>41.8809</v>
      </c>
      <c r="AN517" s="46" t="n">
        <v>887253.69</v>
      </c>
      <c r="AO517" s="46" t="n">
        <v>141662.35</v>
      </c>
      <c r="AP517" s="0" t="s">
        <v>2278</v>
      </c>
      <c r="AQ517" s="0" t="s">
        <v>1798</v>
      </c>
      <c r="AR517" s="0" t="s">
        <v>2279</v>
      </c>
      <c r="AS517" s="0" t="n">
        <v>2221877.7</v>
      </c>
      <c r="AT517" s="0" t="s">
        <v>2275</v>
      </c>
      <c r="AU517" s="0" t="s">
        <v>468</v>
      </c>
      <c r="AW517" s="0" t="s">
        <v>2276</v>
      </c>
      <c r="AX517" s="0" t="s">
        <v>2274</v>
      </c>
      <c r="AY517" s="0" t="n">
        <v>1002397654</v>
      </c>
      <c r="AZ517" s="0" t="s">
        <v>89</v>
      </c>
      <c r="BA517" s="0" t="s">
        <v>89</v>
      </c>
      <c r="BB517" s="0" t="s">
        <v>90</v>
      </c>
      <c r="BC517" s="0" t="s">
        <v>150</v>
      </c>
      <c r="BD517" s="15" t="s">
        <v>2280</v>
      </c>
      <c r="BE517" s="37" t="s">
        <v>152</v>
      </c>
    </row>
    <row r="518" customFormat="false" ht="16.4" hidden="false" customHeight="false" outlineLevel="0" collapsed="false">
      <c r="A518" s="36" t="n">
        <f aca="false">IF(B518=0,"",MAX($A$3:A517)+1)</f>
        <v>412</v>
      </c>
      <c r="B518" s="36" t="n">
        <f aca="false">IF(OR(M518="FLETE",M518="FLETE ENVIO GARANTIA",M518="FLETE RECOLECCION GARANTIA",M518="COMPENSACION"),0,1)</f>
        <v>1</v>
      </c>
      <c r="D518" s="10" t="s">
        <v>2271</v>
      </c>
      <c r="J518" s="0" t="s">
        <v>1250</v>
      </c>
      <c r="K518" s="0" t="s">
        <v>479</v>
      </c>
      <c r="L518" s="0" t="s">
        <v>2281</v>
      </c>
      <c r="M518" s="0" t="s">
        <v>2282</v>
      </c>
      <c r="N518" s="0" t="n">
        <v>1</v>
      </c>
      <c r="P518" s="0" t="s">
        <v>217</v>
      </c>
      <c r="Q518" s="0" t="s">
        <v>482</v>
      </c>
      <c r="R518" s="0" t="s">
        <v>656</v>
      </c>
      <c r="S518" s="0" t="s">
        <v>435</v>
      </c>
      <c r="T518" s="0" t="s">
        <v>455</v>
      </c>
      <c r="U518" s="0" t="s">
        <v>199</v>
      </c>
      <c r="V518" s="0" t="s">
        <v>2274</v>
      </c>
      <c r="W518" s="0" t="n">
        <v>0</v>
      </c>
      <c r="Y518" s="0" t="s">
        <v>468</v>
      </c>
      <c r="AG518" s="0" t="s">
        <v>8</v>
      </c>
      <c r="AL518" s="13" t="n">
        <v>559779</v>
      </c>
      <c r="AM518" s="45" t="n">
        <v>41.8809</v>
      </c>
      <c r="AN518" s="46" t="n">
        <v>387152.84</v>
      </c>
      <c r="AO518" s="46" t="n">
        <v>61814.32</v>
      </c>
      <c r="AR518" s="0" t="s">
        <v>2283</v>
      </c>
      <c r="AZ518" s="0" t="s">
        <v>89</v>
      </c>
      <c r="BA518" s="0" t="s">
        <v>89</v>
      </c>
      <c r="BB518" s="0" t="s">
        <v>90</v>
      </c>
      <c r="BC518" s="0" t="s">
        <v>150</v>
      </c>
      <c r="BD518" s="15" t="s">
        <v>2280</v>
      </c>
      <c r="BE518" s="37" t="s">
        <v>152</v>
      </c>
    </row>
    <row r="519" customFormat="false" ht="16.4" hidden="false" customHeight="false" outlineLevel="0" collapsed="false">
      <c r="A519" s="36" t="n">
        <f aca="false">IF(B519=0,"",MAX($A$3:A518)+1)</f>
        <v>413</v>
      </c>
      <c r="B519" s="36" t="n">
        <f aca="false">IF(OR(M519="FLETE",M519="FLETE ENVIO GARANTIA",M519="FLETE RECOLECCION GARANTIA",M519="COMPENSACION"),0,1)</f>
        <v>1</v>
      </c>
      <c r="D519" s="10" t="s">
        <v>2271</v>
      </c>
      <c r="J519" s="0" t="s">
        <v>1250</v>
      </c>
      <c r="K519" s="0" t="s">
        <v>479</v>
      </c>
      <c r="L519" s="0" t="s">
        <v>2281</v>
      </c>
      <c r="M519" s="0" t="s">
        <v>2282</v>
      </c>
      <c r="N519" s="0" t="n">
        <v>1</v>
      </c>
      <c r="P519" s="0" t="s">
        <v>217</v>
      </c>
      <c r="Q519" s="0" t="s">
        <v>482</v>
      </c>
      <c r="R519" s="0" t="s">
        <v>656</v>
      </c>
      <c r="S519" s="0" t="s">
        <v>435</v>
      </c>
      <c r="T519" s="0" t="s">
        <v>455</v>
      </c>
      <c r="U519" s="0" t="s">
        <v>199</v>
      </c>
      <c r="V519" s="0" t="s">
        <v>2274</v>
      </c>
      <c r="W519" s="0" t="n">
        <v>0</v>
      </c>
      <c r="Y519" s="0" t="s">
        <v>468</v>
      </c>
      <c r="AG519" s="0" t="s">
        <v>8</v>
      </c>
      <c r="AL519" s="13" t="n">
        <v>559779</v>
      </c>
      <c r="AM519" s="45" t="n">
        <v>33</v>
      </c>
      <c r="AN519" s="46" t="n">
        <v>446311.8</v>
      </c>
      <c r="AO519" s="46" t="n">
        <v>71259.87</v>
      </c>
      <c r="AR519" s="0" t="s">
        <v>2283</v>
      </c>
      <c r="AZ519" s="0" t="s">
        <v>89</v>
      </c>
      <c r="BA519" s="0" t="s">
        <v>89</v>
      </c>
      <c r="BB519" s="0" t="s">
        <v>90</v>
      </c>
      <c r="BC519" s="0" t="s">
        <v>150</v>
      </c>
      <c r="BD519" s="15" t="s">
        <v>2280</v>
      </c>
      <c r="BE519" s="37" t="s">
        <v>152</v>
      </c>
    </row>
    <row r="520" customFormat="false" ht="16.4" hidden="false" customHeight="false" outlineLevel="0" collapsed="false">
      <c r="A520" s="36" t="n">
        <f aca="false">IF(B520=0,"",MAX($A$3:A519)+1)</f>
        <v>414</v>
      </c>
      <c r="B520" s="36" t="n">
        <f aca="false">IF(OR(M520="FLETE",M520="FLETE ENVIO GARANTIA",M520="FLETE RECOLECCION GARANTIA",M520="COMPENSACION"),0,1)</f>
        <v>1</v>
      </c>
      <c r="D520" s="10" t="s">
        <v>2271</v>
      </c>
      <c r="J520" s="0" t="s">
        <v>1250</v>
      </c>
      <c r="K520" s="0" t="s">
        <v>663</v>
      </c>
      <c r="L520" s="0" t="s">
        <v>2284</v>
      </c>
      <c r="M520" s="0" t="s">
        <v>2285</v>
      </c>
      <c r="N520" s="0" t="n">
        <v>1</v>
      </c>
      <c r="P520" s="0" t="s">
        <v>217</v>
      </c>
      <c r="Q520" s="0" t="s">
        <v>640</v>
      </c>
      <c r="R520" s="0" t="s">
        <v>855</v>
      </c>
      <c r="S520" s="0" t="s">
        <v>435</v>
      </c>
      <c r="T520" s="0" t="s">
        <v>719</v>
      </c>
      <c r="U520" s="0" t="s">
        <v>199</v>
      </c>
      <c r="V520" s="0" t="s">
        <v>2274</v>
      </c>
      <c r="W520" s="0" t="n">
        <v>0</v>
      </c>
      <c r="Y520" s="0" t="s">
        <v>468</v>
      </c>
      <c r="AG520" s="0" t="s">
        <v>8</v>
      </c>
      <c r="AL520" s="13" t="n">
        <v>405798</v>
      </c>
      <c r="AM520" s="45" t="n">
        <v>25</v>
      </c>
      <c r="AN520" s="46" t="n">
        <v>362174.72</v>
      </c>
      <c r="AO520" s="46" t="n">
        <v>57826.22</v>
      </c>
      <c r="AR520" s="0" t="s">
        <v>2286</v>
      </c>
      <c r="AZ520" s="0" t="s">
        <v>89</v>
      </c>
      <c r="BA520" s="0" t="s">
        <v>89</v>
      </c>
      <c r="BB520" s="0" t="s">
        <v>90</v>
      </c>
      <c r="BC520" s="0" t="s">
        <v>150</v>
      </c>
      <c r="BD520" s="15" t="s">
        <v>2280</v>
      </c>
      <c r="BE520" s="37" t="s">
        <v>152</v>
      </c>
    </row>
    <row r="521" customFormat="false" ht="16.4" hidden="false" customHeight="false" outlineLevel="0" collapsed="false">
      <c r="A521" s="36" t="n">
        <f aca="false">IF(B521=0,"",MAX($A$3:A520)+1)</f>
        <v>415</v>
      </c>
      <c r="B521" s="36" t="n">
        <f aca="false">IF(OR(M521="FLETE",M521="FLETE ENVIO GARANTIA",M521="FLETE RECOLECCION GARANTIA",M521="COMPENSACION"),0,1)</f>
        <v>1</v>
      </c>
      <c r="D521" s="10" t="s">
        <v>2271</v>
      </c>
      <c r="J521" s="0" t="s">
        <v>1250</v>
      </c>
      <c r="K521" s="0" t="s">
        <v>529</v>
      </c>
      <c r="L521" s="0" t="s">
        <v>866</v>
      </c>
      <c r="M521" s="0" t="s">
        <v>867</v>
      </c>
      <c r="N521" s="0" t="n">
        <v>1</v>
      </c>
      <c r="P521" s="0" t="s">
        <v>217</v>
      </c>
      <c r="Q521" s="0" t="s">
        <v>541</v>
      </c>
      <c r="R521" s="0" t="s">
        <v>868</v>
      </c>
      <c r="T521" s="0" t="s">
        <v>198</v>
      </c>
      <c r="U521" s="0" t="s">
        <v>199</v>
      </c>
      <c r="V521" s="0" t="s">
        <v>2274</v>
      </c>
      <c r="W521" s="0" t="n">
        <v>0</v>
      </c>
      <c r="Y521" s="0" t="s">
        <v>468</v>
      </c>
      <c r="AG521" s="0" t="s">
        <v>8</v>
      </c>
      <c r="AL521" s="13" t="n">
        <v>200956</v>
      </c>
      <c r="AM521" s="45" t="n">
        <v>41.8809</v>
      </c>
      <c r="AN521" s="46" t="n">
        <v>138984.65</v>
      </c>
      <c r="AO521" s="46" t="n">
        <v>22190.83</v>
      </c>
      <c r="AR521" s="0" t="s">
        <v>2287</v>
      </c>
      <c r="AZ521" s="0" t="s">
        <v>89</v>
      </c>
      <c r="BA521" s="0" t="s">
        <v>89</v>
      </c>
      <c r="BB521" s="0" t="s">
        <v>90</v>
      </c>
      <c r="BC521" s="0" t="s">
        <v>150</v>
      </c>
      <c r="BD521" s="15" t="s">
        <v>2280</v>
      </c>
      <c r="BE521" s="37" t="s">
        <v>152</v>
      </c>
    </row>
    <row r="522" customFormat="false" ht="16.4" hidden="false" customHeight="false" outlineLevel="0" collapsed="false">
      <c r="A522" s="36" t="n">
        <f aca="false">IF(B522=0,"",MAX($A$3:A521)+1)</f>
        <v>416</v>
      </c>
      <c r="B522" s="36" t="n">
        <f aca="false">IF(OR(M522="FLETE",M522="FLETE ENVIO GARANTIA",M522="FLETE RECOLECCION GARANTIA",M522="COMPENSACION"),0,1)</f>
        <v>1</v>
      </c>
      <c r="C522" s="0" t="s">
        <v>2288</v>
      </c>
      <c r="D522" s="10" t="s">
        <v>2289</v>
      </c>
      <c r="E522" s="11" t="n">
        <v>45622</v>
      </c>
      <c r="F522" s="11" t="n">
        <v>45665</v>
      </c>
      <c r="G522" s="11" t="n">
        <v>45719</v>
      </c>
      <c r="H522" s="11" t="n">
        <v>45667</v>
      </c>
      <c r="I522" s="11" t="n">
        <v>45667</v>
      </c>
      <c r="J522" s="0" t="s">
        <v>1627</v>
      </c>
      <c r="K522" s="0" t="s">
        <v>246</v>
      </c>
      <c r="L522" s="0" t="s">
        <v>2014</v>
      </c>
      <c r="M522" s="0" t="s">
        <v>2015</v>
      </c>
      <c r="N522" s="0" t="n">
        <v>2</v>
      </c>
      <c r="P522" s="0" t="s">
        <v>249</v>
      </c>
      <c r="Q522" s="0" t="s">
        <v>250</v>
      </c>
      <c r="R522" s="0" t="s">
        <v>738</v>
      </c>
      <c r="S522" s="0" t="s">
        <v>591</v>
      </c>
      <c r="T522" s="0" t="s">
        <v>667</v>
      </c>
      <c r="V522" s="0" t="s">
        <v>2290</v>
      </c>
      <c r="W522" s="0" t="n">
        <v>0</v>
      </c>
      <c r="Y522" s="0" t="s">
        <v>2221</v>
      </c>
      <c r="Z522" s="0" t="s">
        <v>179</v>
      </c>
      <c r="AB522" s="0" t="n">
        <v>52106770</v>
      </c>
      <c r="AC522" s="0" t="s">
        <v>2291</v>
      </c>
      <c r="AD522" s="0" t="s">
        <v>2292</v>
      </c>
      <c r="AE522" s="0" t="s">
        <v>2292</v>
      </c>
      <c r="AG522" s="0" t="s">
        <v>10</v>
      </c>
      <c r="AH522" s="0" t="n">
        <v>4</v>
      </c>
      <c r="AI522" s="0" t="s">
        <v>2293</v>
      </c>
      <c r="AK522" s="0" t="s">
        <v>85</v>
      </c>
      <c r="AL522" s="13" t="n">
        <v>53697.479</v>
      </c>
      <c r="AM522" s="45" t="n">
        <v>25</v>
      </c>
      <c r="AN522" s="46" t="n">
        <v>95850</v>
      </c>
      <c r="AO522" s="46" t="n">
        <v>15303.78</v>
      </c>
      <c r="AP522" s="0" t="s">
        <v>2294</v>
      </c>
      <c r="AQ522" s="0" t="s">
        <v>2295</v>
      </c>
      <c r="AR522" s="0" t="s">
        <v>2296</v>
      </c>
      <c r="AS522" s="0" t="n">
        <v>977775</v>
      </c>
      <c r="AT522" s="0" t="s">
        <v>2291</v>
      </c>
      <c r="AU522" s="0" t="s">
        <v>2221</v>
      </c>
      <c r="AV522" s="0" t="s">
        <v>2292</v>
      </c>
      <c r="AW522" s="0" t="s">
        <v>2292</v>
      </c>
      <c r="AX522" s="0" t="s">
        <v>2290</v>
      </c>
      <c r="AY522" s="0" t="n">
        <v>52106770</v>
      </c>
      <c r="AZ522" s="0" t="s">
        <v>89</v>
      </c>
      <c r="BA522" s="0" t="s">
        <v>89</v>
      </c>
      <c r="BB522" s="0" t="s">
        <v>90</v>
      </c>
      <c r="BC522" s="0" t="s">
        <v>150</v>
      </c>
      <c r="BD522" s="15" t="s">
        <v>2297</v>
      </c>
      <c r="BE522" s="37" t="s">
        <v>92</v>
      </c>
    </row>
    <row r="523" customFormat="false" ht="16.4" hidden="false" customHeight="false" outlineLevel="0" collapsed="false">
      <c r="A523" s="36" t="str">
        <f aca="false">IF(B523=0,"",MAX($A$3:A522)+1)</f>
        <v/>
      </c>
      <c r="B523" s="36" t="n">
        <f aca="false">IF(OR(M523="FLETE",M523="FLETE ENVIO GARANTIA",M523="FLETE RECOLECCION GARANTIA",M523="COMPENSACION"),0,1)</f>
        <v>0</v>
      </c>
      <c r="D523" s="10" t="s">
        <v>2289</v>
      </c>
      <c r="J523" s="0" t="s">
        <v>1627</v>
      </c>
      <c r="K523" s="0" t="s">
        <v>93</v>
      </c>
      <c r="L523" s="0" t="s">
        <v>210</v>
      </c>
      <c r="M523" s="0" t="s">
        <v>211</v>
      </c>
      <c r="N523" s="0" t="n">
        <v>1</v>
      </c>
      <c r="P523" s="0" t="s">
        <v>73</v>
      </c>
      <c r="R523" s="0" t="s">
        <v>211</v>
      </c>
      <c r="V523" s="0" t="s">
        <v>2290</v>
      </c>
      <c r="W523" s="0" t="n">
        <v>0</v>
      </c>
      <c r="Y523" s="0" t="s">
        <v>2221</v>
      </c>
      <c r="AG523" s="0" t="s">
        <v>10</v>
      </c>
      <c r="AL523" s="13" t="n">
        <v>39000</v>
      </c>
      <c r="AM523" s="45" t="n">
        <v>0</v>
      </c>
      <c r="AN523" s="46" t="n">
        <v>39000</v>
      </c>
      <c r="AO523" s="46" t="n">
        <v>0</v>
      </c>
      <c r="AR523" s="0" t="s">
        <v>2298</v>
      </c>
      <c r="AZ523" s="0" t="s">
        <v>89</v>
      </c>
      <c r="BA523" s="0" t="s">
        <v>89</v>
      </c>
      <c r="BB523" s="0" t="s">
        <v>90</v>
      </c>
      <c r="BC523" s="0" t="s">
        <v>150</v>
      </c>
      <c r="BD523" s="15" t="s">
        <v>2297</v>
      </c>
      <c r="BE523" s="37" t="s">
        <v>92</v>
      </c>
    </row>
    <row r="524" customFormat="false" ht="16.4" hidden="false" customHeight="false" outlineLevel="0" collapsed="false">
      <c r="A524" s="36" t="n">
        <f aca="false">IF(B524=0,"",MAX($A$3:A523)+1)</f>
        <v>417</v>
      </c>
      <c r="B524" s="36" t="n">
        <f aca="false">IF(OR(M524="FLETE",M524="FLETE ENVIO GARANTIA",M524="FLETE RECOLECCION GARANTIA",M524="COMPENSACION"),0,1)</f>
        <v>1</v>
      </c>
      <c r="D524" s="10" t="s">
        <v>2289</v>
      </c>
      <c r="J524" s="0" t="s">
        <v>1627</v>
      </c>
      <c r="K524" s="0" t="s">
        <v>479</v>
      </c>
      <c r="L524" s="0" t="s">
        <v>2299</v>
      </c>
      <c r="M524" s="0" t="s">
        <v>2300</v>
      </c>
      <c r="N524" s="0" t="n">
        <v>1</v>
      </c>
      <c r="P524" s="0" t="s">
        <v>217</v>
      </c>
      <c r="Q524" s="0" t="s">
        <v>482</v>
      </c>
      <c r="R524" s="0" t="s">
        <v>483</v>
      </c>
      <c r="S524" s="0" t="s">
        <v>591</v>
      </c>
      <c r="T524" s="0" t="s">
        <v>667</v>
      </c>
      <c r="U524" s="0" t="s">
        <v>160</v>
      </c>
      <c r="V524" s="0" t="s">
        <v>2290</v>
      </c>
      <c r="W524" s="0" t="n">
        <v>0</v>
      </c>
      <c r="Y524" s="0" t="s">
        <v>2221</v>
      </c>
      <c r="AG524" s="0" t="s">
        <v>10</v>
      </c>
      <c r="AL524" s="13" t="n">
        <v>944453.7815</v>
      </c>
      <c r="AM524" s="45" t="n">
        <v>25</v>
      </c>
      <c r="AN524" s="46" t="n">
        <v>842925</v>
      </c>
      <c r="AO524" s="46" t="n">
        <v>134584.66</v>
      </c>
      <c r="AR524" s="0" t="s">
        <v>2301</v>
      </c>
      <c r="AZ524" s="0" t="s">
        <v>89</v>
      </c>
      <c r="BA524" s="0" t="s">
        <v>89</v>
      </c>
      <c r="BB524" s="0" t="s">
        <v>90</v>
      </c>
      <c r="BC524" s="0" t="s">
        <v>150</v>
      </c>
      <c r="BD524" s="15" t="s">
        <v>2297</v>
      </c>
      <c r="BE524" s="37" t="s">
        <v>92</v>
      </c>
    </row>
    <row r="525" customFormat="false" ht="16.4" hidden="false" customHeight="false" outlineLevel="0" collapsed="false">
      <c r="A525" s="36" t="n">
        <f aca="false">IF(B525=0,"",MAX($A$3:A524)+1)</f>
        <v>418</v>
      </c>
      <c r="B525" s="36" t="n">
        <f aca="false">IF(OR(M525="FLETE",M525="FLETE ENVIO GARANTIA",M525="FLETE RECOLECCION GARANTIA",M525="COMPENSACION"),0,1)</f>
        <v>1</v>
      </c>
      <c r="C525" s="0" t="s">
        <v>2302</v>
      </c>
      <c r="D525" s="10" t="s">
        <v>2303</v>
      </c>
      <c r="E525" s="11" t="n">
        <v>45636</v>
      </c>
      <c r="F525" s="11" t="n">
        <v>45664</v>
      </c>
      <c r="G525" s="11" t="n">
        <v>45719</v>
      </c>
      <c r="H525" s="11" t="n">
        <v>45661</v>
      </c>
      <c r="I525" s="11" t="n">
        <v>45661</v>
      </c>
      <c r="J525" s="0" t="s">
        <v>1193</v>
      </c>
      <c r="K525" s="0" t="s">
        <v>214</v>
      </c>
      <c r="L525" s="0" t="s">
        <v>2156</v>
      </c>
      <c r="M525" s="0" t="s">
        <v>2157</v>
      </c>
      <c r="N525" s="0" t="n">
        <v>1</v>
      </c>
      <c r="P525" s="0" t="s">
        <v>217</v>
      </c>
      <c r="Q525" s="0" t="s">
        <v>218</v>
      </c>
      <c r="R525" s="0" t="s">
        <v>855</v>
      </c>
      <c r="S525" s="0" t="s">
        <v>454</v>
      </c>
      <c r="T525" s="0" t="s">
        <v>449</v>
      </c>
      <c r="U525" s="0" t="s">
        <v>199</v>
      </c>
      <c r="V525" s="0" t="s">
        <v>2304</v>
      </c>
      <c r="W525" s="0" t="n">
        <v>0</v>
      </c>
      <c r="Y525" s="0" t="s">
        <v>143</v>
      </c>
      <c r="Z525" s="0" t="s">
        <v>144</v>
      </c>
      <c r="AB525" s="0" t="n">
        <v>52886521</v>
      </c>
      <c r="AC525" s="0" t="s">
        <v>2305</v>
      </c>
      <c r="AD525" s="0" t="s">
        <v>2306</v>
      </c>
      <c r="AG525" s="0" t="s">
        <v>2</v>
      </c>
      <c r="AH525" s="0" t="n">
        <v>5</v>
      </c>
      <c r="AI525" s="0" t="s">
        <v>2307</v>
      </c>
      <c r="AJ525" s="0" t="n">
        <v>3834900</v>
      </c>
      <c r="AK525" s="0" t="s">
        <v>85</v>
      </c>
      <c r="AL525" s="13" t="n">
        <v>1418403.3613</v>
      </c>
      <c r="AM525" s="45" t="n">
        <v>49.9437</v>
      </c>
      <c r="AN525" s="46" t="n">
        <v>844900.29</v>
      </c>
      <c r="AO525" s="46" t="n">
        <v>134900.05</v>
      </c>
      <c r="AP525" s="0" t="s">
        <v>2308</v>
      </c>
      <c r="AQ525" s="0" t="s">
        <v>1847</v>
      </c>
      <c r="AR525" s="0" t="s">
        <v>2309</v>
      </c>
      <c r="AS525" s="0" t="n">
        <v>4334903.63</v>
      </c>
      <c r="AT525" s="0" t="s">
        <v>2305</v>
      </c>
      <c r="AU525" s="0" t="s">
        <v>143</v>
      </c>
      <c r="AW525" s="0" t="s">
        <v>2306</v>
      </c>
      <c r="AX525" s="0" t="s">
        <v>2304</v>
      </c>
      <c r="AY525" s="0" t="n">
        <v>52886521</v>
      </c>
      <c r="AZ525" s="0" t="s">
        <v>89</v>
      </c>
      <c r="BA525" s="0" t="s">
        <v>89</v>
      </c>
      <c r="BB525" s="0" t="s">
        <v>90</v>
      </c>
      <c r="BC525" s="0" t="s">
        <v>150</v>
      </c>
      <c r="BD525" s="15" t="s">
        <v>2310</v>
      </c>
      <c r="BE525" s="37" t="s">
        <v>152</v>
      </c>
    </row>
    <row r="526" customFormat="false" ht="16.4" hidden="false" customHeight="false" outlineLevel="0" collapsed="false">
      <c r="A526" s="36" t="n">
        <f aca="false">IF(B526=0,"",MAX($A$3:A525)+1)</f>
        <v>419</v>
      </c>
      <c r="B526" s="36" t="n">
        <f aca="false">IF(OR(M526="FLETE",M526="FLETE ENVIO GARANTIA",M526="FLETE RECOLECCION GARANTIA",M526="COMPENSACION"),0,1)</f>
        <v>1</v>
      </c>
      <c r="D526" s="10" t="s">
        <v>2303</v>
      </c>
      <c r="J526" s="0" t="s">
        <v>1193</v>
      </c>
      <c r="K526" s="0" t="s">
        <v>345</v>
      </c>
      <c r="L526" s="0" t="s">
        <v>366</v>
      </c>
      <c r="M526" s="0" t="s">
        <v>367</v>
      </c>
      <c r="N526" s="0" t="n">
        <v>1</v>
      </c>
      <c r="P526" s="0" t="s">
        <v>249</v>
      </c>
      <c r="Q526" s="0" t="s">
        <v>348</v>
      </c>
      <c r="R526" s="0" t="s">
        <v>368</v>
      </c>
      <c r="V526" s="0" t="s">
        <v>2304</v>
      </c>
      <c r="W526" s="0" t="n">
        <v>0</v>
      </c>
      <c r="Y526" s="0" t="s">
        <v>143</v>
      </c>
      <c r="AG526" s="0" t="s">
        <v>2</v>
      </c>
      <c r="AL526" s="13" t="n">
        <v>35798.3193</v>
      </c>
      <c r="AM526" s="45" t="n">
        <v>38.5742</v>
      </c>
      <c r="AN526" s="46" t="n">
        <v>26167.39</v>
      </c>
      <c r="AO526" s="46" t="n">
        <v>4177.99</v>
      </c>
      <c r="AR526" s="0" t="s">
        <v>2311</v>
      </c>
      <c r="AZ526" s="0" t="s">
        <v>257</v>
      </c>
      <c r="BA526" s="0" t="s">
        <v>257</v>
      </c>
      <c r="BB526" s="0" t="s">
        <v>90</v>
      </c>
      <c r="BC526" s="0" t="s">
        <v>150</v>
      </c>
      <c r="BD526" s="15" t="s">
        <v>2310</v>
      </c>
      <c r="BE526" s="37" t="s">
        <v>152</v>
      </c>
    </row>
    <row r="527" customFormat="false" ht="16.4" hidden="false" customHeight="false" outlineLevel="0" collapsed="false">
      <c r="A527" s="36" t="n">
        <f aca="false">IF(B527=0,"",MAX($A$3:A526)+1)</f>
        <v>420</v>
      </c>
      <c r="B527" s="36" t="n">
        <f aca="false">IF(OR(M527="FLETE",M527="FLETE ENVIO GARANTIA",M527="FLETE RECOLECCION GARANTIA",M527="COMPENSACION"),0,1)</f>
        <v>1</v>
      </c>
      <c r="D527" s="10" t="s">
        <v>2303</v>
      </c>
      <c r="J527" s="0" t="s">
        <v>1193</v>
      </c>
      <c r="K527" s="0" t="s">
        <v>345</v>
      </c>
      <c r="L527" s="0" t="s">
        <v>369</v>
      </c>
      <c r="M527" s="0" t="s">
        <v>370</v>
      </c>
      <c r="N527" s="0" t="n">
        <v>1</v>
      </c>
      <c r="P527" s="0" t="s">
        <v>249</v>
      </c>
      <c r="Q527" s="0" t="s">
        <v>348</v>
      </c>
      <c r="R527" s="0" t="s">
        <v>371</v>
      </c>
      <c r="V527" s="0" t="s">
        <v>2304</v>
      </c>
      <c r="W527" s="0" t="n">
        <v>0</v>
      </c>
      <c r="Y527" s="0" t="s">
        <v>143</v>
      </c>
      <c r="AG527" s="0" t="s">
        <v>2</v>
      </c>
      <c r="AL527" s="13" t="n">
        <v>29075.6303</v>
      </c>
      <c r="AM527" s="45" t="n">
        <v>38.5742</v>
      </c>
      <c r="AN527" s="46" t="n">
        <v>21253.33</v>
      </c>
      <c r="AO527" s="46" t="n">
        <v>3393.39</v>
      </c>
      <c r="AR527" s="0" t="s">
        <v>2312</v>
      </c>
      <c r="AZ527" s="0" t="s">
        <v>257</v>
      </c>
      <c r="BA527" s="0" t="s">
        <v>257</v>
      </c>
      <c r="BB527" s="0" t="s">
        <v>90</v>
      </c>
      <c r="BC527" s="0" t="s">
        <v>150</v>
      </c>
      <c r="BD527" s="15" t="s">
        <v>2310</v>
      </c>
      <c r="BE527" s="37" t="s">
        <v>152</v>
      </c>
    </row>
    <row r="528" customFormat="false" ht="16.4" hidden="false" customHeight="false" outlineLevel="0" collapsed="false">
      <c r="A528" s="36" t="n">
        <f aca="false">IF(B528=0,"",MAX($A$3:A527)+1)</f>
        <v>421</v>
      </c>
      <c r="B528" s="36" t="n">
        <f aca="false">IF(OR(M528="FLETE",M528="FLETE ENVIO GARANTIA",M528="FLETE RECOLECCION GARANTIA",M528="COMPENSACION"),0,1)</f>
        <v>1</v>
      </c>
      <c r="D528" s="10" t="s">
        <v>2303</v>
      </c>
      <c r="J528" s="0" t="s">
        <v>1193</v>
      </c>
      <c r="K528" s="0" t="s">
        <v>345</v>
      </c>
      <c r="L528" s="0" t="s">
        <v>372</v>
      </c>
      <c r="M528" s="0" t="s">
        <v>373</v>
      </c>
      <c r="N528" s="0" t="n">
        <v>1</v>
      </c>
      <c r="P528" s="0" t="s">
        <v>249</v>
      </c>
      <c r="Q528" s="0" t="s">
        <v>348</v>
      </c>
      <c r="R528" s="0" t="s">
        <v>374</v>
      </c>
      <c r="V528" s="0" t="s">
        <v>2304</v>
      </c>
      <c r="W528" s="0" t="n">
        <v>0</v>
      </c>
      <c r="Y528" s="0" t="s">
        <v>143</v>
      </c>
      <c r="AG528" s="0" t="s">
        <v>2</v>
      </c>
      <c r="AL528" s="13" t="n">
        <v>21176.4706</v>
      </c>
      <c r="AM528" s="45" t="n">
        <v>38.5742</v>
      </c>
      <c r="AN528" s="46" t="n">
        <v>15479.31</v>
      </c>
      <c r="AO528" s="46" t="n">
        <v>2471.49</v>
      </c>
      <c r="AR528" s="0" t="s">
        <v>2313</v>
      </c>
      <c r="AZ528" s="0" t="s">
        <v>257</v>
      </c>
      <c r="BA528" s="0" t="s">
        <v>257</v>
      </c>
      <c r="BB528" s="0" t="s">
        <v>90</v>
      </c>
      <c r="BC528" s="0" t="s">
        <v>150</v>
      </c>
      <c r="BD528" s="15" t="s">
        <v>2310</v>
      </c>
      <c r="BE528" s="37" t="s">
        <v>152</v>
      </c>
    </row>
    <row r="529" customFormat="false" ht="16.4" hidden="false" customHeight="false" outlineLevel="0" collapsed="false">
      <c r="A529" s="36" t="str">
        <f aca="false">IF(B529=0,"",MAX($A$3:A528)+1)</f>
        <v/>
      </c>
      <c r="B529" s="36" t="n">
        <f aca="false">IF(OR(M529="FLETE",M529="FLETE ENVIO GARANTIA",M529="FLETE RECOLECCION GARANTIA",M529="COMPENSACION"),0,1)</f>
        <v>0</v>
      </c>
      <c r="D529" s="10" t="s">
        <v>2303</v>
      </c>
      <c r="J529" s="0" t="s">
        <v>1193</v>
      </c>
      <c r="K529" s="0" t="s">
        <v>93</v>
      </c>
      <c r="L529" s="0" t="s">
        <v>210</v>
      </c>
      <c r="M529" s="0" t="s">
        <v>211</v>
      </c>
      <c r="N529" s="0" t="n">
        <v>1</v>
      </c>
      <c r="P529" s="0" t="s">
        <v>73</v>
      </c>
      <c r="R529" s="0" t="s">
        <v>211</v>
      </c>
      <c r="V529" s="0" t="s">
        <v>2304</v>
      </c>
      <c r="W529" s="0" t="n">
        <v>0</v>
      </c>
      <c r="Y529" s="0" t="s">
        <v>143</v>
      </c>
      <c r="AG529" s="0" t="s">
        <v>2</v>
      </c>
      <c r="AL529" s="13" t="n">
        <v>50000</v>
      </c>
      <c r="AM529" s="45" t="n">
        <v>0</v>
      </c>
      <c r="AN529" s="46" t="n">
        <v>50000</v>
      </c>
      <c r="AO529" s="46" t="n">
        <v>0</v>
      </c>
      <c r="AR529" s="0" t="s">
        <v>2314</v>
      </c>
      <c r="AZ529" s="0" t="s">
        <v>89</v>
      </c>
      <c r="BA529" s="0" t="s">
        <v>89</v>
      </c>
      <c r="BB529" s="0" t="s">
        <v>90</v>
      </c>
      <c r="BC529" s="0" t="s">
        <v>150</v>
      </c>
      <c r="BD529" s="15" t="s">
        <v>2310</v>
      </c>
      <c r="BE529" s="37" t="s">
        <v>152</v>
      </c>
    </row>
    <row r="530" customFormat="false" ht="16.4" hidden="false" customHeight="false" outlineLevel="0" collapsed="false">
      <c r="A530" s="36" t="n">
        <f aca="false">IF(B530=0,"",MAX($A$3:A529)+1)</f>
        <v>422</v>
      </c>
      <c r="B530" s="36" t="n">
        <f aca="false">IF(OR(M530="FLETE",M530="FLETE ENVIO GARANTIA",M530="FLETE RECOLECCION GARANTIA",M530="COMPENSACION"),0,1)</f>
        <v>1</v>
      </c>
      <c r="D530" s="10" t="s">
        <v>2303</v>
      </c>
      <c r="J530" s="0" t="s">
        <v>1193</v>
      </c>
      <c r="K530" s="0" t="s">
        <v>479</v>
      </c>
      <c r="L530" s="0" t="s">
        <v>2315</v>
      </c>
      <c r="M530" s="0" t="s">
        <v>2316</v>
      </c>
      <c r="N530" s="0" t="n">
        <v>2</v>
      </c>
      <c r="P530" s="0" t="s">
        <v>217</v>
      </c>
      <c r="Q530" s="0" t="s">
        <v>482</v>
      </c>
      <c r="R530" s="0" t="s">
        <v>855</v>
      </c>
      <c r="S530" s="0" t="s">
        <v>454</v>
      </c>
      <c r="T530" s="0" t="s">
        <v>236</v>
      </c>
      <c r="U530" s="0" t="s">
        <v>199</v>
      </c>
      <c r="V530" s="0" t="s">
        <v>2304</v>
      </c>
      <c r="W530" s="0" t="n">
        <v>0</v>
      </c>
      <c r="Y530" s="0" t="s">
        <v>143</v>
      </c>
      <c r="AG530" s="0" t="s">
        <v>2</v>
      </c>
      <c r="AL530" s="13" t="n">
        <v>519831.9328</v>
      </c>
      <c r="AM530" s="45" t="n">
        <v>25</v>
      </c>
      <c r="AN530" s="46" t="n">
        <v>927900</v>
      </c>
      <c r="AO530" s="46" t="n">
        <v>148152.1</v>
      </c>
      <c r="AR530" s="0" t="s">
        <v>2317</v>
      </c>
      <c r="AZ530" s="0" t="s">
        <v>89</v>
      </c>
      <c r="BA530" s="0" t="s">
        <v>89</v>
      </c>
      <c r="BB530" s="0" t="s">
        <v>90</v>
      </c>
      <c r="BC530" s="0" t="s">
        <v>150</v>
      </c>
      <c r="BD530" s="15" t="s">
        <v>2310</v>
      </c>
      <c r="BE530" s="37" t="s">
        <v>152</v>
      </c>
    </row>
    <row r="531" customFormat="false" ht="16.4" hidden="false" customHeight="false" outlineLevel="0" collapsed="false">
      <c r="A531" s="36" t="n">
        <f aca="false">IF(B531=0,"",MAX($A$3:A530)+1)</f>
        <v>423</v>
      </c>
      <c r="B531" s="36" t="n">
        <f aca="false">IF(OR(M531="FLETE",M531="FLETE ENVIO GARANTIA",M531="FLETE RECOLECCION GARANTIA",M531="COMPENSACION"),0,1)</f>
        <v>1</v>
      </c>
      <c r="D531" s="10" t="s">
        <v>2303</v>
      </c>
      <c r="J531" s="0" t="s">
        <v>1193</v>
      </c>
      <c r="K531" s="0" t="s">
        <v>663</v>
      </c>
      <c r="L531" s="0" t="s">
        <v>2318</v>
      </c>
      <c r="M531" s="0" t="s">
        <v>2319</v>
      </c>
      <c r="N531" s="0" t="n">
        <v>1</v>
      </c>
      <c r="P531" s="0" t="s">
        <v>217</v>
      </c>
      <c r="Q531" s="0" t="s">
        <v>640</v>
      </c>
      <c r="R531" s="0" t="s">
        <v>855</v>
      </c>
      <c r="S531" s="0" t="s">
        <v>454</v>
      </c>
      <c r="T531" s="0" t="s">
        <v>449</v>
      </c>
      <c r="U531" s="0" t="s">
        <v>199</v>
      </c>
      <c r="V531" s="0" t="s">
        <v>2304</v>
      </c>
      <c r="W531" s="0" t="n">
        <v>0</v>
      </c>
      <c r="Y531" s="0" t="s">
        <v>143</v>
      </c>
      <c r="AG531" s="0" t="s">
        <v>2</v>
      </c>
      <c r="AL531" s="13" t="n">
        <v>393193.2773</v>
      </c>
      <c r="AM531" s="45" t="n">
        <v>25</v>
      </c>
      <c r="AN531" s="46" t="n">
        <v>350925</v>
      </c>
      <c r="AO531" s="46" t="n">
        <v>56030.04</v>
      </c>
      <c r="AR531" s="0" t="s">
        <v>2320</v>
      </c>
      <c r="AZ531" s="0" t="s">
        <v>89</v>
      </c>
      <c r="BA531" s="0" t="s">
        <v>89</v>
      </c>
      <c r="BB531" s="0" t="s">
        <v>90</v>
      </c>
      <c r="BC531" s="0" t="s">
        <v>150</v>
      </c>
      <c r="BD531" s="15" t="s">
        <v>2310</v>
      </c>
      <c r="BE531" s="37" t="s">
        <v>152</v>
      </c>
    </row>
    <row r="532" customFormat="false" ht="16.4" hidden="false" customHeight="false" outlineLevel="0" collapsed="false">
      <c r="A532" s="36" t="n">
        <f aca="false">IF(B532=0,"",MAX($A$3:A531)+1)</f>
        <v>424</v>
      </c>
      <c r="B532" s="36" t="n">
        <f aca="false">IF(OR(M532="FLETE",M532="FLETE ENVIO GARANTIA",M532="FLETE RECOLECCION GARANTIA",M532="COMPENSACION"),0,1)</f>
        <v>1</v>
      </c>
      <c r="D532" s="10" t="s">
        <v>2303</v>
      </c>
      <c r="J532" s="0" t="s">
        <v>1193</v>
      </c>
      <c r="K532" s="0" t="s">
        <v>529</v>
      </c>
      <c r="L532" s="0" t="s">
        <v>2321</v>
      </c>
      <c r="M532" s="0" t="s">
        <v>2322</v>
      </c>
      <c r="N532" s="0" t="n">
        <v>1</v>
      </c>
      <c r="P532" s="0" t="s">
        <v>217</v>
      </c>
      <c r="Q532" s="0" t="s">
        <v>541</v>
      </c>
      <c r="R532" s="0" t="s">
        <v>600</v>
      </c>
      <c r="T532" s="0" t="s">
        <v>198</v>
      </c>
      <c r="U532" s="0" t="s">
        <v>199</v>
      </c>
      <c r="V532" s="0" t="s">
        <v>2304</v>
      </c>
      <c r="W532" s="0" t="n">
        <v>0</v>
      </c>
      <c r="Y532" s="0" t="s">
        <v>143</v>
      </c>
      <c r="AG532" s="0" t="s">
        <v>2</v>
      </c>
      <c r="AL532" s="13" t="n">
        <v>454759.916</v>
      </c>
      <c r="AM532" s="45" t="n">
        <v>33</v>
      </c>
      <c r="AN532" s="46" t="n">
        <v>362580.08</v>
      </c>
      <c r="AO532" s="46" t="n">
        <v>57890.94</v>
      </c>
      <c r="AR532" s="0" t="s">
        <v>2323</v>
      </c>
      <c r="AZ532" s="0" t="s">
        <v>89</v>
      </c>
      <c r="BA532" s="0" t="s">
        <v>89</v>
      </c>
      <c r="BB532" s="0" t="s">
        <v>90</v>
      </c>
      <c r="BC532" s="0" t="s">
        <v>150</v>
      </c>
      <c r="BD532" s="15" t="s">
        <v>2310</v>
      </c>
      <c r="BE532" s="37" t="s">
        <v>152</v>
      </c>
    </row>
    <row r="533" customFormat="false" ht="16.4" hidden="false" customHeight="false" outlineLevel="0" collapsed="false">
      <c r="A533" s="36" t="n">
        <f aca="false">IF(B533=0,"",MAX($A$3:A532)+1)</f>
        <v>425</v>
      </c>
      <c r="B533" s="36" t="n">
        <f aca="false">IF(OR(M533="FLETE",M533="FLETE ENVIO GARANTIA",M533="FLETE RECOLECCION GARANTIA",M533="COMPENSACION"),0,1)</f>
        <v>1</v>
      </c>
      <c r="D533" s="10" t="s">
        <v>2303</v>
      </c>
      <c r="J533" s="0" t="s">
        <v>1193</v>
      </c>
      <c r="K533" s="0" t="s">
        <v>246</v>
      </c>
      <c r="L533" s="0" t="s">
        <v>2324</v>
      </c>
      <c r="M533" s="0" t="s">
        <v>2325</v>
      </c>
      <c r="N533" s="0" t="n">
        <v>2</v>
      </c>
      <c r="P533" s="0" t="s">
        <v>249</v>
      </c>
      <c r="Q533" s="0" t="s">
        <v>250</v>
      </c>
      <c r="R533" s="0" t="s">
        <v>738</v>
      </c>
      <c r="S533" s="0" t="s">
        <v>454</v>
      </c>
      <c r="T533" s="0" t="s">
        <v>236</v>
      </c>
      <c r="V533" s="0" t="s">
        <v>2304</v>
      </c>
      <c r="W533" s="0" t="n">
        <v>0</v>
      </c>
      <c r="Y533" s="0" t="s">
        <v>143</v>
      </c>
      <c r="AG533" s="0" t="s">
        <v>2</v>
      </c>
      <c r="AL533" s="13" t="n">
        <v>53697.479</v>
      </c>
      <c r="AM533" s="45" t="n">
        <v>25</v>
      </c>
      <c r="AN533" s="46" t="n">
        <v>95850</v>
      </c>
      <c r="AO533" s="46" t="n">
        <v>15303.78</v>
      </c>
      <c r="AR533" s="0" t="s">
        <v>2326</v>
      </c>
      <c r="AZ533" s="0" t="s">
        <v>89</v>
      </c>
      <c r="BA533" s="0" t="s">
        <v>89</v>
      </c>
      <c r="BB533" s="0" t="s">
        <v>90</v>
      </c>
      <c r="BC533" s="0" t="s">
        <v>150</v>
      </c>
      <c r="BD533" s="15" t="s">
        <v>2310</v>
      </c>
      <c r="BE533" s="37" t="s">
        <v>152</v>
      </c>
    </row>
    <row r="534" customFormat="false" ht="16.4" hidden="false" customHeight="false" outlineLevel="0" collapsed="false">
      <c r="A534" s="36" t="n">
        <f aca="false">IF(B534=0,"",MAX($A$3:A533)+1)</f>
        <v>426</v>
      </c>
      <c r="B534" s="36" t="n">
        <f aca="false">IF(OR(M534="FLETE",M534="FLETE ENVIO GARANTIA",M534="FLETE RECOLECCION GARANTIA",M534="COMPENSACION"),0,1)</f>
        <v>1</v>
      </c>
      <c r="D534" s="10" t="s">
        <v>2303</v>
      </c>
      <c r="J534" s="0" t="s">
        <v>1193</v>
      </c>
      <c r="K534" s="0" t="s">
        <v>246</v>
      </c>
      <c r="L534" s="0" t="s">
        <v>2327</v>
      </c>
      <c r="M534" s="0" t="s">
        <v>2328</v>
      </c>
      <c r="N534" s="0" t="n">
        <v>1</v>
      </c>
      <c r="P534" s="0" t="s">
        <v>249</v>
      </c>
      <c r="Q534" s="0" t="s">
        <v>250</v>
      </c>
      <c r="R534" s="0" t="s">
        <v>738</v>
      </c>
      <c r="S534" s="0" t="s">
        <v>454</v>
      </c>
      <c r="T534" s="0" t="s">
        <v>449</v>
      </c>
      <c r="V534" s="0" t="s">
        <v>2304</v>
      </c>
      <c r="W534" s="0" t="n">
        <v>0</v>
      </c>
      <c r="Y534" s="0" t="s">
        <v>143</v>
      </c>
      <c r="AG534" s="0" t="s">
        <v>2</v>
      </c>
      <c r="AL534" s="13" t="n">
        <v>53697.479</v>
      </c>
      <c r="AM534" s="45" t="n">
        <v>25</v>
      </c>
      <c r="AN534" s="46" t="n">
        <v>47925</v>
      </c>
      <c r="AO534" s="46" t="n">
        <v>7651.89</v>
      </c>
      <c r="AR534" s="0" t="s">
        <v>2329</v>
      </c>
      <c r="AZ534" s="0" t="s">
        <v>89</v>
      </c>
      <c r="BA534" s="0" t="s">
        <v>89</v>
      </c>
      <c r="BB534" s="0" t="s">
        <v>90</v>
      </c>
      <c r="BC534" s="0" t="s">
        <v>150</v>
      </c>
      <c r="BD534" s="15" t="s">
        <v>2310</v>
      </c>
      <c r="BE534" s="37" t="s">
        <v>152</v>
      </c>
    </row>
    <row r="535" customFormat="false" ht="16.4" hidden="false" customHeight="false" outlineLevel="0" collapsed="false">
      <c r="A535" s="36" t="n">
        <f aca="false">IF(B535=0,"",MAX($A$3:A534)+1)</f>
        <v>427</v>
      </c>
      <c r="B535" s="36" t="n">
        <f aca="false">IF(OR(M535="FLETE",M535="FLETE ENVIO GARANTIA",M535="FLETE RECOLECCION GARANTIA",M535="COMPENSACION"),0,1)</f>
        <v>1</v>
      </c>
      <c r="D535" s="10" t="s">
        <v>2303</v>
      </c>
      <c r="J535" s="0" t="s">
        <v>1193</v>
      </c>
      <c r="K535" s="0" t="s">
        <v>943</v>
      </c>
      <c r="L535" s="0" t="s">
        <v>2330</v>
      </c>
      <c r="M535" s="0" t="s">
        <v>2331</v>
      </c>
      <c r="N535" s="0" t="n">
        <v>1</v>
      </c>
      <c r="P535" s="0" t="s">
        <v>195</v>
      </c>
      <c r="Q535" s="0" t="s">
        <v>893</v>
      </c>
      <c r="R535" s="0" t="s">
        <v>969</v>
      </c>
      <c r="S535" s="0" t="s">
        <v>158</v>
      </c>
      <c r="T535" s="0" t="s">
        <v>513</v>
      </c>
      <c r="V535" s="0" t="s">
        <v>2304</v>
      </c>
      <c r="W535" s="0" t="n">
        <v>0</v>
      </c>
      <c r="Y535" s="0" t="s">
        <v>143</v>
      </c>
      <c r="AG535" s="0" t="s">
        <v>2</v>
      </c>
      <c r="AL535" s="13" t="n">
        <v>1783667.479</v>
      </c>
      <c r="AM535" s="45" t="n">
        <v>25</v>
      </c>
      <c r="AN535" s="46" t="n">
        <v>1591923.23</v>
      </c>
      <c r="AO535" s="46" t="n">
        <v>254172.62</v>
      </c>
      <c r="AR535" s="0" t="s">
        <v>2332</v>
      </c>
      <c r="AZ535" s="0" t="s">
        <v>89</v>
      </c>
      <c r="BA535" s="0" t="s">
        <v>89</v>
      </c>
      <c r="BB535" s="0" t="s">
        <v>90</v>
      </c>
      <c r="BC535" s="0" t="s">
        <v>150</v>
      </c>
      <c r="BD535" s="15" t="s">
        <v>2310</v>
      </c>
      <c r="BE535" s="37" t="s">
        <v>152</v>
      </c>
    </row>
    <row r="536" customFormat="false" ht="16.4" hidden="false" customHeight="false" outlineLevel="0" collapsed="false">
      <c r="A536" s="36" t="n">
        <f aca="false">IF(B536=0,"",MAX($A$3:A535)+1)</f>
        <v>428</v>
      </c>
      <c r="B536" s="36" t="n">
        <f aca="false">IF(OR(M536="FLETE",M536="FLETE ENVIO GARANTIA",M536="FLETE RECOLECCION GARANTIA",M536="COMPENSACION"),0,1)</f>
        <v>1</v>
      </c>
      <c r="C536" s="0" t="s">
        <v>2333</v>
      </c>
      <c r="D536" s="10" t="s">
        <v>2334</v>
      </c>
      <c r="E536" s="11" t="n">
        <v>45584</v>
      </c>
      <c r="F536" s="11" t="n">
        <v>45622</v>
      </c>
      <c r="G536" s="11" t="n">
        <v>45719</v>
      </c>
      <c r="H536" s="11" t="n">
        <v>45623</v>
      </c>
      <c r="I536" s="11" t="n">
        <v>45623</v>
      </c>
      <c r="J536" s="0" t="s">
        <v>1250</v>
      </c>
      <c r="K536" s="0" t="s">
        <v>135</v>
      </c>
      <c r="L536" s="0" t="s">
        <v>2335</v>
      </c>
      <c r="M536" s="0" t="s">
        <v>2336</v>
      </c>
      <c r="N536" s="0" t="n">
        <v>1</v>
      </c>
      <c r="P536" s="0" t="s">
        <v>138</v>
      </c>
      <c r="Q536" s="0" t="s">
        <v>139</v>
      </c>
      <c r="R536" s="0" t="s">
        <v>1290</v>
      </c>
      <c r="T536" s="0" t="s">
        <v>198</v>
      </c>
      <c r="U536" s="0" t="s">
        <v>437</v>
      </c>
      <c r="V536" s="0" t="s">
        <v>2337</v>
      </c>
      <c r="W536" s="0" t="n">
        <v>0</v>
      </c>
      <c r="Y536" s="0" t="s">
        <v>143</v>
      </c>
      <c r="AB536" s="0" t="n">
        <v>1057185462</v>
      </c>
      <c r="AC536" s="0" t="s">
        <v>2338</v>
      </c>
      <c r="AD536" s="0" t="s">
        <v>2339</v>
      </c>
      <c r="AE536" s="0" t="s">
        <v>2340</v>
      </c>
      <c r="AG536" s="0" t="s">
        <v>3</v>
      </c>
      <c r="AH536" s="0" t="n">
        <v>12</v>
      </c>
      <c r="AI536" s="0" t="s">
        <v>2341</v>
      </c>
      <c r="AK536" s="0" t="s">
        <v>85</v>
      </c>
      <c r="AL536" s="13" t="n">
        <v>582521.0084</v>
      </c>
      <c r="AM536" s="45" t="n">
        <v>25</v>
      </c>
      <c r="AN536" s="46" t="n">
        <v>519900</v>
      </c>
      <c r="AO536" s="46" t="n">
        <v>83009.24</v>
      </c>
      <c r="AP536" s="0" t="s">
        <v>2342</v>
      </c>
      <c r="AQ536" s="0" t="s">
        <v>1999</v>
      </c>
      <c r="AR536" s="0" t="s">
        <v>2343</v>
      </c>
      <c r="AS536" s="0" t="n">
        <v>8541697.01</v>
      </c>
      <c r="AT536" s="0" t="s">
        <v>2338</v>
      </c>
      <c r="AU536" s="0" t="s">
        <v>143</v>
      </c>
      <c r="AV536" s="0" t="s">
        <v>2340</v>
      </c>
      <c r="AW536" s="0" t="s">
        <v>2339</v>
      </c>
      <c r="AX536" s="0" t="s">
        <v>2337</v>
      </c>
      <c r="AY536" s="0" t="n">
        <v>1057185462</v>
      </c>
      <c r="AZ536" s="0" t="s">
        <v>89</v>
      </c>
      <c r="BA536" s="0" t="s">
        <v>89</v>
      </c>
      <c r="BB536" s="0" t="s">
        <v>90</v>
      </c>
      <c r="BC536" s="0" t="s">
        <v>150</v>
      </c>
      <c r="BD536" s="15" t="s">
        <v>2344</v>
      </c>
      <c r="BE536" s="37" t="s">
        <v>152</v>
      </c>
    </row>
    <row r="537" customFormat="false" ht="16.4" hidden="false" customHeight="false" outlineLevel="0" collapsed="false">
      <c r="A537" s="36" t="n">
        <f aca="false">IF(B537=0,"",MAX($A$3:A536)+1)</f>
        <v>429</v>
      </c>
      <c r="B537" s="36" t="n">
        <f aca="false">IF(OR(M537="FLETE",M537="FLETE ENVIO GARANTIA",M537="FLETE RECOLECCION GARANTIA",M537="COMPENSACION"),0,1)</f>
        <v>1</v>
      </c>
      <c r="D537" s="10" t="s">
        <v>2334</v>
      </c>
      <c r="J537" s="0" t="s">
        <v>1250</v>
      </c>
      <c r="K537" s="0" t="s">
        <v>697</v>
      </c>
      <c r="L537" s="0" t="s">
        <v>2345</v>
      </c>
      <c r="M537" s="0" t="s">
        <v>2346</v>
      </c>
      <c r="N537" s="0" t="n">
        <v>2</v>
      </c>
      <c r="P537" s="0" t="s">
        <v>195</v>
      </c>
      <c r="Q537" s="0" t="s">
        <v>700</v>
      </c>
      <c r="R537" s="0" t="s">
        <v>1436</v>
      </c>
      <c r="T537" s="0" t="s">
        <v>563</v>
      </c>
      <c r="U537" s="0" t="s">
        <v>437</v>
      </c>
      <c r="V537" s="0" t="s">
        <v>2337</v>
      </c>
      <c r="W537" s="0" t="n">
        <v>0</v>
      </c>
      <c r="Y537" s="0" t="s">
        <v>143</v>
      </c>
      <c r="AG537" s="0" t="s">
        <v>3</v>
      </c>
      <c r="AL537" s="13" t="n">
        <v>355126.0504</v>
      </c>
      <c r="AM537" s="45" t="n">
        <v>25</v>
      </c>
      <c r="AN537" s="46" t="n">
        <v>633900.01</v>
      </c>
      <c r="AO537" s="46" t="n">
        <v>101210.93</v>
      </c>
      <c r="AR537" s="0" t="s">
        <v>2347</v>
      </c>
      <c r="AZ537" s="0" t="s">
        <v>89</v>
      </c>
      <c r="BA537" s="0" t="s">
        <v>89</v>
      </c>
      <c r="BB537" s="0" t="s">
        <v>90</v>
      </c>
      <c r="BC537" s="0" t="s">
        <v>150</v>
      </c>
      <c r="BD537" s="15" t="s">
        <v>2344</v>
      </c>
      <c r="BE537" s="37" t="s">
        <v>152</v>
      </c>
    </row>
    <row r="538" customFormat="false" ht="16.4" hidden="false" customHeight="false" outlineLevel="0" collapsed="false">
      <c r="A538" s="36" t="n">
        <f aca="false">IF(B538=0,"",MAX($A$3:A537)+1)</f>
        <v>430</v>
      </c>
      <c r="B538" s="36" t="n">
        <f aca="false">IF(OR(M538="FLETE",M538="FLETE ENVIO GARANTIA",M538="FLETE RECOLECCION GARANTIA",M538="COMPENSACION"),0,1)</f>
        <v>1</v>
      </c>
      <c r="D538" s="10" t="s">
        <v>2334</v>
      </c>
      <c r="J538" s="0" t="s">
        <v>1250</v>
      </c>
      <c r="K538" s="0" t="s">
        <v>943</v>
      </c>
      <c r="L538" s="0" t="s">
        <v>2348</v>
      </c>
      <c r="M538" s="0" t="s">
        <v>2349</v>
      </c>
      <c r="N538" s="0" t="n">
        <v>1</v>
      </c>
      <c r="P538" s="0" t="s">
        <v>195</v>
      </c>
      <c r="Q538" s="0" t="s">
        <v>893</v>
      </c>
      <c r="R538" s="0" t="s">
        <v>2350</v>
      </c>
      <c r="S538" s="0" t="s">
        <v>435</v>
      </c>
      <c r="T538" s="0" t="s">
        <v>449</v>
      </c>
      <c r="V538" s="0" t="s">
        <v>2337</v>
      </c>
      <c r="W538" s="0" t="n">
        <v>0</v>
      </c>
      <c r="Y538" s="0" t="s">
        <v>143</v>
      </c>
      <c r="AG538" s="0" t="s">
        <v>3</v>
      </c>
      <c r="AL538" s="13" t="n">
        <v>1650336.1345</v>
      </c>
      <c r="AM538" s="45" t="n">
        <v>25</v>
      </c>
      <c r="AN538" s="46" t="n">
        <v>1472925</v>
      </c>
      <c r="AO538" s="46" t="n">
        <v>235172.9</v>
      </c>
      <c r="AR538" s="0" t="s">
        <v>2351</v>
      </c>
      <c r="AZ538" s="0" t="s">
        <v>89</v>
      </c>
      <c r="BA538" s="0" t="s">
        <v>89</v>
      </c>
      <c r="BB538" s="0" t="s">
        <v>90</v>
      </c>
      <c r="BC538" s="0" t="s">
        <v>150</v>
      </c>
      <c r="BD538" s="15" t="s">
        <v>2344</v>
      </c>
      <c r="BE538" s="37" t="s">
        <v>152</v>
      </c>
    </row>
    <row r="539" customFormat="false" ht="16.4" hidden="false" customHeight="false" outlineLevel="0" collapsed="false">
      <c r="A539" s="36" t="n">
        <f aca="false">IF(B539=0,"",MAX($A$3:A538)+1)</f>
        <v>431</v>
      </c>
      <c r="B539" s="36" t="n">
        <f aca="false">IF(OR(M539="FLETE",M539="FLETE ENVIO GARANTIA",M539="FLETE RECOLECCION GARANTIA",M539="COMPENSACION"),0,1)</f>
        <v>1</v>
      </c>
      <c r="D539" s="10" t="s">
        <v>2334</v>
      </c>
      <c r="J539" s="0" t="s">
        <v>1250</v>
      </c>
      <c r="K539" s="0" t="s">
        <v>246</v>
      </c>
      <c r="L539" s="0" t="s">
        <v>2352</v>
      </c>
      <c r="M539" s="0" t="s">
        <v>2353</v>
      </c>
      <c r="N539" s="0" t="n">
        <v>2</v>
      </c>
      <c r="P539" s="0" t="s">
        <v>249</v>
      </c>
      <c r="Q539" s="0" t="s">
        <v>250</v>
      </c>
      <c r="R539" s="0" t="s">
        <v>738</v>
      </c>
      <c r="S539" s="0" t="s">
        <v>158</v>
      </c>
      <c r="T539" s="0" t="s">
        <v>159</v>
      </c>
      <c r="V539" s="0" t="s">
        <v>2337</v>
      </c>
      <c r="W539" s="0" t="n">
        <v>0</v>
      </c>
      <c r="Y539" s="0" t="s">
        <v>143</v>
      </c>
      <c r="AG539" s="0" t="s">
        <v>3</v>
      </c>
      <c r="AL539" s="13" t="n">
        <v>53697.479</v>
      </c>
      <c r="AM539" s="45" t="n">
        <v>100</v>
      </c>
      <c r="AN539" s="46"/>
      <c r="AO539" s="46" t="n">
        <v>0</v>
      </c>
      <c r="AR539" s="0" t="s">
        <v>2354</v>
      </c>
      <c r="AZ539" s="0" t="s">
        <v>89</v>
      </c>
      <c r="BA539" s="0" t="s">
        <v>89</v>
      </c>
      <c r="BB539" s="0" t="s">
        <v>90</v>
      </c>
      <c r="BC539" s="0" t="s">
        <v>150</v>
      </c>
      <c r="BD539" s="15" t="s">
        <v>2344</v>
      </c>
      <c r="BE539" s="37" t="s">
        <v>152</v>
      </c>
    </row>
    <row r="540" customFormat="false" ht="16.4" hidden="false" customHeight="false" outlineLevel="0" collapsed="false">
      <c r="A540" s="36" t="n">
        <f aca="false">IF(B540=0,"",MAX($A$3:A539)+1)</f>
        <v>432</v>
      </c>
      <c r="B540" s="36" t="n">
        <f aca="false">IF(OR(M540="FLETE",M540="FLETE ENVIO GARANTIA",M540="FLETE RECOLECCION GARANTIA",M540="COMPENSACION"),0,1)</f>
        <v>1</v>
      </c>
      <c r="D540" s="10" t="s">
        <v>2334</v>
      </c>
      <c r="J540" s="0" t="s">
        <v>1250</v>
      </c>
      <c r="K540" s="0" t="s">
        <v>493</v>
      </c>
      <c r="L540" s="0" t="s">
        <v>2355</v>
      </c>
      <c r="M540" s="0" t="s">
        <v>2356</v>
      </c>
      <c r="N540" s="0" t="n">
        <v>4</v>
      </c>
      <c r="P540" s="0" t="s">
        <v>138</v>
      </c>
      <c r="Q540" s="0" t="s">
        <v>496</v>
      </c>
      <c r="R540" s="0" t="s">
        <v>497</v>
      </c>
      <c r="S540" s="0" t="s">
        <v>158</v>
      </c>
      <c r="T540" s="0" t="s">
        <v>159</v>
      </c>
      <c r="U540" s="0" t="s">
        <v>437</v>
      </c>
      <c r="V540" s="0" t="s">
        <v>2337</v>
      </c>
      <c r="W540" s="0" t="n">
        <v>0</v>
      </c>
      <c r="Y540" s="0" t="s">
        <v>143</v>
      </c>
      <c r="AG540" s="0" t="s">
        <v>3</v>
      </c>
      <c r="AL540" s="13" t="n">
        <v>503025.2101</v>
      </c>
      <c r="AM540" s="45" t="n">
        <v>33</v>
      </c>
      <c r="AN540" s="46" t="n">
        <v>1604248</v>
      </c>
      <c r="AO540" s="46" t="n">
        <v>256140.44</v>
      </c>
      <c r="AR540" s="0" t="s">
        <v>2357</v>
      </c>
      <c r="AZ540" s="0" t="s">
        <v>89</v>
      </c>
      <c r="BA540" s="0" t="s">
        <v>89</v>
      </c>
      <c r="BB540" s="0" t="s">
        <v>90</v>
      </c>
      <c r="BC540" s="0" t="s">
        <v>150</v>
      </c>
      <c r="BD540" s="15" t="s">
        <v>2344</v>
      </c>
      <c r="BE540" s="37" t="s">
        <v>152</v>
      </c>
    </row>
    <row r="541" customFormat="false" ht="16.4" hidden="false" customHeight="false" outlineLevel="0" collapsed="false">
      <c r="A541" s="36" t="n">
        <f aca="false">IF(B541=0,"",MAX($A$3:A540)+1)</f>
        <v>433</v>
      </c>
      <c r="B541" s="36" t="n">
        <f aca="false">IF(OR(M541="FLETE",M541="FLETE ENVIO GARANTIA",M541="FLETE RECOLECCION GARANTIA",M541="COMPENSACION"),0,1)</f>
        <v>1</v>
      </c>
      <c r="D541" s="10" t="s">
        <v>2334</v>
      </c>
      <c r="J541" s="0" t="s">
        <v>1250</v>
      </c>
      <c r="K541" s="0" t="s">
        <v>493</v>
      </c>
      <c r="L541" s="0" t="s">
        <v>2358</v>
      </c>
      <c r="M541" s="0" t="s">
        <v>2359</v>
      </c>
      <c r="N541" s="0" t="n">
        <v>2</v>
      </c>
      <c r="P541" s="0" t="s">
        <v>138</v>
      </c>
      <c r="Q541" s="0" t="s">
        <v>496</v>
      </c>
      <c r="R541" s="0" t="s">
        <v>579</v>
      </c>
      <c r="S541" s="0" t="s">
        <v>158</v>
      </c>
      <c r="T541" s="0" t="s">
        <v>719</v>
      </c>
      <c r="U541" s="0" t="s">
        <v>437</v>
      </c>
      <c r="V541" s="0" t="s">
        <v>2337</v>
      </c>
      <c r="W541" s="0" t="n">
        <v>0</v>
      </c>
      <c r="Y541" s="0" t="s">
        <v>143</v>
      </c>
      <c r="AG541" s="0" t="s">
        <v>3</v>
      </c>
      <c r="AL541" s="13" t="n">
        <v>494033.6134</v>
      </c>
      <c r="AM541" s="45" t="n">
        <v>25</v>
      </c>
      <c r="AN541" s="46" t="n">
        <v>881850</v>
      </c>
      <c r="AO541" s="46" t="n">
        <v>140799.58</v>
      </c>
      <c r="AR541" s="0" t="s">
        <v>2360</v>
      </c>
      <c r="AZ541" s="0" t="s">
        <v>89</v>
      </c>
      <c r="BA541" s="0" t="s">
        <v>89</v>
      </c>
      <c r="BB541" s="0" t="s">
        <v>90</v>
      </c>
      <c r="BC541" s="0" t="s">
        <v>150</v>
      </c>
      <c r="BD541" s="15" t="s">
        <v>2344</v>
      </c>
      <c r="BE541" s="37" t="s">
        <v>152</v>
      </c>
    </row>
    <row r="542" customFormat="false" ht="16.4" hidden="false" customHeight="false" outlineLevel="0" collapsed="false">
      <c r="A542" s="36" t="n">
        <f aca="false">IF(B542=0,"",MAX($A$3:A541)+1)</f>
        <v>434</v>
      </c>
      <c r="B542" s="36" t="n">
        <f aca="false">IF(OR(M542="FLETE",M542="FLETE ENVIO GARANTIA",M542="FLETE RECOLECCION GARANTIA",M542="COMPENSACION"),0,1)</f>
        <v>1</v>
      </c>
      <c r="D542" s="10" t="s">
        <v>2334</v>
      </c>
      <c r="J542" s="0" t="s">
        <v>1250</v>
      </c>
      <c r="K542" s="0" t="s">
        <v>214</v>
      </c>
      <c r="L542" s="0" t="s">
        <v>2361</v>
      </c>
      <c r="M542" s="0" t="s">
        <v>2362</v>
      </c>
      <c r="N542" s="0" t="n">
        <v>1</v>
      </c>
      <c r="P542" s="0" t="s">
        <v>217</v>
      </c>
      <c r="Q542" s="0" t="s">
        <v>218</v>
      </c>
      <c r="R542" s="0" t="s">
        <v>2363</v>
      </c>
      <c r="S542" s="0" t="s">
        <v>158</v>
      </c>
      <c r="T542" s="0" t="s">
        <v>719</v>
      </c>
      <c r="U542" s="0" t="s">
        <v>437</v>
      </c>
      <c r="V542" s="0" t="s">
        <v>2337</v>
      </c>
      <c r="W542" s="0" t="n">
        <v>0</v>
      </c>
      <c r="Y542" s="0" t="s">
        <v>143</v>
      </c>
      <c r="AG542" s="0" t="s">
        <v>3</v>
      </c>
      <c r="AL542" s="13" t="n">
        <v>1611092.437</v>
      </c>
      <c r="AM542" s="45" t="n">
        <v>40</v>
      </c>
      <c r="AN542" s="46" t="n">
        <v>1150320</v>
      </c>
      <c r="AO542" s="46" t="n">
        <v>183664.54</v>
      </c>
      <c r="AR542" s="0" t="s">
        <v>2364</v>
      </c>
      <c r="AZ542" s="0" t="s">
        <v>89</v>
      </c>
      <c r="BA542" s="0" t="s">
        <v>89</v>
      </c>
      <c r="BB542" s="0" t="s">
        <v>90</v>
      </c>
      <c r="BC542" s="0" t="s">
        <v>150</v>
      </c>
      <c r="BD542" s="15" t="s">
        <v>2344</v>
      </c>
      <c r="BE542" s="37" t="s">
        <v>152</v>
      </c>
    </row>
    <row r="543" customFormat="false" ht="16.4" hidden="false" customHeight="false" outlineLevel="0" collapsed="false">
      <c r="A543" s="36" t="n">
        <f aca="false">IF(B543=0,"",MAX($A$3:A542)+1)</f>
        <v>435</v>
      </c>
      <c r="B543" s="36" t="n">
        <f aca="false">IF(OR(M543="FLETE",M543="FLETE ENVIO GARANTIA",M543="FLETE RECOLECCION GARANTIA",M543="COMPENSACION"),0,1)</f>
        <v>1</v>
      </c>
      <c r="D543" s="10" t="s">
        <v>2334</v>
      </c>
      <c r="J543" s="0" t="s">
        <v>1250</v>
      </c>
      <c r="K543" s="0" t="s">
        <v>943</v>
      </c>
      <c r="L543" s="0" t="s">
        <v>2365</v>
      </c>
      <c r="M543" s="0" t="s">
        <v>2366</v>
      </c>
      <c r="N543" s="0" t="n">
        <v>1</v>
      </c>
      <c r="P543" s="0" t="s">
        <v>195</v>
      </c>
      <c r="Q543" s="0" t="s">
        <v>893</v>
      </c>
      <c r="R543" s="0" t="s">
        <v>2367</v>
      </c>
      <c r="T543" s="0" t="s">
        <v>141</v>
      </c>
      <c r="U543" s="0" t="s">
        <v>437</v>
      </c>
      <c r="V543" s="0" t="s">
        <v>2337</v>
      </c>
      <c r="W543" s="0" t="n">
        <v>0</v>
      </c>
      <c r="Y543" s="0" t="s">
        <v>143</v>
      </c>
      <c r="AG543" s="0" t="s">
        <v>3</v>
      </c>
      <c r="AL543" s="13" t="n">
        <v>1365714.2857</v>
      </c>
      <c r="AM543" s="45" t="n">
        <v>33</v>
      </c>
      <c r="AN543" s="46" t="n">
        <v>1088884</v>
      </c>
      <c r="AO543" s="46" t="n">
        <v>173855.43</v>
      </c>
      <c r="AR543" s="0" t="s">
        <v>2368</v>
      </c>
      <c r="AZ543" s="0" t="s">
        <v>89</v>
      </c>
      <c r="BA543" s="0" t="s">
        <v>89</v>
      </c>
      <c r="BB543" s="0" t="s">
        <v>90</v>
      </c>
      <c r="BC543" s="0" t="s">
        <v>150</v>
      </c>
      <c r="BD543" s="15" t="s">
        <v>2344</v>
      </c>
      <c r="BE543" s="37" t="s">
        <v>152</v>
      </c>
    </row>
    <row r="544" customFormat="false" ht="16.4" hidden="false" customHeight="false" outlineLevel="0" collapsed="false">
      <c r="A544" s="36" t="n">
        <f aca="false">IF(B544=0,"",MAX($A$3:A543)+1)</f>
        <v>436</v>
      </c>
      <c r="B544" s="36" t="n">
        <f aca="false">IF(OR(M544="FLETE",M544="FLETE ENVIO GARANTIA",M544="FLETE RECOLECCION GARANTIA",M544="COMPENSACION"),0,1)</f>
        <v>1</v>
      </c>
      <c r="D544" s="10" t="s">
        <v>2334</v>
      </c>
      <c r="J544" s="0" t="s">
        <v>1250</v>
      </c>
      <c r="K544" s="0" t="s">
        <v>479</v>
      </c>
      <c r="L544" s="0" t="s">
        <v>2369</v>
      </c>
      <c r="M544" s="0" t="s">
        <v>2370</v>
      </c>
      <c r="N544" s="0" t="n">
        <v>2</v>
      </c>
      <c r="P544" s="0" t="s">
        <v>217</v>
      </c>
      <c r="Q544" s="0" t="s">
        <v>482</v>
      </c>
      <c r="R544" s="0" t="s">
        <v>656</v>
      </c>
      <c r="S544" s="0" t="s">
        <v>158</v>
      </c>
      <c r="T544" s="0" t="s">
        <v>159</v>
      </c>
      <c r="U544" s="0" t="s">
        <v>437</v>
      </c>
      <c r="V544" s="0" t="s">
        <v>2337</v>
      </c>
      <c r="W544" s="0" t="n">
        <v>0</v>
      </c>
      <c r="Y544" s="0" t="s">
        <v>143</v>
      </c>
      <c r="AG544" s="0" t="s">
        <v>3</v>
      </c>
      <c r="AL544" s="13" t="n">
        <v>545546.2185</v>
      </c>
      <c r="AM544" s="45" t="n">
        <v>33</v>
      </c>
      <c r="AN544" s="46" t="n">
        <v>869928</v>
      </c>
      <c r="AO544" s="46" t="n">
        <v>138896.07</v>
      </c>
      <c r="AR544" s="0" t="s">
        <v>2371</v>
      </c>
      <c r="AZ544" s="0" t="s">
        <v>89</v>
      </c>
      <c r="BA544" s="0" t="s">
        <v>89</v>
      </c>
      <c r="BB544" s="0" t="s">
        <v>90</v>
      </c>
      <c r="BC544" s="0" t="s">
        <v>150</v>
      </c>
      <c r="BD544" s="15" t="s">
        <v>2344</v>
      </c>
      <c r="BE544" s="37" t="s">
        <v>152</v>
      </c>
    </row>
    <row r="545" customFormat="false" ht="16.4" hidden="false" customHeight="false" outlineLevel="0" collapsed="false">
      <c r="A545" s="36" t="str">
        <f aca="false">IF(B545=0,"",MAX($A$3:A544)+1)</f>
        <v/>
      </c>
      <c r="B545" s="36" t="n">
        <f aca="false">IF(OR(M545="FLETE",M545="FLETE ENVIO GARANTIA",M545="FLETE RECOLECCION GARANTIA",M545="COMPENSACION"),0,1)</f>
        <v>0</v>
      </c>
      <c r="D545" s="10" t="s">
        <v>2334</v>
      </c>
      <c r="J545" s="0" t="s">
        <v>1250</v>
      </c>
      <c r="K545" s="0" t="s">
        <v>93</v>
      </c>
      <c r="L545" s="0" t="s">
        <v>210</v>
      </c>
      <c r="M545" s="0" t="s">
        <v>211</v>
      </c>
      <c r="N545" s="0" t="n">
        <v>1</v>
      </c>
      <c r="P545" s="0" t="s">
        <v>73</v>
      </c>
      <c r="R545" s="0" t="s">
        <v>211</v>
      </c>
      <c r="V545" s="0" t="s">
        <v>2337</v>
      </c>
      <c r="W545" s="0" t="n">
        <v>0</v>
      </c>
      <c r="Y545" s="0" t="s">
        <v>143</v>
      </c>
      <c r="AG545" s="0" t="s">
        <v>3</v>
      </c>
      <c r="AL545" s="13" t="n">
        <v>50000</v>
      </c>
      <c r="AM545" s="45" t="n">
        <v>0</v>
      </c>
      <c r="AN545" s="46" t="n">
        <v>50000</v>
      </c>
      <c r="AO545" s="46" t="n">
        <v>0</v>
      </c>
      <c r="AR545" s="0" t="s">
        <v>2372</v>
      </c>
      <c r="AZ545" s="0" t="s">
        <v>89</v>
      </c>
      <c r="BA545" s="0" t="s">
        <v>89</v>
      </c>
      <c r="BB545" s="0" t="s">
        <v>90</v>
      </c>
      <c r="BC545" s="0" t="s">
        <v>150</v>
      </c>
      <c r="BD545" s="15" t="s">
        <v>2344</v>
      </c>
      <c r="BE545" s="37" t="s">
        <v>152</v>
      </c>
    </row>
    <row r="546" customFormat="false" ht="16.4" hidden="false" customHeight="false" outlineLevel="0" collapsed="false">
      <c r="A546" s="36" t="n">
        <f aca="false">IF(B546=0,"",MAX($A$3:A545)+1)</f>
        <v>437</v>
      </c>
      <c r="B546" s="36" t="n">
        <f aca="false">IF(OR(M546="FLETE",M546="FLETE ENVIO GARANTIA",M546="FLETE RECOLECCION GARANTIA",M546="COMPENSACION"),0,1)</f>
        <v>1</v>
      </c>
      <c r="D546" s="10" t="s">
        <v>2334</v>
      </c>
      <c r="J546" s="0" t="s">
        <v>1250</v>
      </c>
      <c r="K546" s="0" t="s">
        <v>529</v>
      </c>
      <c r="L546" s="0" t="s">
        <v>2373</v>
      </c>
      <c r="M546" s="0" t="s">
        <v>2374</v>
      </c>
      <c r="N546" s="0" t="n">
        <v>1</v>
      </c>
      <c r="P546" s="0" t="s">
        <v>217</v>
      </c>
      <c r="Q546" s="0" t="s">
        <v>541</v>
      </c>
      <c r="R546" s="0" t="s">
        <v>785</v>
      </c>
      <c r="T546" s="0" t="s">
        <v>1437</v>
      </c>
      <c r="U546" s="0" t="s">
        <v>437</v>
      </c>
      <c r="V546" s="0" t="s">
        <v>2337</v>
      </c>
      <c r="W546" s="0" t="n">
        <v>0</v>
      </c>
      <c r="Y546" s="0" t="s">
        <v>143</v>
      </c>
      <c r="AG546" s="0" t="s">
        <v>3</v>
      </c>
      <c r="AL546" s="13" t="n">
        <v>338319.3277</v>
      </c>
      <c r="AM546" s="45" t="n">
        <v>33</v>
      </c>
      <c r="AN546" s="46" t="n">
        <v>269742</v>
      </c>
      <c r="AO546" s="46" t="n">
        <v>43068.05</v>
      </c>
      <c r="AR546" s="0" t="s">
        <v>2375</v>
      </c>
      <c r="AZ546" s="0" t="s">
        <v>89</v>
      </c>
      <c r="BA546" s="0" t="s">
        <v>89</v>
      </c>
      <c r="BB546" s="0" t="s">
        <v>90</v>
      </c>
      <c r="BC546" s="0" t="s">
        <v>150</v>
      </c>
      <c r="BD546" s="15" t="s">
        <v>2344</v>
      </c>
      <c r="BE546" s="37" t="s">
        <v>152</v>
      </c>
    </row>
    <row r="547" customFormat="false" ht="16.4" hidden="false" customHeight="false" outlineLevel="0" collapsed="false">
      <c r="A547" s="36" t="n">
        <f aca="false">IF(B547=0,"",MAX($A$3:A546)+1)</f>
        <v>438</v>
      </c>
      <c r="B547" s="36" t="n">
        <f aca="false">IF(OR(M547="FLETE",M547="FLETE ENVIO GARANTIA",M547="FLETE RECOLECCION GARANTIA",M547="COMPENSACION"),0,1)</f>
        <v>1</v>
      </c>
      <c r="C547" s="0" t="s">
        <v>2376</v>
      </c>
      <c r="D547" s="10" t="s">
        <v>2377</v>
      </c>
      <c r="E547" s="11" t="n">
        <v>45436</v>
      </c>
      <c r="F547" s="11" t="n">
        <v>45602</v>
      </c>
      <c r="G547" s="11" t="n">
        <v>45719</v>
      </c>
      <c r="I547" s="11" t="n">
        <v>45598</v>
      </c>
      <c r="J547" s="0" t="s">
        <v>73</v>
      </c>
      <c r="K547" s="0" t="s">
        <v>214</v>
      </c>
      <c r="L547" s="0" t="s">
        <v>2378</v>
      </c>
      <c r="M547" s="0" t="s">
        <v>2379</v>
      </c>
      <c r="N547" s="0" t="n">
        <v>1</v>
      </c>
      <c r="P547" s="0" t="s">
        <v>217</v>
      </c>
      <c r="Q547" s="0" t="s">
        <v>218</v>
      </c>
      <c r="R547" s="0" t="s">
        <v>2380</v>
      </c>
      <c r="S547" s="0" t="s">
        <v>435</v>
      </c>
      <c r="T547" s="0" t="s">
        <v>449</v>
      </c>
      <c r="U547" s="0" t="s">
        <v>160</v>
      </c>
      <c r="V547" s="0" t="s">
        <v>2381</v>
      </c>
      <c r="W547" s="0" t="s">
        <v>2382</v>
      </c>
      <c r="Y547" s="0" t="s">
        <v>2383</v>
      </c>
      <c r="Z547" s="0" t="s">
        <v>179</v>
      </c>
      <c r="AB547" s="0" t="n">
        <v>1033791061</v>
      </c>
      <c r="AC547" s="0" t="s">
        <v>2384</v>
      </c>
      <c r="AD547" s="0" t="s">
        <v>2385</v>
      </c>
      <c r="AE547" s="0" t="s">
        <v>2385</v>
      </c>
      <c r="AG547" s="0" t="s">
        <v>11</v>
      </c>
      <c r="AH547" s="0" t="n">
        <v>1</v>
      </c>
      <c r="AK547" s="0" t="s">
        <v>85</v>
      </c>
      <c r="AL547" s="13" t="n">
        <v>0</v>
      </c>
      <c r="AM547" s="45" t="n">
        <v>0</v>
      </c>
      <c r="AN547" s="46"/>
      <c r="AO547" s="46" t="n">
        <v>0</v>
      </c>
      <c r="AP547" s="0" t="s">
        <v>2386</v>
      </c>
      <c r="AQ547" s="0" t="s">
        <v>2387</v>
      </c>
      <c r="AR547" s="0" t="s">
        <v>2388</v>
      </c>
      <c r="AT547" s="0" t="s">
        <v>2384</v>
      </c>
      <c r="AU547" s="0" t="s">
        <v>2383</v>
      </c>
      <c r="AV547" s="0" t="s">
        <v>2385</v>
      </c>
      <c r="AW547" s="0" t="s">
        <v>2385</v>
      </c>
      <c r="AX547" s="0" t="s">
        <v>2381</v>
      </c>
      <c r="AY547" s="0" t="n">
        <v>1033791061</v>
      </c>
      <c r="AZ547" s="0" t="s">
        <v>89</v>
      </c>
      <c r="BA547" s="0" t="s">
        <v>89</v>
      </c>
      <c r="BB547" s="0" t="s">
        <v>90</v>
      </c>
      <c r="BC547" s="0" t="s">
        <v>150</v>
      </c>
      <c r="BD547" s="15" t="s">
        <v>2389</v>
      </c>
      <c r="BE547" s="37" t="s">
        <v>186</v>
      </c>
    </row>
    <row r="548" customFormat="false" ht="16.4" hidden="false" customHeight="false" outlineLevel="0" collapsed="false">
      <c r="A548" s="36" t="str">
        <f aca="false">IF(B548=0,"",MAX($A$3:A547)+1)</f>
        <v/>
      </c>
      <c r="B548" s="36" t="n">
        <f aca="false">IF(OR(M548="FLETE",M548="FLETE ENVIO GARANTIA",M548="FLETE RECOLECCION GARANTIA",M548="COMPENSACION"),0,1)</f>
        <v>0</v>
      </c>
      <c r="D548" s="10" t="s">
        <v>2377</v>
      </c>
      <c r="J548" s="0" t="s">
        <v>73</v>
      </c>
      <c r="K548" s="0" t="s">
        <v>93</v>
      </c>
      <c r="L548" s="0" t="s">
        <v>166</v>
      </c>
      <c r="M548" s="0" t="s">
        <v>167</v>
      </c>
      <c r="N548" s="0" t="n">
        <v>1</v>
      </c>
      <c r="P548" s="0" t="s">
        <v>73</v>
      </c>
      <c r="R548" s="0" t="s">
        <v>168</v>
      </c>
      <c r="V548" s="0" t="s">
        <v>2381</v>
      </c>
      <c r="W548" s="0" t="s">
        <v>2382</v>
      </c>
      <c r="Y548" s="0" t="s">
        <v>2383</v>
      </c>
      <c r="AG548" s="0" t="s">
        <v>11</v>
      </c>
      <c r="AL548" s="13" t="n">
        <v>0</v>
      </c>
      <c r="AM548" s="45" t="n">
        <v>0</v>
      </c>
      <c r="AN548" s="46"/>
      <c r="AO548" s="46" t="n">
        <v>0</v>
      </c>
      <c r="AR548" s="0" t="s">
        <v>2390</v>
      </c>
      <c r="AZ548" s="0" t="s">
        <v>89</v>
      </c>
      <c r="BA548" s="0" t="s">
        <v>89</v>
      </c>
      <c r="BB548" s="0" t="s">
        <v>90</v>
      </c>
      <c r="BC548" s="0" t="s">
        <v>150</v>
      </c>
      <c r="BD548" s="15" t="s">
        <v>2389</v>
      </c>
      <c r="BE548" s="37" t="s">
        <v>186</v>
      </c>
    </row>
    <row r="549" customFormat="false" ht="16.4" hidden="false" customHeight="false" outlineLevel="0" collapsed="false">
      <c r="A549" s="36" t="str">
        <f aca="false">IF(B549=0,"",MAX($A$3:A548)+1)</f>
        <v/>
      </c>
      <c r="B549" s="36" t="n">
        <f aca="false">IF(OR(M549="FLETE",M549="FLETE ENVIO GARANTIA",M549="FLETE RECOLECCION GARANTIA",M549="COMPENSACION"),0,1)</f>
        <v>0</v>
      </c>
      <c r="D549" s="10" t="s">
        <v>2377</v>
      </c>
      <c r="J549" s="0" t="s">
        <v>73</v>
      </c>
      <c r="K549" s="0" t="s">
        <v>93</v>
      </c>
      <c r="L549" s="0" t="s">
        <v>94</v>
      </c>
      <c r="M549" s="0" t="s">
        <v>95</v>
      </c>
      <c r="N549" s="0" t="n">
        <v>1</v>
      </c>
      <c r="V549" s="0" t="s">
        <v>2381</v>
      </c>
      <c r="W549" s="0" t="s">
        <v>2382</v>
      </c>
      <c r="Y549" s="0" t="s">
        <v>2383</v>
      </c>
      <c r="AG549" s="0" t="s">
        <v>11</v>
      </c>
      <c r="AL549" s="13" t="n">
        <v>0</v>
      </c>
      <c r="AM549" s="45" t="n">
        <v>0</v>
      </c>
      <c r="AN549" s="46"/>
      <c r="AO549" s="46" t="n">
        <v>0</v>
      </c>
      <c r="AR549" s="0" t="s">
        <v>2391</v>
      </c>
      <c r="AZ549" s="0" t="s">
        <v>89</v>
      </c>
      <c r="BA549" s="0" t="s">
        <v>89</v>
      </c>
      <c r="BB549" s="0" t="s">
        <v>90</v>
      </c>
      <c r="BC549" s="0" t="s">
        <v>150</v>
      </c>
      <c r="BD549" s="15" t="s">
        <v>2389</v>
      </c>
      <c r="BE549" s="37" t="s">
        <v>186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FillCellsButton">
              <controlPr defaultSize="0" print="true" autoFill="0" autoPict="0">
                <anchor moveWithCells="true" sizeWithCells="false">
                  <from>
                    <xdr:col>3</xdr:col>
                    <xdr:colOff>38160</xdr:colOff>
                    <xdr:row>0</xdr:row>
                    <xdr:rowOff>47520</xdr:rowOff>
                  </from>
                  <to>
                    <xdr:col>4</xdr:col>
                    <xdr:colOff>-343080</xdr:colOff>
                    <xdr:row>1</xdr:row>
                    <xdr:rowOff>-38160</xdr:rowOff>
                  </to>
                </anchor>
              </controlPr>
            </control>
          </mc:Choice>
        </mc:AlternateContent>
      </controls>
    </mc:Choice>
  </mc:AlternateContent>
  <tableParts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true"/>
  </sheetPr>
  <dimension ref="A2:W1028"/>
  <sheetViews>
    <sheetView showFormulas="false" showGridLines="true" showRowColHeaders="true" showZeros="true" rightToLeft="false" tabSelected="false" showOutlineSymbols="true" defaultGridColor="true" view="normal" topLeftCell="A798" colorId="64" zoomScale="80" zoomScaleNormal="80" zoomScalePageLayoutView="50" workbookViewId="0">
      <selection pane="topLeft" activeCell="M663" activeCellId="0" sqref="M663"/>
    </sheetView>
  </sheetViews>
  <sheetFormatPr defaultColWidth="10.71484375" defaultRowHeight="18.75" customHeight="true" zeroHeight="false" outlineLevelRow="0" outlineLevelCol="0"/>
  <cols>
    <col collapsed="false" customWidth="true" hidden="false" outlineLevel="0" max="1" min="1" style="47" width="11"/>
    <col collapsed="false" customWidth="true" hidden="false" outlineLevel="0" max="2" min="2" style="47" width="10.29"/>
    <col collapsed="false" customWidth="true" hidden="false" outlineLevel="0" max="3" min="3" style="48" width="6.57"/>
    <col collapsed="false" customWidth="true" hidden="false" outlineLevel="0" max="4" min="4" style="48" width="12.72"/>
    <col collapsed="false" customWidth="true" hidden="false" outlineLevel="0" max="5" min="5" style="49" width="16.14"/>
    <col collapsed="false" customWidth="true" hidden="false" outlineLevel="0" max="6" min="6" style="49" width="12.72"/>
    <col collapsed="false" customWidth="true" hidden="false" outlineLevel="0" max="7" min="7" style="49" width="38.86"/>
    <col collapsed="false" customWidth="true" hidden="false" outlineLevel="0" max="8" min="8" style="49" width="18.71"/>
    <col collapsed="false" customWidth="true" hidden="false" outlineLevel="0" max="9" min="9" style="49" width="19.15"/>
    <col collapsed="false" customWidth="true" hidden="false" outlineLevel="0" max="10" min="10" style="49" width="14.43"/>
    <col collapsed="false" customWidth="true" hidden="false" outlineLevel="0" max="11" min="11" style="49" width="18.86"/>
    <col collapsed="false" customWidth="true" hidden="false" outlineLevel="0" max="12" min="12" style="49" width="20.29"/>
    <col collapsed="false" customWidth="true" hidden="false" outlineLevel="0" max="13" min="13" style="49" width="7.72"/>
    <col collapsed="false" customWidth="true" hidden="false" outlineLevel="0" max="14" min="14" style="49" width="33.71"/>
    <col collapsed="false" customWidth="true" hidden="false" outlineLevel="0" max="15" min="15" style="49" width="33.29"/>
    <col collapsed="false" customWidth="true" hidden="false" outlineLevel="0" max="16" min="16" style="49" width="38.43"/>
    <col collapsed="false" customWidth="true" hidden="false" outlineLevel="0" max="17" min="17" style="49" width="20.86"/>
    <col collapsed="false" customWidth="true" hidden="false" outlineLevel="0" max="18" min="18" style="49" width="18.43"/>
    <col collapsed="false" customWidth="true" hidden="false" outlineLevel="0" max="19" min="19" style="49" width="31.43"/>
    <col collapsed="false" customWidth="true" hidden="false" outlineLevel="0" max="20" min="20" style="48" width="16.86"/>
    <col collapsed="false" customWidth="true" hidden="false" outlineLevel="0" max="21" min="21" style="49" width="16.72"/>
    <col collapsed="false" customWidth="true" hidden="false" outlineLevel="0" max="22" min="22" style="49" width="12.57"/>
    <col collapsed="false" customWidth="true" hidden="false" outlineLevel="0" max="23" min="23" style="15" width="11"/>
  </cols>
  <sheetData>
    <row r="2" customFormat="false" ht="8.25" hidden="false" customHeight="true" outlineLevel="0" collapsed="false"/>
    <row r="3" customFormat="false" ht="28.5" hidden="false" customHeight="true" outlineLevel="0" collapsed="false">
      <c r="C3" s="50"/>
      <c r="D3" s="50"/>
      <c r="E3" s="50"/>
      <c r="F3" s="50"/>
      <c r="G3" s="51" t="s">
        <v>2392</v>
      </c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2" t="s">
        <v>2393</v>
      </c>
      <c r="V3" s="52"/>
    </row>
    <row r="4" customFormat="false" ht="28.5" hidden="false" customHeight="true" outlineLevel="0" collapsed="false">
      <c r="C4" s="50"/>
      <c r="D4" s="50"/>
      <c r="E4" s="50"/>
      <c r="F4" s="50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3" t="s">
        <v>2394</v>
      </c>
      <c r="V4" s="54" t="n">
        <v>45414</v>
      </c>
    </row>
    <row r="5" customFormat="false" ht="28.5" hidden="false" customHeight="true" outlineLevel="0" collapsed="false">
      <c r="C5" s="55" t="s">
        <v>2395</v>
      </c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6" t="s">
        <v>2396</v>
      </c>
      <c r="P5" s="56"/>
      <c r="Q5" s="56"/>
      <c r="R5" s="57" t="n">
        <f aca="true">TODAY()</f>
        <v>45735</v>
      </c>
      <c r="S5" s="57"/>
      <c r="T5" s="57"/>
      <c r="U5" s="57"/>
      <c r="V5" s="57"/>
    </row>
    <row r="7" s="61" customFormat="true" ht="44.25" hidden="false" customHeight="true" outlineLevel="0" collapsed="false">
      <c r="A7" s="58" t="s">
        <v>2397</v>
      </c>
      <c r="B7" s="58" t="s">
        <v>2398</v>
      </c>
      <c r="C7" s="59" t="s">
        <v>2397</v>
      </c>
      <c r="D7" s="60" t="s">
        <v>2399</v>
      </c>
      <c r="E7" s="60" t="s">
        <v>2400</v>
      </c>
      <c r="F7" s="60" t="s">
        <v>2401</v>
      </c>
      <c r="G7" s="60" t="s">
        <v>2402</v>
      </c>
      <c r="H7" s="60" t="s">
        <v>2403</v>
      </c>
      <c r="I7" s="60" t="s">
        <v>2404</v>
      </c>
      <c r="J7" s="60" t="s">
        <v>2405</v>
      </c>
      <c r="K7" s="60" t="s">
        <v>2406</v>
      </c>
      <c r="L7" s="60" t="s">
        <v>2407</v>
      </c>
      <c r="M7" s="60" t="s">
        <v>2408</v>
      </c>
      <c r="N7" s="60" t="s">
        <v>2409</v>
      </c>
      <c r="O7" s="60" t="s">
        <v>2410</v>
      </c>
      <c r="P7" s="60" t="s">
        <v>2411</v>
      </c>
      <c r="Q7" s="60" t="s">
        <v>2412</v>
      </c>
      <c r="R7" s="60" t="s">
        <v>2413</v>
      </c>
      <c r="S7" s="60" t="s">
        <v>36</v>
      </c>
      <c r="T7" s="60" t="s">
        <v>2414</v>
      </c>
      <c r="U7" s="60" t="s">
        <v>2415</v>
      </c>
      <c r="V7" s="60" t="s">
        <v>2416</v>
      </c>
    </row>
    <row r="8" s="72" customFormat="true" ht="98.25" hidden="false" customHeight="true" outlineLevel="0" collapsed="false">
      <c r="A8" s="62" t="n">
        <v>1</v>
      </c>
      <c r="B8" s="63" t="str">
        <f aca="false">VLOOKUP(A8,BD_ORDENES!A:BG,12,FALSE())</f>
        <v>__export__.product_product_334778_8d27fd72</v>
      </c>
      <c r="C8" s="64" t="n">
        <v>1</v>
      </c>
      <c r="D8" s="65" t="str">
        <f aca="false">VLOOKUP(A8,BD_ORDENES!A:BE,10,0)</f>
        <v>GARANTIA</v>
      </c>
      <c r="E8" s="66" t="str">
        <f aca="false">VLOOKUP(A8,BD_ORDENES!A:BG,4,FALSE())</f>
        <v>EC001-TIENDA MEDELLIN AV 80-2</v>
      </c>
      <c r="F8" s="66" t="str">
        <f aca="false">VLOOKUP(A8,BD_ORDENES!A:BE,56,FALSE())</f>
        <v>S273713</v>
      </c>
      <c r="G8" s="67" t="str">
        <f aca="false">VLOOKUP(A8,BD_ORDENES!A:BE,13,FALSE())</f>
        <v>PAQUETE TORNILLOS MESA WISCONSIN</v>
      </c>
      <c r="H8" s="68" t="n">
        <f aca="false">VLOOKUP(A8,BD_ORDENES!A:BE,17,FALSE())</f>
        <v>0</v>
      </c>
      <c r="I8" s="68" t="n">
        <f aca="false">VLOOKUP(A8,BD_ORDENES!A:BE,18,FALSE())</f>
        <v>0</v>
      </c>
      <c r="J8" s="68" t="n">
        <f aca="false">VLOOKUP(A8,BD_ORDENES!A:BE,19,FALSE())</f>
        <v>0</v>
      </c>
      <c r="K8" s="68" t="n">
        <f aca="false">VLOOKUP(A8,BD_ORDENES!A:BE,20,FALSE())</f>
        <v>0</v>
      </c>
      <c r="L8" s="68" t="n">
        <f aca="false">VLOOKUP(A8,BD_ORDENES!A:BE,21,FALSE())</f>
        <v>0</v>
      </c>
      <c r="M8" s="69" t="n">
        <f aca="false">VLOOKUP(A8,BD_ORDENES!A:BE,14,FALSE())</f>
        <v>1</v>
      </c>
      <c r="N8" s="68" t="n">
        <f aca="false">VLOOKUP(A8,BD_ORDENES!A:BE,15,FALSE())</f>
        <v>0</v>
      </c>
      <c r="O8" s="68" t="str">
        <f aca="false">VLOOKUP(A8,BD_ORDENES!A:BE,33,FALSE())</f>
        <v>TRANSPORTADORA</v>
      </c>
      <c r="P8" s="68" t="str">
        <f aca="false">VLOOKUP(A8,BD_ORDENES!A:BE,23,FALSE())</f>
        <v>ENVIAR CON ENVIA COMO PAQUETERIA</v>
      </c>
      <c r="Q8" s="68" t="str">
        <f aca="false">VLOOKUP(A8,BD_ORDENES!A:BE,52,FALSE())</f>
        <v>Obtener Bajo Pedido (MTO)</v>
      </c>
      <c r="R8" s="68" t="str">
        <f aca="false">VLOOKUP(A8,BD_ORDENES!A:BE,25,FALSE())</f>
        <v>MEDELLIN</v>
      </c>
      <c r="S8" s="68" t="str">
        <f aca="false">VLOOKUP(A8,BD_ORDENES!A:BE,22,FALSE())</f>
        <v>LAURA SOFIA MARTINEZ PEREZ</v>
      </c>
      <c r="T8" s="65" t="n">
        <f aca="false">VLOOKUP(A8,BD_ORDENES!A:BE,55,FALSE())</f>
        <v>0</v>
      </c>
      <c r="U8" s="68" t="str">
        <f aca="false">VLOOKUP(A8,BD_ORDENES!A:BE,57,FALSE())</f>
        <v>1 ENVIA</v>
      </c>
      <c r="V8" s="70"/>
      <c r="W8" s="71"/>
    </row>
    <row r="9" s="72" customFormat="true" ht="98.25" hidden="false" customHeight="true" outlineLevel="0" collapsed="false">
      <c r="A9" s="62" t="n">
        <f aca="false">A8+1</f>
        <v>2</v>
      </c>
      <c r="B9" s="63" t="str">
        <f aca="false">VLOOKUP(A9,BD_ORDENES!A:BG,12,FALSE())</f>
        <v>__export__.product_product_334720_23d732b4</v>
      </c>
      <c r="C9" s="64" t="n">
        <v>2</v>
      </c>
      <c r="D9" s="65" t="str">
        <f aca="false">VLOOKUP(A9,BD_ORDENES!A:BE,10,0)</f>
        <v>GARANTIA</v>
      </c>
      <c r="E9" s="66" t="str">
        <f aca="false">VLOOKUP(A9,BD_ORDENES!A:BG,4,FALSE())</f>
        <v>13779430-HOME-3</v>
      </c>
      <c r="F9" s="66" t="str">
        <f aca="false">VLOOKUP(A9,BD_ORDENES!A:BE,56,FALSE())</f>
        <v>S273709</v>
      </c>
      <c r="G9" s="67" t="str">
        <f aca="false">VLOOKUP(A9,BD_ORDENES!A:BE,13,FALSE())</f>
        <v>PAQUETE TORNILLOS MESA RIO</v>
      </c>
      <c r="H9" s="68" t="n">
        <f aca="false">VLOOKUP(A9,BD_ORDENES!A:BE,17,FALSE())</f>
        <v>0</v>
      </c>
      <c r="I9" s="68" t="str">
        <f aca="false">VLOOKUP(A9,BD_ORDENES!A:BE,18,FALSE())</f>
        <v>PAQUETE-TORNILLOS-MESA-RIO</v>
      </c>
      <c r="J9" s="68" t="n">
        <f aca="false">VLOOKUP(A9,BD_ORDENES!A:BE,19,FALSE())</f>
        <v>0</v>
      </c>
      <c r="K9" s="68" t="n">
        <f aca="false">VLOOKUP(A9,BD_ORDENES!A:BE,20,FALSE())</f>
        <v>0</v>
      </c>
      <c r="L9" s="68" t="n">
        <f aca="false">VLOOKUP(A9,BD_ORDENES!A:BE,21,FALSE())</f>
        <v>0</v>
      </c>
      <c r="M9" s="69" t="n">
        <f aca="false">VLOOKUP(A9,BD_ORDENES!A:BE,14,FALSE())</f>
        <v>1</v>
      </c>
      <c r="N9" s="68" t="n">
        <f aca="false">VLOOKUP(A9,BD_ORDENES!A:BE,15,FALSE())</f>
        <v>0</v>
      </c>
      <c r="O9" s="68" t="str">
        <f aca="false">VLOOKUP(A9,BD_ORDENES!A:BE,33,FALSE())</f>
        <v>TRANSPORTADORA</v>
      </c>
      <c r="P9" s="68" t="n">
        <f aca="false">VLOOKUP(A9,BD_ORDENES!A:BE,23,FALSE())</f>
        <v>0</v>
      </c>
      <c r="Q9" s="68" t="str">
        <f aca="false">VLOOKUP(A9,BD_ORDENES!A:BE,52,FALSE())</f>
        <v>Obtener Bajo Pedido (MTO)</v>
      </c>
      <c r="R9" s="68" t="str">
        <f aca="false">VLOOKUP(A9,BD_ORDENES!A:BE,25,FALSE())</f>
        <v>BARRANQUILLA</v>
      </c>
      <c r="S9" s="68" t="str">
        <f aca="false">VLOOKUP(A9,BD_ORDENES!A:BE,22,FALSE())</f>
        <v>LORENA  GUTIERREZ</v>
      </c>
      <c r="T9" s="65" t="n">
        <f aca="false">VLOOKUP(A9,BD_ORDENES!A:BE,55,FALSE())</f>
        <v>0</v>
      </c>
      <c r="U9" s="68" t="str">
        <f aca="false">VLOOKUP(A9,BD_ORDENES!A:BE,57,FALSE())</f>
        <v>1 ENVIA</v>
      </c>
      <c r="V9" s="70"/>
      <c r="W9" s="71"/>
    </row>
    <row r="10" s="72" customFormat="true" ht="98.25" hidden="false" customHeight="true" outlineLevel="0" collapsed="false">
      <c r="A10" s="62" t="n">
        <f aca="false">A9+1</f>
        <v>3</v>
      </c>
      <c r="B10" s="63" t="str">
        <f aca="false">VLOOKUP(A10,BD_ORDENES!A:BG,12,FALSE())</f>
        <v>__export__.product_product_334595_df98e5bb</v>
      </c>
      <c r="C10" s="64" t="n">
        <v>3</v>
      </c>
      <c r="D10" s="65" t="str">
        <f aca="false">VLOOKUP(A10,BD_ORDENES!A:BE,10,0)</f>
        <v>GARANTIA</v>
      </c>
      <c r="E10" s="66" t="str">
        <f aca="false">VLOOKUP(A10,BD_ORDENES!A:BG,4,FALSE())</f>
        <v>691106-EBANI-2</v>
      </c>
      <c r="F10" s="66" t="str">
        <f aca="false">VLOOKUP(A10,BD_ORDENES!A:BE,56,FALSE())</f>
        <v>S273636</v>
      </c>
      <c r="G10" s="67" t="str">
        <f aca="false">VLOOKUP(A10,BD_ORDENES!A:BE,13,FALSE())</f>
        <v>PAQUETE TORNILLOS MESA SOHO</v>
      </c>
      <c r="H10" s="68" t="n">
        <f aca="false">VLOOKUP(A10,BD_ORDENES!A:BE,17,FALSE())</f>
        <v>0</v>
      </c>
      <c r="I10" s="68" t="str">
        <f aca="false">VLOOKUP(A10,BD_ORDENES!A:BE,18,FALSE())</f>
        <v>PAQUETE-TORNILLOS-MESA-SOHO</v>
      </c>
      <c r="J10" s="68" t="n">
        <f aca="false">VLOOKUP(A10,BD_ORDENES!A:BE,19,FALSE())</f>
        <v>0</v>
      </c>
      <c r="K10" s="68" t="n">
        <f aca="false">VLOOKUP(A10,BD_ORDENES!A:BE,20,FALSE())</f>
        <v>0</v>
      </c>
      <c r="L10" s="68" t="n">
        <f aca="false">VLOOKUP(A10,BD_ORDENES!A:BE,21,FALSE())</f>
        <v>0</v>
      </c>
      <c r="M10" s="69" t="n">
        <f aca="false">VLOOKUP(A10,BD_ORDENES!A:BE,14,FALSE())</f>
        <v>1</v>
      </c>
      <c r="N10" s="68" t="str">
        <f aca="false">VLOOKUP(A10,BD_ORDENES!A:BE,15,FALSE())</f>
        <v>VALIDAR LAS MEDIDAS</v>
      </c>
      <c r="O10" s="68" t="str">
        <f aca="false">VLOOKUP(A10,BD_ORDENES!A:BE,33,FALSE())</f>
        <v>TRANSPORTADORA</v>
      </c>
      <c r="P10" s="68" t="n">
        <f aca="false">VLOOKUP(A10,BD_ORDENES!A:BE,23,FALSE())</f>
        <v>0</v>
      </c>
      <c r="Q10" s="68" t="str">
        <f aca="false">VLOOKUP(A10,BD_ORDENES!A:BE,52,FALSE())</f>
        <v>Obtener Bajo Pedido (MTO)</v>
      </c>
      <c r="R10" s="68" t="str">
        <f aca="false">VLOOKUP(A10,BD_ORDENES!A:BE,25,FALSE())</f>
        <v>IBAGUE</v>
      </c>
      <c r="S10" s="68" t="str">
        <f aca="false">VLOOKUP(A10,BD_ORDENES!A:BE,22,FALSE())</f>
        <v>ERIKA MAYERLY ANDRADE GUERRERO</v>
      </c>
      <c r="T10" s="65" t="n">
        <f aca="false">VLOOKUP(A10,BD_ORDENES!A:BE,55,FALSE())</f>
        <v>0</v>
      </c>
      <c r="U10" s="68" t="str">
        <f aca="false">VLOOKUP(A10,BD_ORDENES!A:BE,57,FALSE())</f>
        <v>1 ENVIA</v>
      </c>
      <c r="V10" s="70"/>
      <c r="W10" s="71"/>
    </row>
    <row r="11" s="72" customFormat="true" ht="98.25" hidden="false" customHeight="true" outlineLevel="0" collapsed="false">
      <c r="A11" s="62" t="n">
        <f aca="false">A10+1</f>
        <v>4</v>
      </c>
      <c r="B11" s="63" t="str">
        <f aca="false">VLOOKUP(A11,BD_ORDENES!A:BG,12,FALSE())</f>
        <v>__export__.product_product_163713_9ef5b5f1</v>
      </c>
      <c r="C11" s="64" t="n">
        <v>4</v>
      </c>
      <c r="D11" s="65" t="str">
        <f aca="false">VLOOKUP(A11,BD_ORDENES!A:BE,10,0)</f>
        <v>GARANTIA</v>
      </c>
      <c r="E11" s="66" t="str">
        <f aca="false">VLOOKUP(A11,BD_ORDENES!A:BG,4,FALSE())</f>
        <v>EL078-VF</v>
      </c>
      <c r="F11" s="66" t="str">
        <f aca="false">VLOOKUP(A11,BD_ORDENES!A:BE,56,FALSE())</f>
        <v>S262704</v>
      </c>
      <c r="G11" s="67" t="str">
        <f aca="false">VLOOKUP(A11,BD_ORDENES!A:BE,13,FALSE())</f>
        <v>MESA MERIDA JG4 MACULA</v>
      </c>
      <c r="H11" s="68" t="str">
        <f aca="false">VLOOKUP(A11,BD_ORDENES!A:BE,17,FALSE())</f>
        <v>MESA</v>
      </c>
      <c r="I11" s="68" t="str">
        <f aca="false">VLOOKUP(A11,BD_ORDENES!A:BE,18,FALSE())</f>
        <v>MERIDA-JG4</v>
      </c>
      <c r="J11" s="68" t="n">
        <f aca="false">VLOOKUP(A11,BD_ORDENES!A:BE,19,FALSE())</f>
        <v>0</v>
      </c>
      <c r="K11" s="68" t="str">
        <f aca="false">VLOOKUP(A11,BD_ORDENES!A:BE,20,FALSE())</f>
        <v>MACULA</v>
      </c>
      <c r="L11" s="68" t="n">
        <f aca="false">VLOOKUP(A11,BD_ORDENES!A:BE,21,FALSE())</f>
        <v>0</v>
      </c>
      <c r="M11" s="69" t="n">
        <f aca="false">VLOOKUP(A11,BD_ORDENES!A:BE,14,FALSE())</f>
        <v>1</v>
      </c>
      <c r="N11" s="68" t="n">
        <f aca="false">VLOOKUP(A11,BD_ORDENES!A:BE,15,FALSE())</f>
        <v>0</v>
      </c>
      <c r="O11" s="68" t="str">
        <f aca="false">VLOOKUP(A11,BD_ORDENES!A:BE,33,FALSE())</f>
        <v>ENVIO TUNJA - SIN SALDO</v>
      </c>
      <c r="P11" s="68" t="n">
        <f aca="false">VLOOKUP(A11,BD_ORDENES!A:BE,23,FALSE())</f>
        <v>0</v>
      </c>
      <c r="Q11" s="68" t="str">
        <f aca="false">VLOOKUP(A11,BD_ORDENES!A:BE,52,FALSE())</f>
        <v>Obtener Bajo Pedido (MTO)</v>
      </c>
      <c r="R11" s="68" t="str">
        <f aca="false">VLOOKUP(A11,BD_ORDENES!A:BE,25,FALSE())</f>
        <v>TUNJA</v>
      </c>
      <c r="S11" s="68" t="str">
        <f aca="false">VLOOKUP(A11,BD_ORDENES!A:BE,22,FALSE())</f>
        <v>MAYERLY QUIROGA</v>
      </c>
      <c r="T11" s="65" t="str">
        <f aca="false">VLOOKUP(A11,BD_ORDENES!A:BE,55,FALSE())</f>
        <v>BODEGA LISTO</v>
      </c>
      <c r="U11" s="68" t="str">
        <f aca="false">VLOOKUP(A11,BD_ORDENES!A:BE,57,FALSE())</f>
        <v>0 BODEGA</v>
      </c>
      <c r="V11" s="70"/>
      <c r="W11" s="71"/>
    </row>
    <row r="12" s="72" customFormat="true" ht="98.25" hidden="false" customHeight="true" outlineLevel="0" collapsed="false">
      <c r="A12" s="62" t="n">
        <f aca="false">A11+1</f>
        <v>5</v>
      </c>
      <c r="B12" s="63" t="str">
        <f aca="false">VLOOKUP(A12,BD_ORDENES!A:BG,12,FALSE())</f>
        <v>__export__.product_product_326365_3c9770fd</v>
      </c>
      <c r="C12" s="64" t="n">
        <v>5</v>
      </c>
      <c r="D12" s="65" t="str">
        <f aca="false">VLOOKUP(A12,BD_ORDENES!A:BE,10,0)</f>
        <v>GARANTIA</v>
      </c>
      <c r="E12" s="66" t="str">
        <f aca="false">VLOOKUP(A12,BD_ORDENES!A:BG,4,FALSE())</f>
        <v>EL078-VF</v>
      </c>
      <c r="F12" s="66" t="str">
        <f aca="false">VLOOKUP(A12,BD_ORDENES!A:BE,56,FALSE())</f>
        <v>S262704</v>
      </c>
      <c r="G12" s="67" t="str">
        <f aca="false">VLOOKUP(A12,BD_ORDENES!A:BE,13,FALSE())</f>
        <v>BUTACO ARKANSAS 2P SKY MOSTAZA (MATIZ CAOBA)</v>
      </c>
      <c r="H12" s="68" t="str">
        <f aca="false">VLOOKUP(A12,BD_ORDENES!A:BE,17,FALSE())</f>
        <v>BUTACO</v>
      </c>
      <c r="I12" s="68" t="str">
        <f aca="false">VLOOKUP(A12,BD_ORDENES!A:BE,18,FALSE())</f>
        <v>ARKANSAS-2P</v>
      </c>
      <c r="J12" s="68" t="str">
        <f aca="false">VLOOKUP(A12,BD_ORDENES!A:BE,19,FALSE())</f>
        <v>SKY</v>
      </c>
      <c r="K12" s="68" t="str">
        <f aca="false">VLOOKUP(A12,BD_ORDENES!A:BE,20,FALSE())</f>
        <v>MOSTAZA</v>
      </c>
      <c r="L12" s="68" t="str">
        <f aca="false">VLOOKUP(A12,BD_ORDENES!A:BE,21,FALSE())</f>
        <v>MATIZ-CAOBA</v>
      </c>
      <c r="M12" s="69" t="n">
        <f aca="false">VLOOKUP(A12,BD_ORDENES!A:BE,14,FALSE())</f>
        <v>1</v>
      </c>
      <c r="N12" s="68" t="n">
        <f aca="false">VLOOKUP(A12,BD_ORDENES!A:BE,15,FALSE())</f>
        <v>0</v>
      </c>
      <c r="O12" s="68" t="str">
        <f aca="false">VLOOKUP(A12,BD_ORDENES!A:BE,33,FALSE())</f>
        <v>ENVIO TUNJA - SIN SALDO</v>
      </c>
      <c r="P12" s="68" t="n">
        <f aca="false">VLOOKUP(A12,BD_ORDENES!A:BE,23,FALSE())</f>
        <v>0</v>
      </c>
      <c r="Q12" s="68" t="str">
        <f aca="false">VLOOKUP(A12,BD_ORDENES!A:BE,52,FALSE())</f>
        <v>Obtener Bajo Pedido (MTO)</v>
      </c>
      <c r="R12" s="68" t="str">
        <f aca="false">VLOOKUP(A12,BD_ORDENES!A:BE,25,FALSE())</f>
        <v>TUNJA</v>
      </c>
      <c r="S12" s="68" t="str">
        <f aca="false">VLOOKUP(A12,BD_ORDENES!A:BE,22,FALSE())</f>
        <v>MAYERLY QUIROGA</v>
      </c>
      <c r="T12" s="65" t="str">
        <f aca="false">VLOOKUP(A12,BD_ORDENES!A:BE,55,FALSE())</f>
        <v>BODEGA LISTO</v>
      </c>
      <c r="U12" s="68" t="str">
        <f aca="false">VLOOKUP(A12,BD_ORDENES!A:BE,57,FALSE())</f>
        <v>0 BODEGA</v>
      </c>
      <c r="V12" s="70"/>
      <c r="W12" s="71"/>
    </row>
    <row r="13" s="72" customFormat="true" ht="98.25" hidden="false" customHeight="true" outlineLevel="0" collapsed="false">
      <c r="A13" s="62" t="n">
        <f aca="false">A12+1</f>
        <v>6</v>
      </c>
      <c r="B13" s="63" t="str">
        <f aca="false">VLOOKUP(A13,BD_ORDENES!A:BG,12,FALSE())</f>
        <v>__export__.product_product_191728_4d9737d9</v>
      </c>
      <c r="C13" s="64" t="n">
        <v>6</v>
      </c>
      <c r="D13" s="65" t="str">
        <f aca="false">VLOOKUP(A13,BD_ORDENES!A:BE,10,0)</f>
        <v>GARANTIA</v>
      </c>
      <c r="E13" s="66" t="str">
        <f aca="false">VLOOKUP(A13,BD_ORDENES!A:BG,4,FALSE())</f>
        <v>AR2343-TIENDA GALERIAS</v>
      </c>
      <c r="F13" s="66" t="str">
        <f aca="false">VLOOKUP(A13,BD_ORDENES!A:BE,56,FALSE())</f>
        <v>S273200</v>
      </c>
      <c r="G13" s="67" t="str">
        <f aca="false">VLOOKUP(A13,BD_ORDENES!A:BE,13,FALSE())</f>
        <v>ARAÑA (METALICA NATURAL)</v>
      </c>
      <c r="H13" s="68" t="n">
        <f aca="false">VLOOKUP(A13,BD_ORDENES!A:BE,17,FALSE())</f>
        <v>0</v>
      </c>
      <c r="I13" s="68" t="str">
        <f aca="false">VLOOKUP(A13,BD_ORDENES!A:BE,18,FALSE())</f>
        <v>ARAÑA</v>
      </c>
      <c r="J13" s="68" t="n">
        <f aca="false">VLOOKUP(A13,BD_ORDENES!A:BE,19,FALSE())</f>
        <v>0</v>
      </c>
      <c r="K13" s="68" t="n">
        <f aca="false">VLOOKUP(A13,BD_ORDENES!A:BE,20,FALSE())</f>
        <v>0</v>
      </c>
      <c r="L13" s="68" t="str">
        <f aca="false">VLOOKUP(A13,BD_ORDENES!A:BE,21,FALSE())</f>
        <v>METALICO-MATIZ-NATURAL</v>
      </c>
      <c r="M13" s="69" t="n">
        <f aca="false">VLOOKUP(A13,BD_ORDENES!A:BE,14,FALSE())</f>
        <v>1</v>
      </c>
      <c r="N13" s="68" t="n">
        <f aca="false">VLOOKUP(A13,BD_ORDENES!A:BE,15,FALSE())</f>
        <v>0</v>
      </c>
      <c r="O13" s="68" t="str">
        <f aca="false">VLOOKUP(A13,BD_ORDENES!A:BE,33,FALSE())</f>
        <v>TRANSPORTADORA HVM BGT</v>
      </c>
      <c r="P13" s="68" t="n">
        <f aca="false">VLOOKUP(A13,BD_ORDENES!A:BE,23,FALSE())</f>
        <v>0</v>
      </c>
      <c r="Q13" s="68" t="str">
        <f aca="false">VLOOKUP(A13,BD_ORDENES!A:BE,52,FALSE())</f>
        <v>Obtener Bajo Pedido (MTO)</v>
      </c>
      <c r="R13" s="68" t="str">
        <f aca="false">VLOOKUP(A13,BD_ORDENES!A:BE,25,FALSE())</f>
        <v>BOGOTA</v>
      </c>
      <c r="S13" s="68" t="str">
        <f aca="false">VLOOKUP(A13,BD_ORDENES!A:BE,22,FALSE())</f>
        <v>SERGIO ANDRES DIAZ OSORIO</v>
      </c>
      <c r="T13" s="65" t="str">
        <f aca="false">VLOOKUP(A13,BD_ORDENES!A:BE,55,FALSE())</f>
        <v>BODEGA LISTO</v>
      </c>
      <c r="U13" s="68" t="str">
        <f aca="false">VLOOKUP(A13,BD_ORDENES!A:BE,57,FALSE())</f>
        <v>8 VENECIA</v>
      </c>
      <c r="V13" s="70"/>
      <c r="W13" s="71"/>
    </row>
    <row r="14" s="72" customFormat="true" ht="98.25" hidden="false" customHeight="true" outlineLevel="0" collapsed="false">
      <c r="A14" s="62" t="n">
        <f aca="false">A13+1</f>
        <v>7</v>
      </c>
      <c r="B14" s="63" t="str">
        <f aca="false">VLOOKUP(A14,BD_ORDENES!A:BG,12,FALSE())</f>
        <v>__export__.product_product_308914_a59305e6</v>
      </c>
      <c r="C14" s="64" t="n">
        <v>7</v>
      </c>
      <c r="D14" s="65" t="str">
        <f aca="false">VLOOKUP(A14,BD_ORDENES!A:BE,10,0)</f>
        <v>PPGG</v>
      </c>
      <c r="E14" s="66" t="str">
        <f aca="false">VLOOKUP(A14,BD_ORDENES!A:BG,4,FALSE())</f>
        <v>1512894699527-01</v>
      </c>
      <c r="F14" s="66" t="str">
        <f aca="false">VLOOKUP(A14,BD_ORDENES!A:BE,56,FALSE())</f>
        <v>S273282</v>
      </c>
      <c r="G14" s="67" t="str">
        <f aca="false">VLOOKUP(A14,BD_ORDENES!A:BE,13,FALSE())</f>
        <v>CAMA INFANTIL LAZIO BLANCO MATIZ-NATURAL</v>
      </c>
      <c r="H14" s="68" t="str">
        <f aca="false">VLOOKUP(A14,BD_ORDENES!A:BE,17,FALSE())</f>
        <v>CAMA-MADERA</v>
      </c>
      <c r="I14" s="68" t="str">
        <f aca="false">VLOOKUP(A14,BD_ORDENES!A:BE,18,FALSE())</f>
        <v>INFANTIL-LAZIO</v>
      </c>
      <c r="J14" s="68" t="n">
        <f aca="false">VLOOKUP(A14,BD_ORDENES!A:BE,19,FALSE())</f>
        <v>0</v>
      </c>
      <c r="K14" s="68" t="str">
        <f aca="false">VLOOKUP(A14,BD_ORDENES!A:BE,20,FALSE())</f>
        <v>BLANCO</v>
      </c>
      <c r="L14" s="68" t="str">
        <f aca="false">VLOOKUP(A14,BD_ORDENES!A:BE,21,FALSE())</f>
        <v>MATIZ-NATURAL</v>
      </c>
      <c r="M14" s="69" t="n">
        <f aca="false">VLOOKUP(A14,BD_ORDENES!A:BE,14,FALSE())</f>
        <v>1</v>
      </c>
      <c r="N14" s="68" t="n">
        <f aca="false">VLOOKUP(A14,BD_ORDENES!A:BE,15,FALSE())</f>
        <v>0</v>
      </c>
      <c r="O14" s="68" t="str">
        <f aca="false">VLOOKUP(A14,BD_ORDENES!A:BE,33,FALSE())</f>
        <v>TRANSPORTADORA</v>
      </c>
      <c r="P14" s="68" t="n">
        <f aca="false">VLOOKUP(A14,BD_ORDENES!A:BE,23,FALSE())</f>
        <v>0</v>
      </c>
      <c r="Q14" s="68" t="str">
        <f aca="false">VLOOKUP(A14,BD_ORDENES!A:BE,52,FALSE())</f>
        <v>Obtener Bajo Pedido (MTO)</v>
      </c>
      <c r="R14" s="68" t="str">
        <f aca="false">VLOOKUP(A14,BD_ORDENES!A:BE,25,FALSE())</f>
        <v>Bogotá, D.c.</v>
      </c>
      <c r="S14" s="68" t="str">
        <f aca="false">VLOOKUP(A14,BD_ORDENES!A:BE,22,FALSE())</f>
        <v>LEIDY DANIELA VASQUEZ CASTANEDA</v>
      </c>
      <c r="T14" s="65" t="n">
        <f aca="false">VLOOKUP(A14,BD_ORDENES!A:BE,55,FALSE())</f>
        <v>0</v>
      </c>
      <c r="U14" s="68" t="str">
        <f aca="false">VLOOKUP(A14,BD_ORDENES!A:BE,57,FALSE())</f>
        <v>1 ENVIA</v>
      </c>
      <c r="V14" s="70"/>
      <c r="W14" s="71"/>
    </row>
    <row r="15" s="72" customFormat="true" ht="98.25" hidden="false" customHeight="true" outlineLevel="0" collapsed="false">
      <c r="A15" s="62" t="n">
        <f aca="false">A14+1</f>
        <v>8</v>
      </c>
      <c r="B15" s="63" t="str">
        <f aca="false">VLOOKUP(A15,BD_ORDENES!A:BG,12,FALSE())</f>
        <v>__export__.product_product_331370_6e78ddf9</v>
      </c>
      <c r="C15" s="64" t="n">
        <v>8</v>
      </c>
      <c r="D15" s="65" t="str">
        <f aca="false">VLOOKUP(A15,BD_ORDENES!A:BE,10,0)</f>
        <v>PPGG</v>
      </c>
      <c r="E15" s="66" t="str">
        <f aca="false">VLOOKUP(A15,BD_ORDENES!A:BG,4,FALSE())</f>
        <v>1512934699623-01</v>
      </c>
      <c r="F15" s="66" t="str">
        <f aca="false">VLOOKUP(A15,BD_ORDENES!A:BE,56,FALSE())</f>
        <v>S273281</v>
      </c>
      <c r="G15" s="67" t="str">
        <f aca="false">VLOOKUP(A15,BD_ORDENES!A:BE,13,FALSE())</f>
        <v>SOFA SUIZA DORSEY INDIGO (MATIZ CAOBA)</v>
      </c>
      <c r="H15" s="68" t="str">
        <f aca="false">VLOOKUP(A15,BD_ORDENES!A:BE,17,FALSE())</f>
        <v>SOFA</v>
      </c>
      <c r="I15" s="68" t="str">
        <f aca="false">VLOOKUP(A15,BD_ORDENES!A:BE,18,FALSE())</f>
        <v>SUIZA</v>
      </c>
      <c r="J15" s="68" t="str">
        <f aca="false">VLOOKUP(A15,BD_ORDENES!A:BE,19,FALSE())</f>
        <v>DORSEY</v>
      </c>
      <c r="K15" s="68" t="str">
        <f aca="false">VLOOKUP(A15,BD_ORDENES!A:BE,20,FALSE())</f>
        <v>INDIGO</v>
      </c>
      <c r="L15" s="68" t="str">
        <f aca="false">VLOOKUP(A15,BD_ORDENES!A:BE,21,FALSE())</f>
        <v>MATIZ-CAOBA</v>
      </c>
      <c r="M15" s="69" t="n">
        <f aca="false">VLOOKUP(A15,BD_ORDENES!A:BE,14,FALSE())</f>
        <v>1</v>
      </c>
      <c r="N15" s="68" t="n">
        <f aca="false">VLOOKUP(A15,BD_ORDENES!A:BE,15,FALSE())</f>
        <v>0</v>
      </c>
      <c r="O15" s="68" t="str">
        <f aca="false">VLOOKUP(A15,BD_ORDENES!A:BE,33,FALSE())</f>
        <v>TRANSPORTADORA</v>
      </c>
      <c r="P15" s="68" t="n">
        <f aca="false">VLOOKUP(A15,BD_ORDENES!A:BE,23,FALSE())</f>
        <v>0</v>
      </c>
      <c r="Q15" s="68" t="str">
        <f aca="false">VLOOKUP(A15,BD_ORDENES!A:BE,52,FALSE())</f>
        <v>Obtener Bajo Pedido (MTO)</v>
      </c>
      <c r="R15" s="68" t="str">
        <f aca="false">VLOOKUP(A15,BD_ORDENES!A:BE,25,FALSE())</f>
        <v>Cali</v>
      </c>
      <c r="S15" s="68" t="str">
        <f aca="false">VLOOKUP(A15,BD_ORDENES!A:BE,22,FALSE())</f>
        <v>BRAYAN LONDONO</v>
      </c>
      <c r="T15" s="65" t="n">
        <f aca="false">VLOOKUP(A15,BD_ORDENES!A:BE,55,FALSE())</f>
        <v>0</v>
      </c>
      <c r="U15" s="68" t="str">
        <f aca="false">VLOOKUP(A15,BD_ORDENES!A:BE,57,FALSE())</f>
        <v>1 ENVIA</v>
      </c>
      <c r="V15" s="70"/>
      <c r="W15" s="71"/>
    </row>
    <row r="16" s="72" customFormat="true" ht="98.25" hidden="false" customHeight="true" outlineLevel="0" collapsed="false">
      <c r="A16" s="62" t="n">
        <f aca="false">A15+1</f>
        <v>9</v>
      </c>
      <c r="B16" s="63" t="str">
        <f aca="false">VLOOKUP(A16,BD_ORDENES!A:BG,12,FALSE())</f>
        <v>__export__.product_product_334530_989bd39b</v>
      </c>
      <c r="C16" s="64" t="n">
        <v>9</v>
      </c>
      <c r="D16" s="65" t="str">
        <f aca="false">VLOOKUP(A16,BD_ORDENES!A:BE,10,0)</f>
        <v>FALABELLA SELLER</v>
      </c>
      <c r="E16" s="66" t="n">
        <f aca="false">VLOOKUP(A16,BD_ORDENES!A:BG,4,FALSE())</f>
        <v>2736959765</v>
      </c>
      <c r="F16" s="66" t="str">
        <f aca="false">VLOOKUP(A16,BD_ORDENES!A:BE,56,FALSE())</f>
        <v>S273187</v>
      </c>
      <c r="G16" s="67" t="str">
        <f aca="false">VLOOKUP(A16,BD_ORDENES!A:BE,13,FALSE())</f>
        <v>SOFA BEIRA SKY AZUL (MATIZ CAOBA)</v>
      </c>
      <c r="H16" s="68" t="str">
        <f aca="false">VLOOKUP(A16,BD_ORDENES!A:BE,17,FALSE())</f>
        <v>SOFA</v>
      </c>
      <c r="I16" s="68" t="str">
        <f aca="false">VLOOKUP(A16,BD_ORDENES!A:BE,18,FALSE())</f>
        <v>BEIRA</v>
      </c>
      <c r="J16" s="68" t="str">
        <f aca="false">VLOOKUP(A16,BD_ORDENES!A:BE,19,FALSE())</f>
        <v>SKY</v>
      </c>
      <c r="K16" s="68" t="str">
        <f aca="false">VLOOKUP(A16,BD_ORDENES!A:BE,20,FALSE())</f>
        <v>AZUL</v>
      </c>
      <c r="L16" s="68" t="str">
        <f aca="false">VLOOKUP(A16,BD_ORDENES!A:BE,21,FALSE())</f>
        <v>MATIZ-CAOBA</v>
      </c>
      <c r="M16" s="69" t="n">
        <f aca="false">VLOOKUP(A16,BD_ORDENES!A:BE,14,FALSE())</f>
        <v>1</v>
      </c>
      <c r="N16" s="68" t="n">
        <f aca="false">VLOOKUP(A16,BD_ORDENES!A:BE,15,FALSE())</f>
        <v>0</v>
      </c>
      <c r="O16" s="68" t="str">
        <f aca="false">VLOOKUP(A16,BD_ORDENES!A:BE,33,FALSE())</f>
        <v>TRANSPORTADORA</v>
      </c>
      <c r="P16" s="68" t="n">
        <f aca="false">VLOOKUP(A16,BD_ORDENES!A:BE,23,FALSE())</f>
        <v>0</v>
      </c>
      <c r="Q16" s="68" t="str">
        <f aca="false">VLOOKUP(A16,BD_ORDENES!A:BE,52,FALSE())</f>
        <v>Obtener Bajo Pedido (MTO)</v>
      </c>
      <c r="R16" s="68" t="str">
        <f aca="false">VLOOKUP(A16,BD_ORDENES!A:BE,25,FALSE())</f>
        <v>CHAPINERO</v>
      </c>
      <c r="S16" s="68" t="str">
        <f aca="false">VLOOKUP(A16,BD_ORDENES!A:BE,22,FALSE())</f>
        <v>JUAN PABLO RICO</v>
      </c>
      <c r="T16" s="65" t="str">
        <f aca="false">VLOOKUP(A16,BD_ORDENES!A:BE,55,FALSE())</f>
        <v>PRODUCCION</v>
      </c>
      <c r="U16" s="68" t="str">
        <f aca="false">VLOOKUP(A16,BD_ORDENES!A:BE,57,FALSE())</f>
        <v>1 ENVIA</v>
      </c>
      <c r="V16" s="70"/>
      <c r="W16" s="71"/>
    </row>
    <row r="17" s="72" customFormat="true" ht="98.25" hidden="false" customHeight="true" outlineLevel="0" collapsed="false">
      <c r="A17" s="62" t="n">
        <f aca="false">A16+1</f>
        <v>10</v>
      </c>
      <c r="B17" s="63" t="str">
        <f aca="false">VLOOKUP(A17,BD_ORDENES!A:BG,12,FALSE())</f>
        <v>__export__.product_product_301334_f84a59a5</v>
      </c>
      <c r="C17" s="64" t="n">
        <v>10</v>
      </c>
      <c r="D17" s="65" t="str">
        <f aca="false">VLOOKUP(A17,BD_ORDENES!A:BE,10,0)</f>
        <v>EXHIBICION TIENDA CEDRITOS</v>
      </c>
      <c r="E17" s="66" t="str">
        <f aca="false">VLOOKUP(A17,BD_ORDENES!A:BG,4,FALSE())</f>
        <v>TBC046</v>
      </c>
      <c r="F17" s="66" t="str">
        <f aca="false">VLOOKUP(A17,BD_ORDENES!A:BE,56,FALSE())</f>
        <v>S272828</v>
      </c>
      <c r="G17" s="67" t="str">
        <f aca="false">VLOOKUP(A17,BD_ORDENES!A:BE,13,FALSE())</f>
        <v>COJIN DECORATIVO BALLS COLORS</v>
      </c>
      <c r="H17" s="68" t="str">
        <f aca="false">VLOOKUP(A17,BD_ORDENES!A:BE,17,FALSE())</f>
        <v>COJIN</v>
      </c>
      <c r="I17" s="68" t="str">
        <f aca="false">VLOOKUP(A17,BD_ORDENES!A:BE,18,FALSE())</f>
        <v>DECORATIVO</v>
      </c>
      <c r="J17" s="68" t="n">
        <f aca="false">VLOOKUP(A17,BD_ORDENES!A:BE,19,FALSE())</f>
        <v>0</v>
      </c>
      <c r="K17" s="68" t="str">
        <f aca="false">VLOOKUP(A17,BD_ORDENES!A:BE,20,FALSE())</f>
        <v>BALLS-COLORS</v>
      </c>
      <c r="L17" s="68" t="n">
        <f aca="false">VLOOKUP(A17,BD_ORDENES!A:BE,21,FALSE())</f>
        <v>0</v>
      </c>
      <c r="M17" s="69" t="n">
        <f aca="false">VLOOKUP(A17,BD_ORDENES!A:BE,14,FALSE())</f>
        <v>2</v>
      </c>
      <c r="N17" s="68" t="n">
        <f aca="false">VLOOKUP(A17,BD_ORDENES!A:BE,15,FALSE())</f>
        <v>0</v>
      </c>
      <c r="O17" s="68" t="str">
        <f aca="false">VLOOKUP(A17,BD_ORDENES!A:BE,33,FALSE())</f>
        <v>TRANSPORTADORA</v>
      </c>
      <c r="P17" s="68" t="n">
        <f aca="false">VLOOKUP(A17,BD_ORDENES!A:BE,23,FALSE())</f>
        <v>0</v>
      </c>
      <c r="Q17" s="68" t="str">
        <f aca="false">VLOOKUP(A17,BD_ORDENES!A:BE,52,FALSE())</f>
        <v>Retiro DECORACION POR ENTREGAR</v>
      </c>
      <c r="R17" s="68" t="str">
        <f aca="false">VLOOKUP(A17,BD_ORDENES!A:BE,25,FALSE())</f>
        <v>CHAPINERO</v>
      </c>
      <c r="S17" s="68" t="str">
        <f aca="false">VLOOKUP(A17,BD_ORDENES!A:BE,22,FALSE())</f>
        <v>EXHIBICION TIENDA CEDRITOS</v>
      </c>
      <c r="T17" s="65" t="str">
        <f aca="false">VLOOKUP(A17,BD_ORDENES!A:BE,55,FALSE())</f>
        <v>PRODUCCION</v>
      </c>
      <c r="U17" s="68" t="str">
        <f aca="false">VLOOKUP(A17,BD_ORDENES!A:BE,57,FALSE())</f>
        <v>1 ENVIA</v>
      </c>
      <c r="V17" s="70"/>
      <c r="W17" s="71"/>
    </row>
    <row r="18" s="72" customFormat="true" ht="98.25" hidden="false" customHeight="true" outlineLevel="0" collapsed="false">
      <c r="A18" s="62" t="n">
        <f aca="false">A17+1</f>
        <v>11</v>
      </c>
      <c r="B18" s="63" t="str">
        <f aca="false">VLOOKUP(A18,BD_ORDENES!A:BG,12,FALSE())</f>
        <v>__export__.product_product_331700_825e88ce</v>
      </c>
      <c r="C18" s="64" t="n">
        <v>11</v>
      </c>
      <c r="D18" s="65" t="str">
        <f aca="false">VLOOKUP(A18,BD_ORDENES!A:BE,10,0)</f>
        <v>EXHIBICION TIENDA CEDRITOS</v>
      </c>
      <c r="E18" s="66" t="str">
        <f aca="false">VLOOKUP(A18,BD_ORDENES!A:BG,4,FALSE())</f>
        <v>TBC046</v>
      </c>
      <c r="F18" s="66" t="str">
        <f aca="false">VLOOKUP(A18,BD_ORDENES!A:BE,56,FALSE())</f>
        <v>S272828</v>
      </c>
      <c r="G18" s="67" t="str">
        <f aca="false">VLOOKUP(A18,BD_ORDENES!A:BE,13,FALSE())</f>
        <v>COJIN DECORATIVO FLOR ROJA</v>
      </c>
      <c r="H18" s="68" t="str">
        <f aca="false">VLOOKUP(A18,BD_ORDENES!A:BE,17,FALSE())</f>
        <v>COJIN</v>
      </c>
      <c r="I18" s="68" t="str">
        <f aca="false">VLOOKUP(A18,BD_ORDENES!A:BE,18,FALSE())</f>
        <v>DECORATIVO-FLOR-ROJA</v>
      </c>
      <c r="J18" s="68" t="n">
        <f aca="false">VLOOKUP(A18,BD_ORDENES!A:BE,19,FALSE())</f>
        <v>0</v>
      </c>
      <c r="K18" s="68" t="n">
        <f aca="false">VLOOKUP(A18,BD_ORDENES!A:BE,20,FALSE())</f>
        <v>0</v>
      </c>
      <c r="L18" s="68" t="n">
        <f aca="false">VLOOKUP(A18,BD_ORDENES!A:BE,21,FALSE())</f>
        <v>0</v>
      </c>
      <c r="M18" s="69" t="n">
        <f aca="false">VLOOKUP(A18,BD_ORDENES!A:BE,14,FALSE())</f>
        <v>2</v>
      </c>
      <c r="N18" s="68" t="n">
        <f aca="false">VLOOKUP(A18,BD_ORDENES!A:BE,15,FALSE())</f>
        <v>0</v>
      </c>
      <c r="O18" s="68" t="str">
        <f aca="false">VLOOKUP(A18,BD_ORDENES!A:BE,33,FALSE())</f>
        <v>TRANSPORTADORA</v>
      </c>
      <c r="P18" s="68" t="n">
        <f aca="false">VLOOKUP(A18,BD_ORDENES!A:BE,23,FALSE())</f>
        <v>0</v>
      </c>
      <c r="Q18" s="68" t="str">
        <f aca="false">VLOOKUP(A18,BD_ORDENES!A:BE,52,FALSE())</f>
        <v>Retiro DECORACION POR ENTREGAR</v>
      </c>
      <c r="R18" s="68" t="str">
        <f aca="false">VLOOKUP(A18,BD_ORDENES!A:BE,25,FALSE())</f>
        <v>CHAPINERO</v>
      </c>
      <c r="S18" s="68" t="str">
        <f aca="false">VLOOKUP(A18,BD_ORDENES!A:BE,22,FALSE())</f>
        <v>EXHIBICION TIENDA CEDRITOS</v>
      </c>
      <c r="T18" s="65" t="str">
        <f aca="false">VLOOKUP(A18,BD_ORDENES!A:BE,55,FALSE())</f>
        <v>PRODUCCION</v>
      </c>
      <c r="U18" s="68" t="str">
        <f aca="false">VLOOKUP(A18,BD_ORDENES!A:BE,57,FALSE())</f>
        <v>1 ENVIA</v>
      </c>
      <c r="V18" s="70"/>
      <c r="W18" s="71"/>
    </row>
    <row r="19" s="72" customFormat="true" ht="98.25" hidden="false" customHeight="true" outlineLevel="0" collapsed="false">
      <c r="A19" s="62" t="n">
        <f aca="false">A18+1</f>
        <v>12</v>
      </c>
      <c r="B19" s="63" t="str">
        <f aca="false">VLOOKUP(A19,BD_ORDENES!A:BG,12,FALSE())</f>
        <v>__export__.product_product_263436_796fa4e2</v>
      </c>
      <c r="C19" s="64" t="n">
        <v>12</v>
      </c>
      <c r="D19" s="65" t="str">
        <f aca="false">VLOOKUP(A19,BD_ORDENES!A:BE,10,0)</f>
        <v>EXHIBICION TIENDA CEDRITOS</v>
      </c>
      <c r="E19" s="66" t="str">
        <f aca="false">VLOOKUP(A19,BD_ORDENES!A:BG,4,FALSE())</f>
        <v>TBC046</v>
      </c>
      <c r="F19" s="66" t="str">
        <f aca="false">VLOOKUP(A19,BD_ORDENES!A:BE,56,FALSE())</f>
        <v>S272828</v>
      </c>
      <c r="G19" s="67" t="str">
        <f aca="false">VLOOKUP(A19,BD_ORDENES!A:BE,13,FALSE())</f>
        <v>COJIN DECORATIVO MANDALA AZUL</v>
      </c>
      <c r="H19" s="68" t="str">
        <f aca="false">VLOOKUP(A19,BD_ORDENES!A:BE,17,FALSE())</f>
        <v>COJIN</v>
      </c>
      <c r="I19" s="68" t="str">
        <f aca="false">VLOOKUP(A19,BD_ORDENES!A:BE,18,FALSE())</f>
        <v>DECORATIVO</v>
      </c>
      <c r="J19" s="68" t="n">
        <f aca="false">VLOOKUP(A19,BD_ORDENES!A:BE,19,FALSE())</f>
        <v>0</v>
      </c>
      <c r="K19" s="68" t="str">
        <f aca="false">VLOOKUP(A19,BD_ORDENES!A:BE,20,FALSE())</f>
        <v>MANDALA-AZUL</v>
      </c>
      <c r="L19" s="68" t="n">
        <f aca="false">VLOOKUP(A19,BD_ORDENES!A:BE,21,FALSE())</f>
        <v>0</v>
      </c>
      <c r="M19" s="69" t="n">
        <f aca="false">VLOOKUP(A19,BD_ORDENES!A:BE,14,FALSE())</f>
        <v>2</v>
      </c>
      <c r="N19" s="68" t="n">
        <f aca="false">VLOOKUP(A19,BD_ORDENES!A:BE,15,FALSE())</f>
        <v>0</v>
      </c>
      <c r="O19" s="68" t="str">
        <f aca="false">VLOOKUP(A19,BD_ORDENES!A:BE,33,FALSE())</f>
        <v>TRANSPORTADORA</v>
      </c>
      <c r="P19" s="68" t="n">
        <f aca="false">VLOOKUP(A19,BD_ORDENES!A:BE,23,FALSE())</f>
        <v>0</v>
      </c>
      <c r="Q19" s="68" t="str">
        <f aca="false">VLOOKUP(A19,BD_ORDENES!A:BE,52,FALSE())</f>
        <v>Retiro DECORACION POR ENTREGAR</v>
      </c>
      <c r="R19" s="68" t="str">
        <f aca="false">VLOOKUP(A19,BD_ORDENES!A:BE,25,FALSE())</f>
        <v>CHAPINERO</v>
      </c>
      <c r="S19" s="68" t="str">
        <f aca="false">VLOOKUP(A19,BD_ORDENES!A:BE,22,FALSE())</f>
        <v>EXHIBICION TIENDA CEDRITOS</v>
      </c>
      <c r="T19" s="65" t="str">
        <f aca="false">VLOOKUP(A19,BD_ORDENES!A:BE,55,FALSE())</f>
        <v>PRODUCCION</v>
      </c>
      <c r="U19" s="68" t="str">
        <f aca="false">VLOOKUP(A19,BD_ORDENES!A:BE,57,FALSE())</f>
        <v>1 ENVIA</v>
      </c>
      <c r="V19" s="70"/>
      <c r="W19" s="71"/>
    </row>
    <row r="20" s="72" customFormat="true" ht="98.25" hidden="false" customHeight="true" outlineLevel="0" collapsed="false">
      <c r="A20" s="62" t="n">
        <f aca="false">A19+1</f>
        <v>13</v>
      </c>
      <c r="B20" s="63" t="str">
        <f aca="false">VLOOKUP(A20,BD_ORDENES!A:BG,12,FALSE())</f>
        <v>__export__.product_product_325399_46ab0d67</v>
      </c>
      <c r="C20" s="64" t="n">
        <v>13</v>
      </c>
      <c r="D20" s="65" t="str">
        <f aca="false">VLOOKUP(A20,BD_ORDENES!A:BE,10,0)</f>
        <v>EXHIBICION TIENDA CEDRITOS</v>
      </c>
      <c r="E20" s="66" t="str">
        <f aca="false">VLOOKUP(A20,BD_ORDENES!A:BG,4,FALSE())</f>
        <v>TBC046</v>
      </c>
      <c r="F20" s="66" t="str">
        <f aca="false">VLOOKUP(A20,BD_ORDENES!A:BE,56,FALSE())</f>
        <v>S272828</v>
      </c>
      <c r="G20" s="67" t="str">
        <f aca="false">VLOOKUP(A20,BD_ORDENES!A:BE,13,FALSE())</f>
        <v>COJIN DECORATIVO PLANTAS</v>
      </c>
      <c r="H20" s="68" t="str">
        <f aca="false">VLOOKUP(A20,BD_ORDENES!A:BE,17,FALSE())</f>
        <v>COJIN</v>
      </c>
      <c r="I20" s="68" t="str">
        <f aca="false">VLOOKUP(A20,BD_ORDENES!A:BE,18,FALSE())</f>
        <v>DECORATIVO-PLATAS</v>
      </c>
      <c r="J20" s="68" t="n">
        <f aca="false">VLOOKUP(A20,BD_ORDENES!A:BE,19,FALSE())</f>
        <v>0</v>
      </c>
      <c r="K20" s="68" t="n">
        <f aca="false">VLOOKUP(A20,BD_ORDENES!A:BE,20,FALSE())</f>
        <v>0</v>
      </c>
      <c r="L20" s="68" t="n">
        <f aca="false">VLOOKUP(A20,BD_ORDENES!A:BE,21,FALSE())</f>
        <v>0</v>
      </c>
      <c r="M20" s="69" t="n">
        <f aca="false">VLOOKUP(A20,BD_ORDENES!A:BE,14,FALSE())</f>
        <v>2</v>
      </c>
      <c r="N20" s="68" t="n">
        <f aca="false">VLOOKUP(A20,BD_ORDENES!A:BE,15,FALSE())</f>
        <v>0</v>
      </c>
      <c r="O20" s="68" t="str">
        <f aca="false">VLOOKUP(A20,BD_ORDENES!A:BE,33,FALSE())</f>
        <v>TRANSPORTADORA</v>
      </c>
      <c r="P20" s="68" t="n">
        <f aca="false">VLOOKUP(A20,BD_ORDENES!A:BE,23,FALSE())</f>
        <v>0</v>
      </c>
      <c r="Q20" s="68" t="str">
        <f aca="false">VLOOKUP(A20,BD_ORDENES!A:BE,52,FALSE())</f>
        <v>Retiro DECORACION POR ENTREGAR</v>
      </c>
      <c r="R20" s="68" t="str">
        <f aca="false">VLOOKUP(A20,BD_ORDENES!A:BE,25,FALSE())</f>
        <v>CHAPINERO</v>
      </c>
      <c r="S20" s="68" t="str">
        <f aca="false">VLOOKUP(A20,BD_ORDENES!A:BE,22,FALSE())</f>
        <v>EXHIBICION TIENDA CEDRITOS</v>
      </c>
      <c r="T20" s="65" t="str">
        <f aca="false">VLOOKUP(A20,BD_ORDENES!A:BE,55,FALSE())</f>
        <v>PRODUCCION</v>
      </c>
      <c r="U20" s="68" t="str">
        <f aca="false">VLOOKUP(A20,BD_ORDENES!A:BE,57,FALSE())</f>
        <v>1 ENVIA</v>
      </c>
      <c r="V20" s="70"/>
      <c r="W20" s="71"/>
    </row>
    <row r="21" s="72" customFormat="true" ht="98.25" hidden="false" customHeight="true" outlineLevel="0" collapsed="false">
      <c r="A21" s="62" t="n">
        <f aca="false">A20+1</f>
        <v>14</v>
      </c>
      <c r="B21" s="63" t="str">
        <f aca="false">VLOOKUP(A21,BD_ORDENES!A:BG,12,FALSE())</f>
        <v>__export__.product_product_331698_2aeb67e4</v>
      </c>
      <c r="C21" s="64" t="n">
        <v>14</v>
      </c>
      <c r="D21" s="65" t="str">
        <f aca="false">VLOOKUP(A21,BD_ORDENES!A:BE,10,0)</f>
        <v>EXHIBICION TIENDA CEDRITOS</v>
      </c>
      <c r="E21" s="66" t="str">
        <f aca="false">VLOOKUP(A21,BD_ORDENES!A:BG,4,FALSE())</f>
        <v>TBC046</v>
      </c>
      <c r="F21" s="66" t="str">
        <f aca="false">VLOOKUP(A21,BD_ORDENES!A:BE,56,FALSE())</f>
        <v>S272828</v>
      </c>
      <c r="G21" s="67" t="str">
        <f aca="false">VLOOKUP(A21,BD_ORDENES!A:BE,13,FALSE())</f>
        <v>COJIN DECORATIVO SILVESTRE</v>
      </c>
      <c r="H21" s="68" t="str">
        <f aca="false">VLOOKUP(A21,BD_ORDENES!A:BE,17,FALSE())</f>
        <v>COJIN</v>
      </c>
      <c r="I21" s="68" t="str">
        <f aca="false">VLOOKUP(A21,BD_ORDENES!A:BE,18,FALSE())</f>
        <v>DECORATIVO-SILVESTRE</v>
      </c>
      <c r="J21" s="68" t="n">
        <f aca="false">VLOOKUP(A21,BD_ORDENES!A:BE,19,FALSE())</f>
        <v>0</v>
      </c>
      <c r="K21" s="68" t="n">
        <f aca="false">VLOOKUP(A21,BD_ORDENES!A:BE,20,FALSE())</f>
        <v>0</v>
      </c>
      <c r="L21" s="68" t="n">
        <f aca="false">VLOOKUP(A21,BD_ORDENES!A:BE,21,FALSE())</f>
        <v>0</v>
      </c>
      <c r="M21" s="69" t="n">
        <f aca="false">VLOOKUP(A21,BD_ORDENES!A:BE,14,FALSE())</f>
        <v>2</v>
      </c>
      <c r="N21" s="68" t="n">
        <f aca="false">VLOOKUP(A21,BD_ORDENES!A:BE,15,FALSE())</f>
        <v>0</v>
      </c>
      <c r="O21" s="68" t="str">
        <f aca="false">VLOOKUP(A21,BD_ORDENES!A:BE,33,FALSE())</f>
        <v>TRANSPORTADORA</v>
      </c>
      <c r="P21" s="68" t="n">
        <f aca="false">VLOOKUP(A21,BD_ORDENES!A:BE,23,FALSE())</f>
        <v>0</v>
      </c>
      <c r="Q21" s="68" t="str">
        <f aca="false">VLOOKUP(A21,BD_ORDENES!A:BE,52,FALSE())</f>
        <v>Retiro DECORACION POR ENTREGAR</v>
      </c>
      <c r="R21" s="68" t="str">
        <f aca="false">VLOOKUP(A21,BD_ORDENES!A:BE,25,FALSE())</f>
        <v>CHAPINERO</v>
      </c>
      <c r="S21" s="68" t="str">
        <f aca="false">VLOOKUP(A21,BD_ORDENES!A:BE,22,FALSE())</f>
        <v>EXHIBICION TIENDA CEDRITOS</v>
      </c>
      <c r="T21" s="65" t="str">
        <f aca="false">VLOOKUP(A21,BD_ORDENES!A:BE,55,FALSE())</f>
        <v>PRODUCCION</v>
      </c>
      <c r="U21" s="68" t="str">
        <f aca="false">VLOOKUP(A21,BD_ORDENES!A:BE,57,FALSE())</f>
        <v>1 ENVIA</v>
      </c>
      <c r="V21" s="70"/>
      <c r="W21" s="71"/>
    </row>
    <row r="22" s="72" customFormat="true" ht="98.25" hidden="false" customHeight="true" outlineLevel="0" collapsed="false">
      <c r="A22" s="62" t="n">
        <f aca="false">A21+1</f>
        <v>15</v>
      </c>
      <c r="B22" s="63" t="str">
        <f aca="false">VLOOKUP(A22,BD_ORDENES!A:BG,12,FALSE())</f>
        <v>__export__.product_product_325395_d968f2c6</v>
      </c>
      <c r="C22" s="64" t="n">
        <v>15</v>
      </c>
      <c r="D22" s="65" t="str">
        <f aca="false">VLOOKUP(A22,BD_ORDENES!A:BE,10,0)</f>
        <v>EXHIBICION TIENDA CEDRITOS</v>
      </c>
      <c r="E22" s="66" t="str">
        <f aca="false">VLOOKUP(A22,BD_ORDENES!A:BG,4,FALSE())</f>
        <v>TBC046</v>
      </c>
      <c r="F22" s="66" t="str">
        <f aca="false">VLOOKUP(A22,BD_ORDENES!A:BE,56,FALSE())</f>
        <v>S272828</v>
      </c>
      <c r="G22" s="67" t="str">
        <f aca="false">VLOOKUP(A22,BD_ORDENES!A:BE,13,FALSE())</f>
        <v>COJIN DECORATIVO TRIANGULO GRIS ROSA</v>
      </c>
      <c r="H22" s="68" t="str">
        <f aca="false">VLOOKUP(A22,BD_ORDENES!A:BE,17,FALSE())</f>
        <v>COJIN</v>
      </c>
      <c r="I22" s="68" t="str">
        <f aca="false">VLOOKUP(A22,BD_ORDENES!A:BE,18,FALSE())</f>
        <v>DECORATIVO-TRIANGULO-GRIS-ROSA</v>
      </c>
      <c r="J22" s="68" t="n">
        <f aca="false">VLOOKUP(A22,BD_ORDENES!A:BE,19,FALSE())</f>
        <v>0</v>
      </c>
      <c r="K22" s="68" t="n">
        <f aca="false">VLOOKUP(A22,BD_ORDENES!A:BE,20,FALSE())</f>
        <v>0</v>
      </c>
      <c r="L22" s="68" t="n">
        <f aca="false">VLOOKUP(A22,BD_ORDENES!A:BE,21,FALSE())</f>
        <v>0</v>
      </c>
      <c r="M22" s="69" t="n">
        <f aca="false">VLOOKUP(A22,BD_ORDENES!A:BE,14,FALSE())</f>
        <v>2</v>
      </c>
      <c r="N22" s="68" t="n">
        <f aca="false">VLOOKUP(A22,BD_ORDENES!A:BE,15,FALSE())</f>
        <v>0</v>
      </c>
      <c r="O22" s="68" t="str">
        <f aca="false">VLOOKUP(A22,BD_ORDENES!A:BE,33,FALSE())</f>
        <v>TRANSPORTADORA</v>
      </c>
      <c r="P22" s="68" t="n">
        <f aca="false">VLOOKUP(A22,BD_ORDENES!A:BE,23,FALSE())</f>
        <v>0</v>
      </c>
      <c r="Q22" s="68" t="str">
        <f aca="false">VLOOKUP(A22,BD_ORDENES!A:BE,52,FALSE())</f>
        <v>Retiro DECORACION POR ENTREGAR</v>
      </c>
      <c r="R22" s="68" t="str">
        <f aca="false">VLOOKUP(A22,BD_ORDENES!A:BE,25,FALSE())</f>
        <v>CHAPINERO</v>
      </c>
      <c r="S22" s="68" t="str">
        <f aca="false">VLOOKUP(A22,BD_ORDENES!A:BE,22,FALSE())</f>
        <v>EXHIBICION TIENDA CEDRITOS</v>
      </c>
      <c r="T22" s="65" t="str">
        <f aca="false">VLOOKUP(A22,BD_ORDENES!A:BE,55,FALSE())</f>
        <v>PRODUCCION</v>
      </c>
      <c r="U22" s="68" t="str">
        <f aca="false">VLOOKUP(A22,BD_ORDENES!A:BE,57,FALSE())</f>
        <v>1 ENVIA</v>
      </c>
      <c r="V22" s="70"/>
      <c r="W22" s="71"/>
    </row>
    <row r="23" s="72" customFormat="true" ht="98.25" hidden="false" customHeight="true" outlineLevel="0" collapsed="false">
      <c r="A23" s="62" t="n">
        <f aca="false">A22+1</f>
        <v>16</v>
      </c>
      <c r="B23" s="63" t="str">
        <f aca="false">VLOOKUP(A23,BD_ORDENES!A:BG,12,FALSE())</f>
        <v>__export__.product_product_301333_f434bdf2</v>
      </c>
      <c r="C23" s="64" t="n">
        <v>16</v>
      </c>
      <c r="D23" s="65" t="str">
        <f aca="false">VLOOKUP(A23,BD_ORDENES!A:BE,10,0)</f>
        <v>EXHIBICION TIENDA CEDRITOS</v>
      </c>
      <c r="E23" s="66" t="str">
        <f aca="false">VLOOKUP(A23,BD_ORDENES!A:BG,4,FALSE())</f>
        <v>TBC046</v>
      </c>
      <c r="F23" s="66" t="str">
        <f aca="false">VLOOKUP(A23,BD_ORDENES!A:BE,56,FALSE())</f>
        <v>S272828</v>
      </c>
      <c r="G23" s="67" t="str">
        <f aca="false">VLOOKUP(A23,BD_ORDENES!A:BE,13,FALSE())</f>
        <v>COJIN DECORATIVO ELEFANTE</v>
      </c>
      <c r="H23" s="68" t="str">
        <f aca="false">VLOOKUP(A23,BD_ORDENES!A:BE,17,FALSE())</f>
        <v>COJIN</v>
      </c>
      <c r="I23" s="68" t="str">
        <f aca="false">VLOOKUP(A23,BD_ORDENES!A:BE,18,FALSE())</f>
        <v>DECORATIVO</v>
      </c>
      <c r="J23" s="68" t="n">
        <f aca="false">VLOOKUP(A23,BD_ORDENES!A:BE,19,FALSE())</f>
        <v>0</v>
      </c>
      <c r="K23" s="68" t="str">
        <f aca="false">VLOOKUP(A23,BD_ORDENES!A:BE,20,FALSE())</f>
        <v>ELEFANTE</v>
      </c>
      <c r="L23" s="68" t="n">
        <f aca="false">VLOOKUP(A23,BD_ORDENES!A:BE,21,FALSE())</f>
        <v>0</v>
      </c>
      <c r="M23" s="69" t="n">
        <f aca="false">VLOOKUP(A23,BD_ORDENES!A:BE,14,FALSE())</f>
        <v>1</v>
      </c>
      <c r="N23" s="68" t="n">
        <f aca="false">VLOOKUP(A23,BD_ORDENES!A:BE,15,FALSE())</f>
        <v>0</v>
      </c>
      <c r="O23" s="68" t="str">
        <f aca="false">VLOOKUP(A23,BD_ORDENES!A:BE,33,FALSE())</f>
        <v>TRANSPORTADORA</v>
      </c>
      <c r="P23" s="68" t="n">
        <f aca="false">VLOOKUP(A23,BD_ORDENES!A:BE,23,FALSE())</f>
        <v>0</v>
      </c>
      <c r="Q23" s="68" t="str">
        <f aca="false">VLOOKUP(A23,BD_ORDENES!A:BE,52,FALSE())</f>
        <v>Retiro DECORACION POR ENTREGAR</v>
      </c>
      <c r="R23" s="68" t="str">
        <f aca="false">VLOOKUP(A23,BD_ORDENES!A:BE,25,FALSE())</f>
        <v>CHAPINERO</v>
      </c>
      <c r="S23" s="68" t="str">
        <f aca="false">VLOOKUP(A23,BD_ORDENES!A:BE,22,FALSE())</f>
        <v>EXHIBICION TIENDA CEDRITOS</v>
      </c>
      <c r="T23" s="65" t="str">
        <f aca="false">VLOOKUP(A23,BD_ORDENES!A:BE,55,FALSE())</f>
        <v>PRODUCCION</v>
      </c>
      <c r="U23" s="68" t="str">
        <f aca="false">VLOOKUP(A23,BD_ORDENES!A:BE,57,FALSE())</f>
        <v>1 ENVIA</v>
      </c>
      <c r="V23" s="70"/>
      <c r="W23" s="71"/>
    </row>
    <row r="24" s="72" customFormat="true" ht="98.25" hidden="false" customHeight="true" outlineLevel="0" collapsed="false">
      <c r="A24" s="62" t="n">
        <f aca="false">A23+1</f>
        <v>17</v>
      </c>
      <c r="B24" s="63" t="str">
        <f aca="false">VLOOKUP(A24,BD_ORDENES!A:BG,12,FALSE())</f>
        <v>__export__.product_product_245283_867b75e1</v>
      </c>
      <c r="C24" s="64" t="n">
        <v>17</v>
      </c>
      <c r="D24" s="65" t="str">
        <f aca="false">VLOOKUP(A24,BD_ORDENES!A:BE,10,0)</f>
        <v>EXHIBICION TIENDA CEDRITOS</v>
      </c>
      <c r="E24" s="66" t="str">
        <f aca="false">VLOOKUP(A24,BD_ORDENES!A:BG,4,FALSE())</f>
        <v>TBC046</v>
      </c>
      <c r="F24" s="66" t="str">
        <f aca="false">VLOOKUP(A24,BD_ORDENES!A:BE,56,FALSE())</f>
        <v>S272828</v>
      </c>
      <c r="G24" s="67" t="str">
        <f aca="false">VLOOKUP(A24,BD_ORDENES!A:BE,13,FALSE())</f>
        <v>COJIN DECORATIVO GRIS WELL LETRAS</v>
      </c>
      <c r="H24" s="68" t="str">
        <f aca="false">VLOOKUP(A24,BD_ORDENES!A:BE,17,FALSE())</f>
        <v>COJIN</v>
      </c>
      <c r="I24" s="68" t="str">
        <f aca="false">VLOOKUP(A24,BD_ORDENES!A:BE,18,FALSE())</f>
        <v>DECORATIVO</v>
      </c>
      <c r="J24" s="68" t="n">
        <f aca="false">VLOOKUP(A24,BD_ORDENES!A:BE,19,FALSE())</f>
        <v>0</v>
      </c>
      <c r="K24" s="68" t="str">
        <f aca="false">VLOOKUP(A24,BD_ORDENES!A:BE,20,FALSE())</f>
        <v>GRIS-WELL-LETRAS</v>
      </c>
      <c r="L24" s="68" t="n">
        <f aca="false">VLOOKUP(A24,BD_ORDENES!A:BE,21,FALSE())</f>
        <v>0</v>
      </c>
      <c r="M24" s="69" t="n">
        <f aca="false">VLOOKUP(A24,BD_ORDENES!A:BE,14,FALSE())</f>
        <v>1</v>
      </c>
      <c r="N24" s="68" t="n">
        <f aca="false">VLOOKUP(A24,BD_ORDENES!A:BE,15,FALSE())</f>
        <v>0</v>
      </c>
      <c r="O24" s="68" t="str">
        <f aca="false">VLOOKUP(A24,BD_ORDENES!A:BE,33,FALSE())</f>
        <v>TRANSPORTADORA</v>
      </c>
      <c r="P24" s="68" t="n">
        <f aca="false">VLOOKUP(A24,BD_ORDENES!A:BE,23,FALSE())</f>
        <v>0</v>
      </c>
      <c r="Q24" s="68" t="str">
        <f aca="false">VLOOKUP(A24,BD_ORDENES!A:BE,52,FALSE())</f>
        <v>Retiro DECORACION POR ENTREGAR</v>
      </c>
      <c r="R24" s="68" t="str">
        <f aca="false">VLOOKUP(A24,BD_ORDENES!A:BE,25,FALSE())</f>
        <v>CHAPINERO</v>
      </c>
      <c r="S24" s="68" t="str">
        <f aca="false">VLOOKUP(A24,BD_ORDENES!A:BE,22,FALSE())</f>
        <v>EXHIBICION TIENDA CEDRITOS</v>
      </c>
      <c r="T24" s="65" t="str">
        <f aca="false">VLOOKUP(A24,BD_ORDENES!A:BE,55,FALSE())</f>
        <v>PRODUCCION</v>
      </c>
      <c r="U24" s="68" t="str">
        <f aca="false">VLOOKUP(A24,BD_ORDENES!A:BE,57,FALSE())</f>
        <v>1 ENVIA</v>
      </c>
      <c r="V24" s="70"/>
      <c r="W24" s="71"/>
    </row>
    <row r="25" s="72" customFormat="true" ht="98.25" hidden="false" customHeight="true" outlineLevel="0" collapsed="false">
      <c r="A25" s="62" t="n">
        <f aca="false">A24+1</f>
        <v>18</v>
      </c>
      <c r="B25" s="63" t="str">
        <f aca="false">VLOOKUP(A25,BD_ORDENES!A:BG,12,FALSE())</f>
        <v>__export__.product_product_281913_a00cdb34</v>
      </c>
      <c r="C25" s="64" t="n">
        <v>18</v>
      </c>
      <c r="D25" s="65" t="str">
        <f aca="false">VLOOKUP(A25,BD_ORDENES!A:BE,10,0)</f>
        <v>EXHIBICION TIENDA CEDRITOS</v>
      </c>
      <c r="E25" s="66" t="str">
        <f aca="false">VLOOKUP(A25,BD_ORDENES!A:BG,4,FALSE())</f>
        <v>TBC046</v>
      </c>
      <c r="F25" s="66" t="str">
        <f aca="false">VLOOKUP(A25,BD_ORDENES!A:BE,56,FALSE())</f>
        <v>S272828</v>
      </c>
      <c r="G25" s="67" t="str">
        <f aca="false">VLOOKUP(A25,BD_ORDENES!A:BE,13,FALSE())</f>
        <v>COJIN DECORATIVO HOME</v>
      </c>
      <c r="H25" s="68" t="str">
        <f aca="false">VLOOKUP(A25,BD_ORDENES!A:BE,17,FALSE())</f>
        <v>COJIN</v>
      </c>
      <c r="I25" s="68" t="str">
        <f aca="false">VLOOKUP(A25,BD_ORDENES!A:BE,18,FALSE())</f>
        <v>DECORATIVO</v>
      </c>
      <c r="J25" s="68" t="n">
        <f aca="false">VLOOKUP(A25,BD_ORDENES!A:BE,19,FALSE())</f>
        <v>0</v>
      </c>
      <c r="K25" s="68" t="str">
        <f aca="false">VLOOKUP(A25,BD_ORDENES!A:BE,20,FALSE())</f>
        <v>HOME</v>
      </c>
      <c r="L25" s="68" t="n">
        <f aca="false">VLOOKUP(A25,BD_ORDENES!A:BE,21,FALSE())</f>
        <v>0</v>
      </c>
      <c r="M25" s="69" t="n">
        <f aca="false">VLOOKUP(A25,BD_ORDENES!A:BE,14,FALSE())</f>
        <v>1</v>
      </c>
      <c r="N25" s="68" t="n">
        <f aca="false">VLOOKUP(A25,BD_ORDENES!A:BE,15,FALSE())</f>
        <v>0</v>
      </c>
      <c r="O25" s="68" t="str">
        <f aca="false">VLOOKUP(A25,BD_ORDENES!A:BE,33,FALSE())</f>
        <v>TRANSPORTADORA</v>
      </c>
      <c r="P25" s="68" t="n">
        <f aca="false">VLOOKUP(A25,BD_ORDENES!A:BE,23,FALSE())</f>
        <v>0</v>
      </c>
      <c r="Q25" s="68" t="str">
        <f aca="false">VLOOKUP(A25,BD_ORDENES!A:BE,52,FALSE())</f>
        <v>Retiro DECORACION POR ENTREGAR</v>
      </c>
      <c r="R25" s="68" t="str">
        <f aca="false">VLOOKUP(A25,BD_ORDENES!A:BE,25,FALSE())</f>
        <v>CHAPINERO</v>
      </c>
      <c r="S25" s="68" t="str">
        <f aca="false">VLOOKUP(A25,BD_ORDENES!A:BE,22,FALSE())</f>
        <v>EXHIBICION TIENDA CEDRITOS</v>
      </c>
      <c r="T25" s="65" t="str">
        <f aca="false">VLOOKUP(A25,BD_ORDENES!A:BE,55,FALSE())</f>
        <v>PRODUCCION</v>
      </c>
      <c r="U25" s="68" t="str">
        <f aca="false">VLOOKUP(A25,BD_ORDENES!A:BE,57,FALSE())</f>
        <v>1 ENVIA</v>
      </c>
      <c r="V25" s="70"/>
      <c r="W25" s="71"/>
    </row>
    <row r="26" s="72" customFormat="true" ht="98.25" hidden="false" customHeight="true" outlineLevel="0" collapsed="false">
      <c r="A26" s="62" t="n">
        <f aca="false">A25+1</f>
        <v>19</v>
      </c>
      <c r="B26" s="63" t="str">
        <f aca="false">VLOOKUP(A26,BD_ORDENES!A:BG,12,FALSE())</f>
        <v>__export__.product_product_244757_57c15718</v>
      </c>
      <c r="C26" s="64" t="n">
        <v>19</v>
      </c>
      <c r="D26" s="65" t="str">
        <f aca="false">VLOOKUP(A26,BD_ORDENES!A:BE,10,0)</f>
        <v>EXHIBICION TIENDA CEDRITOS</v>
      </c>
      <c r="E26" s="66" t="str">
        <f aca="false">VLOOKUP(A26,BD_ORDENES!A:BG,4,FALSE())</f>
        <v>TBC046</v>
      </c>
      <c r="F26" s="66" t="str">
        <f aca="false">VLOOKUP(A26,BD_ORDENES!A:BE,56,FALSE())</f>
        <v>S272828</v>
      </c>
      <c r="G26" s="67" t="str">
        <f aca="false">VLOOKUP(A26,BD_ORDENES!A:BE,13,FALSE())</f>
        <v>COJIN DECORATIVO MENTA WELL LETRAS</v>
      </c>
      <c r="H26" s="68" t="str">
        <f aca="false">VLOOKUP(A26,BD_ORDENES!A:BE,17,FALSE())</f>
        <v>COJIN</v>
      </c>
      <c r="I26" s="68" t="str">
        <f aca="false">VLOOKUP(A26,BD_ORDENES!A:BE,18,FALSE())</f>
        <v>DECORATIVO</v>
      </c>
      <c r="J26" s="68" t="n">
        <f aca="false">VLOOKUP(A26,BD_ORDENES!A:BE,19,FALSE())</f>
        <v>0</v>
      </c>
      <c r="K26" s="68" t="str">
        <f aca="false">VLOOKUP(A26,BD_ORDENES!A:BE,20,FALSE())</f>
        <v>MENTA-WELL-LETRAS</v>
      </c>
      <c r="L26" s="68" t="n">
        <f aca="false">VLOOKUP(A26,BD_ORDENES!A:BE,21,FALSE())</f>
        <v>0</v>
      </c>
      <c r="M26" s="69" t="n">
        <f aca="false">VLOOKUP(A26,BD_ORDENES!A:BE,14,FALSE())</f>
        <v>1</v>
      </c>
      <c r="N26" s="68" t="n">
        <f aca="false">VLOOKUP(A26,BD_ORDENES!A:BE,15,FALSE())</f>
        <v>0</v>
      </c>
      <c r="O26" s="68" t="str">
        <f aca="false">VLOOKUP(A26,BD_ORDENES!A:BE,33,FALSE())</f>
        <v>TRANSPORTADORA</v>
      </c>
      <c r="P26" s="68" t="n">
        <f aca="false">VLOOKUP(A26,BD_ORDENES!A:BE,23,FALSE())</f>
        <v>0</v>
      </c>
      <c r="Q26" s="68" t="str">
        <f aca="false">VLOOKUP(A26,BD_ORDENES!A:BE,52,FALSE())</f>
        <v>Retiro DECORACION POR ENTREGAR</v>
      </c>
      <c r="R26" s="68" t="str">
        <f aca="false">VLOOKUP(A26,BD_ORDENES!A:BE,25,FALSE())</f>
        <v>CHAPINERO</v>
      </c>
      <c r="S26" s="68" t="str">
        <f aca="false">VLOOKUP(A26,BD_ORDENES!A:BE,22,FALSE())</f>
        <v>EXHIBICION TIENDA CEDRITOS</v>
      </c>
      <c r="T26" s="65" t="str">
        <f aca="false">VLOOKUP(A26,BD_ORDENES!A:BE,55,FALSE())</f>
        <v>PRODUCCION</v>
      </c>
      <c r="U26" s="68" t="str">
        <f aca="false">VLOOKUP(A26,BD_ORDENES!A:BE,57,FALSE())</f>
        <v>1 ENVIA</v>
      </c>
      <c r="V26" s="70"/>
      <c r="W26" s="71"/>
    </row>
    <row r="27" s="72" customFormat="true" ht="98.25" hidden="false" customHeight="true" outlineLevel="0" collapsed="false">
      <c r="A27" s="62" t="n">
        <f aca="false">A26+1</f>
        <v>20</v>
      </c>
      <c r="B27" s="63" t="str">
        <f aca="false">VLOOKUP(A27,BD_ORDENES!A:BG,12,FALSE())</f>
        <v>__export__.product_product_188226_e3bfb043</v>
      </c>
      <c r="C27" s="64" t="n">
        <v>20</v>
      </c>
      <c r="D27" s="65" t="str">
        <f aca="false">VLOOKUP(A27,BD_ORDENES!A:BE,10,0)</f>
        <v>EXHIBICION TIENDA CEDRITOS</v>
      </c>
      <c r="E27" s="66" t="str">
        <f aca="false">VLOOKUP(A27,BD_ORDENES!A:BG,4,FALSE())</f>
        <v>TBC046</v>
      </c>
      <c r="F27" s="66" t="str">
        <f aca="false">VLOOKUP(A27,BD_ORDENES!A:BE,56,FALSE())</f>
        <v>S272828</v>
      </c>
      <c r="G27" s="67" t="str">
        <f aca="false">VLOOKUP(A27,BD_ORDENES!A:BE,13,FALSE())</f>
        <v>COJIN DECORATIVO TRIANGULO ROSA</v>
      </c>
      <c r="H27" s="68" t="str">
        <f aca="false">VLOOKUP(A27,BD_ORDENES!A:BE,17,FALSE())</f>
        <v>COJIN</v>
      </c>
      <c r="I27" s="68" t="str">
        <f aca="false">VLOOKUP(A27,BD_ORDENES!A:BE,18,FALSE())</f>
        <v>DECORATIVO</v>
      </c>
      <c r="J27" s="68" t="n">
        <f aca="false">VLOOKUP(A27,BD_ORDENES!A:BE,19,FALSE())</f>
        <v>0</v>
      </c>
      <c r="K27" s="68" t="str">
        <f aca="false">VLOOKUP(A27,BD_ORDENES!A:BE,20,FALSE())</f>
        <v>TRIANGULO-ROSA</v>
      </c>
      <c r="L27" s="68" t="n">
        <f aca="false">VLOOKUP(A27,BD_ORDENES!A:BE,21,FALSE())</f>
        <v>0</v>
      </c>
      <c r="M27" s="69" t="n">
        <f aca="false">VLOOKUP(A27,BD_ORDENES!A:BE,14,FALSE())</f>
        <v>1</v>
      </c>
      <c r="N27" s="68" t="n">
        <f aca="false">VLOOKUP(A27,BD_ORDENES!A:BE,15,FALSE())</f>
        <v>0</v>
      </c>
      <c r="O27" s="68" t="str">
        <f aca="false">VLOOKUP(A27,BD_ORDENES!A:BE,33,FALSE())</f>
        <v>TRANSPORTADORA</v>
      </c>
      <c r="P27" s="68" t="n">
        <f aca="false">VLOOKUP(A27,BD_ORDENES!A:BE,23,FALSE())</f>
        <v>0</v>
      </c>
      <c r="Q27" s="68" t="str">
        <f aca="false">VLOOKUP(A27,BD_ORDENES!A:BE,52,FALSE())</f>
        <v>Retiro DECORACION POR ENTREGAR</v>
      </c>
      <c r="R27" s="68" t="str">
        <f aca="false">VLOOKUP(A27,BD_ORDENES!A:BE,25,FALSE())</f>
        <v>CHAPINERO</v>
      </c>
      <c r="S27" s="68" t="str">
        <f aca="false">VLOOKUP(A27,BD_ORDENES!A:BE,22,FALSE())</f>
        <v>EXHIBICION TIENDA CEDRITOS</v>
      </c>
      <c r="T27" s="65" t="str">
        <f aca="false">VLOOKUP(A27,BD_ORDENES!A:BE,55,FALSE())</f>
        <v>PRODUCCION</v>
      </c>
      <c r="U27" s="68" t="str">
        <f aca="false">VLOOKUP(A27,BD_ORDENES!A:BE,57,FALSE())</f>
        <v>1 ENVIA</v>
      </c>
      <c r="V27" s="70"/>
      <c r="W27" s="71"/>
    </row>
    <row r="28" s="72" customFormat="true" ht="98.25" hidden="false" customHeight="true" outlineLevel="0" collapsed="false">
      <c r="A28" s="62" t="n">
        <f aca="false">A27+1</f>
        <v>21</v>
      </c>
      <c r="B28" s="63" t="str">
        <f aca="false">VLOOKUP(A28,BD_ORDENES!A:BG,12,FALSE())</f>
        <v>__export__.product_product_325391_3adbf486</v>
      </c>
      <c r="C28" s="64" t="n">
        <v>21</v>
      </c>
      <c r="D28" s="65" t="str">
        <f aca="false">VLOOKUP(A28,BD_ORDENES!A:BE,10,0)</f>
        <v>EXHIBICION TIENDA CEDRITOS</v>
      </c>
      <c r="E28" s="66" t="str">
        <f aca="false">VLOOKUP(A28,BD_ORDENES!A:BG,4,FALSE())</f>
        <v>TBC046</v>
      </c>
      <c r="F28" s="66" t="str">
        <f aca="false">VLOOKUP(A28,BD_ORDENES!A:BE,56,FALSE())</f>
        <v>S272828</v>
      </c>
      <c r="G28" s="67" t="str">
        <f aca="false">VLOOKUP(A28,BD_ORDENES!A:BE,13,FALSE())</f>
        <v>COJIN DECORATIVO COLORES RECTANGULO</v>
      </c>
      <c r="H28" s="68" t="str">
        <f aca="false">VLOOKUP(A28,BD_ORDENES!A:BE,17,FALSE())</f>
        <v>COJIN</v>
      </c>
      <c r="I28" s="68" t="str">
        <f aca="false">VLOOKUP(A28,BD_ORDENES!A:BE,18,FALSE())</f>
        <v>DECORATIVO-COLORES-RECTANGULO</v>
      </c>
      <c r="J28" s="68" t="n">
        <f aca="false">VLOOKUP(A28,BD_ORDENES!A:BE,19,FALSE())</f>
        <v>0</v>
      </c>
      <c r="K28" s="68" t="n">
        <f aca="false">VLOOKUP(A28,BD_ORDENES!A:BE,20,FALSE())</f>
        <v>0</v>
      </c>
      <c r="L28" s="68" t="n">
        <f aca="false">VLOOKUP(A28,BD_ORDENES!A:BE,21,FALSE())</f>
        <v>0</v>
      </c>
      <c r="M28" s="69" t="n">
        <f aca="false">VLOOKUP(A28,BD_ORDENES!A:BE,14,FALSE())</f>
        <v>2</v>
      </c>
      <c r="N28" s="68" t="n">
        <f aca="false">VLOOKUP(A28,BD_ORDENES!A:BE,15,FALSE())</f>
        <v>0</v>
      </c>
      <c r="O28" s="68" t="str">
        <f aca="false">VLOOKUP(A28,BD_ORDENES!A:BE,33,FALSE())</f>
        <v>TRANSPORTADORA</v>
      </c>
      <c r="P28" s="68" t="n">
        <f aca="false">VLOOKUP(A28,BD_ORDENES!A:BE,23,FALSE())</f>
        <v>0</v>
      </c>
      <c r="Q28" s="68" t="str">
        <f aca="false">VLOOKUP(A28,BD_ORDENES!A:BE,52,FALSE())</f>
        <v>Retiro DECORACION POR ENTREGAR</v>
      </c>
      <c r="R28" s="68" t="str">
        <f aca="false">VLOOKUP(A28,BD_ORDENES!A:BE,25,FALSE())</f>
        <v>CHAPINERO</v>
      </c>
      <c r="S28" s="68" t="str">
        <f aca="false">VLOOKUP(A28,BD_ORDENES!A:BE,22,FALSE())</f>
        <v>EXHIBICION TIENDA CEDRITOS</v>
      </c>
      <c r="T28" s="65" t="str">
        <f aca="false">VLOOKUP(A28,BD_ORDENES!A:BE,55,FALSE())</f>
        <v>PRODUCCION</v>
      </c>
      <c r="U28" s="68" t="str">
        <f aca="false">VLOOKUP(A28,BD_ORDENES!A:BE,57,FALSE())</f>
        <v>1 ENVIA</v>
      </c>
      <c r="V28" s="70"/>
      <c r="W28" s="71"/>
    </row>
    <row r="29" s="72" customFormat="true" ht="98.25" hidden="false" customHeight="true" outlineLevel="0" collapsed="false">
      <c r="A29" s="62" t="n">
        <f aca="false">A28+1</f>
        <v>22</v>
      </c>
      <c r="B29" s="63" t="str">
        <f aca="false">VLOOKUP(A29,BD_ORDENES!A:BG,12,FALSE())</f>
        <v>__export__.product_product_322166_fb2b05f7</v>
      </c>
      <c r="C29" s="64" t="n">
        <v>22</v>
      </c>
      <c r="D29" s="65" t="str">
        <f aca="false">VLOOKUP(A29,BD_ORDENES!A:BE,10,0)</f>
        <v>EXHIBICION TIENDA CEDRITOS</v>
      </c>
      <c r="E29" s="66" t="str">
        <f aca="false">VLOOKUP(A29,BD_ORDENES!A:BG,4,FALSE())</f>
        <v>TBC046</v>
      </c>
      <c r="F29" s="66" t="str">
        <f aca="false">VLOOKUP(A29,BD_ORDENES!A:BE,56,FALSE())</f>
        <v>S272828</v>
      </c>
      <c r="G29" s="67" t="str">
        <f aca="false">VLOOKUP(A29,BD_ORDENES!A:BE,13,FALSE())</f>
        <v>CUADRO ARCOIRIS L INFANTIL (60X60)</v>
      </c>
      <c r="H29" s="68" t="str">
        <f aca="false">VLOOKUP(A29,BD_ORDENES!A:BE,17,FALSE())</f>
        <v>CUADRO</v>
      </c>
      <c r="I29" s="68" t="str">
        <f aca="false">VLOOKUP(A29,BD_ORDENES!A:BE,18,FALSE())</f>
        <v>ARCOIRIS-L-(60X60)</v>
      </c>
      <c r="J29" s="68" t="n">
        <f aca="false">VLOOKUP(A29,BD_ORDENES!A:BE,19,FALSE())</f>
        <v>0</v>
      </c>
      <c r="K29" s="68" t="n">
        <f aca="false">VLOOKUP(A29,BD_ORDENES!A:BE,20,FALSE())</f>
        <v>0</v>
      </c>
      <c r="L29" s="68" t="n">
        <f aca="false">VLOOKUP(A29,BD_ORDENES!A:BE,21,FALSE())</f>
        <v>0</v>
      </c>
      <c r="M29" s="69" t="n">
        <f aca="false">VLOOKUP(A29,BD_ORDENES!A:BE,14,FALSE())</f>
        <v>1</v>
      </c>
      <c r="N29" s="68" t="n">
        <f aca="false">VLOOKUP(A29,BD_ORDENES!A:BE,15,FALSE())</f>
        <v>0</v>
      </c>
      <c r="O29" s="68" t="str">
        <f aca="false">VLOOKUP(A29,BD_ORDENES!A:BE,33,FALSE())</f>
        <v>TRANSPORTADORA</v>
      </c>
      <c r="P29" s="68" t="n">
        <f aca="false">VLOOKUP(A29,BD_ORDENES!A:BE,23,FALSE())</f>
        <v>0</v>
      </c>
      <c r="Q29" s="68" t="str">
        <f aca="false">VLOOKUP(A29,BD_ORDENES!A:BE,52,FALSE())</f>
        <v>Retiro DECORACION POR ENTREGAR</v>
      </c>
      <c r="R29" s="68" t="str">
        <f aca="false">VLOOKUP(A29,BD_ORDENES!A:BE,25,FALSE())</f>
        <v>CHAPINERO</v>
      </c>
      <c r="S29" s="68" t="str">
        <f aca="false">VLOOKUP(A29,BD_ORDENES!A:BE,22,FALSE())</f>
        <v>EXHIBICION TIENDA CEDRITOS</v>
      </c>
      <c r="T29" s="65" t="str">
        <f aca="false">VLOOKUP(A29,BD_ORDENES!A:BE,55,FALSE())</f>
        <v>PRODUCCION</v>
      </c>
      <c r="U29" s="68" t="str">
        <f aca="false">VLOOKUP(A29,BD_ORDENES!A:BE,57,FALSE())</f>
        <v>1 ENVIA</v>
      </c>
      <c r="V29" s="70"/>
      <c r="W29" s="71"/>
    </row>
    <row r="30" s="72" customFormat="true" ht="98.25" hidden="false" customHeight="true" outlineLevel="0" collapsed="false">
      <c r="A30" s="62" t="n">
        <f aca="false">A29+1</f>
        <v>23</v>
      </c>
      <c r="B30" s="63" t="str">
        <f aca="false">VLOOKUP(A30,BD_ORDENES!A:BG,12,FALSE())</f>
        <v>__export__.product_product_208243_7b518e67</v>
      </c>
      <c r="C30" s="64" t="n">
        <v>23</v>
      </c>
      <c r="D30" s="65" t="str">
        <f aca="false">VLOOKUP(A30,BD_ORDENES!A:BE,10,0)</f>
        <v>EXHIBICION TIENDA CEDRITOS</v>
      </c>
      <c r="E30" s="66" t="str">
        <f aca="false">VLOOKUP(A30,BD_ORDENES!A:BG,4,FALSE())</f>
        <v>TBC046</v>
      </c>
      <c r="F30" s="66" t="str">
        <f aca="false">VLOOKUP(A30,BD_ORDENES!A:BE,56,FALSE())</f>
        <v>S272828</v>
      </c>
      <c r="G30" s="67" t="str">
        <f aca="false">VLOOKUP(A30,BD_ORDENES!A:BE,13,FALSE())</f>
        <v>CUADRO BICICLETA L (60X60)</v>
      </c>
      <c r="H30" s="68" t="str">
        <f aca="false">VLOOKUP(A30,BD_ORDENES!A:BE,17,FALSE())</f>
        <v>CUADRO</v>
      </c>
      <c r="I30" s="68" t="str">
        <f aca="false">VLOOKUP(A30,BD_ORDENES!A:BE,18,FALSE())</f>
        <v>BICICLETA-L-(60X60)</v>
      </c>
      <c r="J30" s="68" t="n">
        <f aca="false">VLOOKUP(A30,BD_ORDENES!A:BE,19,FALSE())</f>
        <v>0</v>
      </c>
      <c r="K30" s="68" t="n">
        <f aca="false">VLOOKUP(A30,BD_ORDENES!A:BE,20,FALSE())</f>
        <v>0</v>
      </c>
      <c r="L30" s="68" t="n">
        <f aca="false">VLOOKUP(A30,BD_ORDENES!A:BE,21,FALSE())</f>
        <v>0</v>
      </c>
      <c r="M30" s="69" t="n">
        <f aca="false">VLOOKUP(A30,BD_ORDENES!A:BE,14,FALSE())</f>
        <v>1</v>
      </c>
      <c r="N30" s="68" t="n">
        <f aca="false">VLOOKUP(A30,BD_ORDENES!A:BE,15,FALSE())</f>
        <v>0</v>
      </c>
      <c r="O30" s="68" t="str">
        <f aca="false">VLOOKUP(A30,BD_ORDENES!A:BE,33,FALSE())</f>
        <v>TRANSPORTADORA</v>
      </c>
      <c r="P30" s="68" t="n">
        <f aca="false">VLOOKUP(A30,BD_ORDENES!A:BE,23,FALSE())</f>
        <v>0</v>
      </c>
      <c r="Q30" s="68" t="str">
        <f aca="false">VLOOKUP(A30,BD_ORDENES!A:BE,52,FALSE())</f>
        <v>Retiro DECORACION POR ENTREGAR</v>
      </c>
      <c r="R30" s="68" t="str">
        <f aca="false">VLOOKUP(A30,BD_ORDENES!A:BE,25,FALSE())</f>
        <v>CHAPINERO</v>
      </c>
      <c r="S30" s="68" t="str">
        <f aca="false">VLOOKUP(A30,BD_ORDENES!A:BE,22,FALSE())</f>
        <v>EXHIBICION TIENDA CEDRITOS</v>
      </c>
      <c r="T30" s="65" t="str">
        <f aca="false">VLOOKUP(A30,BD_ORDENES!A:BE,55,FALSE())</f>
        <v>PRODUCCION</v>
      </c>
      <c r="U30" s="68" t="str">
        <f aca="false">VLOOKUP(A30,BD_ORDENES!A:BE,57,FALSE())</f>
        <v>1 ENVIA</v>
      </c>
      <c r="V30" s="70"/>
      <c r="W30" s="71"/>
    </row>
    <row r="31" s="72" customFormat="true" ht="98.25" hidden="false" customHeight="true" outlineLevel="0" collapsed="false">
      <c r="A31" s="62" t="n">
        <f aca="false">A30+1</f>
        <v>24</v>
      </c>
      <c r="B31" s="63" t="str">
        <f aca="false">VLOOKUP(A31,BD_ORDENES!A:BG,12,FALSE())</f>
        <v>__export__.product_product_297304_7653588e</v>
      </c>
      <c r="C31" s="64" t="n">
        <v>24</v>
      </c>
      <c r="D31" s="65" t="str">
        <f aca="false">VLOOKUP(A31,BD_ORDENES!A:BE,10,0)</f>
        <v>EXHIBICION TIENDA CEDRITOS</v>
      </c>
      <c r="E31" s="66" t="str">
        <f aca="false">VLOOKUP(A31,BD_ORDENES!A:BG,4,FALSE())</f>
        <v>TBC046</v>
      </c>
      <c r="F31" s="66" t="str">
        <f aca="false">VLOOKUP(A31,BD_ORDENES!A:BE,56,FALSE())</f>
        <v>S272828</v>
      </c>
      <c r="G31" s="67" t="str">
        <f aca="false">VLOOKUP(A31,BD_ORDENES!A:BE,13,FALSE())</f>
        <v>CUADRO BOSQUE XL (120X80)</v>
      </c>
      <c r="H31" s="68" t="str">
        <f aca="false">VLOOKUP(A31,BD_ORDENES!A:BE,17,FALSE())</f>
        <v>CUADRO</v>
      </c>
      <c r="I31" s="68" t="str">
        <f aca="false">VLOOKUP(A31,BD_ORDENES!A:BE,18,FALSE())</f>
        <v>BOSQUE-XL-(120X80)</v>
      </c>
      <c r="J31" s="68" t="n">
        <f aca="false">VLOOKUP(A31,BD_ORDENES!A:BE,19,FALSE())</f>
        <v>0</v>
      </c>
      <c r="K31" s="68" t="n">
        <f aca="false">VLOOKUP(A31,BD_ORDENES!A:BE,20,FALSE())</f>
        <v>0</v>
      </c>
      <c r="L31" s="68" t="n">
        <f aca="false">VLOOKUP(A31,BD_ORDENES!A:BE,21,FALSE())</f>
        <v>0</v>
      </c>
      <c r="M31" s="69" t="n">
        <f aca="false">VLOOKUP(A31,BD_ORDENES!A:BE,14,FALSE())</f>
        <v>1</v>
      </c>
      <c r="N31" s="68" t="n">
        <f aca="false">VLOOKUP(A31,BD_ORDENES!A:BE,15,FALSE())</f>
        <v>0</v>
      </c>
      <c r="O31" s="68" t="str">
        <f aca="false">VLOOKUP(A31,BD_ORDENES!A:BE,33,FALSE())</f>
        <v>TRANSPORTADORA</v>
      </c>
      <c r="P31" s="68" t="n">
        <f aca="false">VLOOKUP(A31,BD_ORDENES!A:BE,23,FALSE())</f>
        <v>0</v>
      </c>
      <c r="Q31" s="68" t="str">
        <f aca="false">VLOOKUP(A31,BD_ORDENES!A:BE,52,FALSE())</f>
        <v>Retiro DECORACION POR ENTREGAR</v>
      </c>
      <c r="R31" s="68" t="str">
        <f aca="false">VLOOKUP(A31,BD_ORDENES!A:BE,25,FALSE())</f>
        <v>CHAPINERO</v>
      </c>
      <c r="S31" s="68" t="str">
        <f aca="false">VLOOKUP(A31,BD_ORDENES!A:BE,22,FALSE())</f>
        <v>EXHIBICION TIENDA CEDRITOS</v>
      </c>
      <c r="T31" s="65" t="str">
        <f aca="false">VLOOKUP(A31,BD_ORDENES!A:BE,55,FALSE())</f>
        <v>PRODUCCION</v>
      </c>
      <c r="U31" s="68" t="str">
        <f aca="false">VLOOKUP(A31,BD_ORDENES!A:BE,57,FALSE())</f>
        <v>1 ENVIA</v>
      </c>
      <c r="V31" s="70"/>
      <c r="W31" s="71"/>
    </row>
    <row r="32" s="72" customFormat="true" ht="98.25" hidden="false" customHeight="true" outlineLevel="0" collapsed="false">
      <c r="A32" s="62" t="n">
        <f aca="false">A31+1</f>
        <v>25</v>
      </c>
      <c r="B32" s="63" t="str">
        <f aca="false">VLOOKUP(A32,BD_ORDENES!A:BG,12,FALSE())</f>
        <v>__export__.product_product_285061_9a4bf66c</v>
      </c>
      <c r="C32" s="64" t="n">
        <v>25</v>
      </c>
      <c r="D32" s="65" t="str">
        <f aca="false">VLOOKUP(A32,BD_ORDENES!A:BE,10,0)</f>
        <v>EXHIBICION TIENDA CEDRITOS</v>
      </c>
      <c r="E32" s="66" t="str">
        <f aca="false">VLOOKUP(A32,BD_ORDENES!A:BG,4,FALSE())</f>
        <v>TBC046</v>
      </c>
      <c r="F32" s="66" t="str">
        <f aca="false">VLOOKUP(A32,BD_ORDENES!A:BE,56,FALSE())</f>
        <v>S272828</v>
      </c>
      <c r="G32" s="67" t="str">
        <f aca="false">VLOOKUP(A32,BD_ORDENES!A:BE,13,FALSE())</f>
        <v>CUADRO CALLE ANTIGUA M (70X45)</v>
      </c>
      <c r="H32" s="68" t="str">
        <f aca="false">VLOOKUP(A32,BD_ORDENES!A:BE,17,FALSE())</f>
        <v>CUADRO</v>
      </c>
      <c r="I32" s="68" t="str">
        <f aca="false">VLOOKUP(A32,BD_ORDENES!A:BE,18,FALSE())</f>
        <v>CALLE-ANTIGUA-M-(70X45)</v>
      </c>
      <c r="J32" s="68" t="n">
        <f aca="false">VLOOKUP(A32,BD_ORDENES!A:BE,19,FALSE())</f>
        <v>0</v>
      </c>
      <c r="K32" s="68" t="n">
        <f aca="false">VLOOKUP(A32,BD_ORDENES!A:BE,20,FALSE())</f>
        <v>0</v>
      </c>
      <c r="L32" s="68" t="n">
        <f aca="false">VLOOKUP(A32,BD_ORDENES!A:BE,21,FALSE())</f>
        <v>0</v>
      </c>
      <c r="M32" s="69" t="n">
        <f aca="false">VLOOKUP(A32,BD_ORDENES!A:BE,14,FALSE())</f>
        <v>1</v>
      </c>
      <c r="N32" s="68" t="n">
        <f aca="false">VLOOKUP(A32,BD_ORDENES!A:BE,15,FALSE())</f>
        <v>0</v>
      </c>
      <c r="O32" s="68" t="str">
        <f aca="false">VLOOKUP(A32,BD_ORDENES!A:BE,33,FALSE())</f>
        <v>TRANSPORTADORA</v>
      </c>
      <c r="P32" s="68" t="n">
        <f aca="false">VLOOKUP(A32,BD_ORDENES!A:BE,23,FALSE())</f>
        <v>0</v>
      </c>
      <c r="Q32" s="68" t="str">
        <f aca="false">VLOOKUP(A32,BD_ORDENES!A:BE,52,FALSE())</f>
        <v>Retiro DECORACION POR ENTREGAR</v>
      </c>
      <c r="R32" s="68" t="str">
        <f aca="false">VLOOKUP(A32,BD_ORDENES!A:BE,25,FALSE())</f>
        <v>CHAPINERO</v>
      </c>
      <c r="S32" s="68" t="str">
        <f aca="false">VLOOKUP(A32,BD_ORDENES!A:BE,22,FALSE())</f>
        <v>EXHIBICION TIENDA CEDRITOS</v>
      </c>
      <c r="T32" s="65" t="str">
        <f aca="false">VLOOKUP(A32,BD_ORDENES!A:BE,55,FALSE())</f>
        <v>PRODUCCION</v>
      </c>
      <c r="U32" s="68" t="str">
        <f aca="false">VLOOKUP(A32,BD_ORDENES!A:BE,57,FALSE())</f>
        <v>1 ENVIA</v>
      </c>
      <c r="V32" s="70"/>
      <c r="W32" s="71"/>
    </row>
    <row r="33" s="72" customFormat="true" ht="98.25" hidden="false" customHeight="true" outlineLevel="0" collapsed="false">
      <c r="A33" s="62" t="n">
        <f aca="false">A32+1</f>
        <v>26</v>
      </c>
      <c r="B33" s="63" t="str">
        <f aca="false">VLOOKUP(A33,BD_ORDENES!A:BG,12,FALSE())</f>
        <v>__export__.product_product_285063_dcb0d96c</v>
      </c>
      <c r="C33" s="64" t="n">
        <v>26</v>
      </c>
      <c r="D33" s="65" t="str">
        <f aca="false">VLOOKUP(A33,BD_ORDENES!A:BE,10,0)</f>
        <v>EXHIBICION TIENDA CEDRITOS</v>
      </c>
      <c r="E33" s="66" t="str">
        <f aca="false">VLOOKUP(A33,BD_ORDENES!A:BG,4,FALSE())</f>
        <v>TBC046</v>
      </c>
      <c r="F33" s="66" t="str">
        <f aca="false">VLOOKUP(A33,BD_ORDENES!A:BE,56,FALSE())</f>
        <v>S272828</v>
      </c>
      <c r="G33" s="67" t="str">
        <f aca="false">VLOOKUP(A33,BD_ORDENES!A:BE,13,FALSE())</f>
        <v>CUADRO CALLE ANTIGUA XL (120X80)</v>
      </c>
      <c r="H33" s="68" t="str">
        <f aca="false">VLOOKUP(A33,BD_ORDENES!A:BE,17,FALSE())</f>
        <v>CUADRO</v>
      </c>
      <c r="I33" s="68" t="str">
        <f aca="false">VLOOKUP(A33,BD_ORDENES!A:BE,18,FALSE())</f>
        <v>CALLE-ANTIGUA-XL-(120X80)</v>
      </c>
      <c r="J33" s="68" t="n">
        <f aca="false">VLOOKUP(A33,BD_ORDENES!A:BE,19,FALSE())</f>
        <v>0</v>
      </c>
      <c r="K33" s="68" t="n">
        <f aca="false">VLOOKUP(A33,BD_ORDENES!A:BE,20,FALSE())</f>
        <v>0</v>
      </c>
      <c r="L33" s="68" t="n">
        <f aca="false">VLOOKUP(A33,BD_ORDENES!A:BE,21,FALSE())</f>
        <v>0</v>
      </c>
      <c r="M33" s="69" t="n">
        <f aca="false">VLOOKUP(A33,BD_ORDENES!A:BE,14,FALSE())</f>
        <v>1</v>
      </c>
      <c r="N33" s="68" t="n">
        <f aca="false">VLOOKUP(A33,BD_ORDENES!A:BE,15,FALSE())</f>
        <v>0</v>
      </c>
      <c r="O33" s="68" t="str">
        <f aca="false">VLOOKUP(A33,BD_ORDENES!A:BE,33,FALSE())</f>
        <v>TRANSPORTADORA</v>
      </c>
      <c r="P33" s="68" t="n">
        <f aca="false">VLOOKUP(A33,BD_ORDENES!A:BE,23,FALSE())</f>
        <v>0</v>
      </c>
      <c r="Q33" s="68" t="str">
        <f aca="false">VLOOKUP(A33,BD_ORDENES!A:BE,52,FALSE())</f>
        <v>Retiro DECORACION POR ENTREGAR</v>
      </c>
      <c r="R33" s="68" t="str">
        <f aca="false">VLOOKUP(A33,BD_ORDENES!A:BE,25,FALSE())</f>
        <v>CHAPINERO</v>
      </c>
      <c r="S33" s="68" t="str">
        <f aca="false">VLOOKUP(A33,BD_ORDENES!A:BE,22,FALSE())</f>
        <v>EXHIBICION TIENDA CEDRITOS</v>
      </c>
      <c r="T33" s="65" t="str">
        <f aca="false">VLOOKUP(A33,BD_ORDENES!A:BE,55,FALSE())</f>
        <v>PRODUCCION</v>
      </c>
      <c r="U33" s="68" t="str">
        <f aca="false">VLOOKUP(A33,BD_ORDENES!A:BE,57,FALSE())</f>
        <v>1 ENVIA</v>
      </c>
      <c r="V33" s="70"/>
      <c r="W33" s="71"/>
    </row>
    <row r="34" s="72" customFormat="true" ht="98.25" hidden="false" customHeight="true" outlineLevel="0" collapsed="false">
      <c r="A34" s="62" t="n">
        <f aca="false">A33+1</f>
        <v>27</v>
      </c>
      <c r="B34" s="63" t="str">
        <f aca="false">VLOOKUP(A34,BD_ORDENES!A:BG,12,FALSE())</f>
        <v>__export__.product_product_286721_cb4d872b</v>
      </c>
      <c r="C34" s="64" t="n">
        <v>27</v>
      </c>
      <c r="D34" s="65" t="str">
        <f aca="false">VLOOKUP(A34,BD_ORDENES!A:BE,10,0)</f>
        <v>EXHIBICION TIENDA CEDRITOS</v>
      </c>
      <c r="E34" s="66" t="str">
        <f aca="false">VLOOKUP(A34,BD_ORDENES!A:BG,4,FALSE())</f>
        <v>TBC046</v>
      </c>
      <c r="F34" s="66" t="str">
        <f aca="false">VLOOKUP(A34,BD_ORDENES!A:BE,56,FALSE())</f>
        <v>S272828</v>
      </c>
      <c r="G34" s="67" t="str">
        <f aca="false">VLOOKUP(A34,BD_ORDENES!A:BE,13,FALSE())</f>
        <v>CUADRO ELEFANTE BEBE L (60X60)</v>
      </c>
      <c r="H34" s="68" t="str">
        <f aca="false">VLOOKUP(A34,BD_ORDENES!A:BE,17,FALSE())</f>
        <v>CUADRO</v>
      </c>
      <c r="I34" s="68" t="str">
        <f aca="false">VLOOKUP(A34,BD_ORDENES!A:BE,18,FALSE())</f>
        <v>ELEFANTE-BEBE-L-(60X60)</v>
      </c>
      <c r="J34" s="68" t="n">
        <f aca="false">VLOOKUP(A34,BD_ORDENES!A:BE,19,FALSE())</f>
        <v>0</v>
      </c>
      <c r="K34" s="68" t="n">
        <f aca="false">VLOOKUP(A34,BD_ORDENES!A:BE,20,FALSE())</f>
        <v>0</v>
      </c>
      <c r="L34" s="68" t="n">
        <f aca="false">VLOOKUP(A34,BD_ORDENES!A:BE,21,FALSE())</f>
        <v>0</v>
      </c>
      <c r="M34" s="69" t="n">
        <f aca="false">VLOOKUP(A34,BD_ORDENES!A:BE,14,FALSE())</f>
        <v>1</v>
      </c>
      <c r="N34" s="68" t="n">
        <f aca="false">VLOOKUP(A34,BD_ORDENES!A:BE,15,FALSE())</f>
        <v>0</v>
      </c>
      <c r="O34" s="68" t="str">
        <f aca="false">VLOOKUP(A34,BD_ORDENES!A:BE,33,FALSE())</f>
        <v>TRANSPORTADORA</v>
      </c>
      <c r="P34" s="68" t="n">
        <f aca="false">VLOOKUP(A34,BD_ORDENES!A:BE,23,FALSE())</f>
        <v>0</v>
      </c>
      <c r="Q34" s="68" t="str">
        <f aca="false">VLOOKUP(A34,BD_ORDENES!A:BE,52,FALSE())</f>
        <v>Retiro DECORACION POR ENTREGAR</v>
      </c>
      <c r="R34" s="68" t="str">
        <f aca="false">VLOOKUP(A34,BD_ORDENES!A:BE,25,FALSE())</f>
        <v>CHAPINERO</v>
      </c>
      <c r="S34" s="68" t="str">
        <f aca="false">VLOOKUP(A34,BD_ORDENES!A:BE,22,FALSE())</f>
        <v>EXHIBICION TIENDA CEDRITOS</v>
      </c>
      <c r="T34" s="65" t="str">
        <f aca="false">VLOOKUP(A34,BD_ORDENES!A:BE,55,FALSE())</f>
        <v>PRODUCCION</v>
      </c>
      <c r="U34" s="68" t="str">
        <f aca="false">VLOOKUP(A34,BD_ORDENES!A:BE,57,FALSE())</f>
        <v>1 ENVIA</v>
      </c>
      <c r="V34" s="70"/>
      <c r="W34" s="71"/>
    </row>
    <row r="35" s="72" customFormat="true" ht="98.25" hidden="false" customHeight="true" outlineLevel="0" collapsed="false">
      <c r="A35" s="62" t="n">
        <f aca="false">A34+1</f>
        <v>28</v>
      </c>
      <c r="B35" s="63" t="str">
        <f aca="false">VLOOKUP(A35,BD_ORDENES!A:BG,12,FALSE())</f>
        <v>__export__.product_product_286725_fecc8820</v>
      </c>
      <c r="C35" s="64" t="n">
        <v>28</v>
      </c>
      <c r="D35" s="65" t="str">
        <f aca="false">VLOOKUP(A35,BD_ORDENES!A:BE,10,0)</f>
        <v>EXHIBICION TIENDA CEDRITOS</v>
      </c>
      <c r="E35" s="66" t="str">
        <f aca="false">VLOOKUP(A35,BD_ORDENES!A:BG,4,FALSE())</f>
        <v>TBC046</v>
      </c>
      <c r="F35" s="66" t="str">
        <f aca="false">VLOOKUP(A35,BD_ORDENES!A:BE,56,FALSE())</f>
        <v>S272828</v>
      </c>
      <c r="G35" s="67" t="str">
        <f aca="false">VLOOKUP(A35,BD_ORDENES!A:BE,13,FALSE())</f>
        <v>CUADRO ELEFANTE BEBE M (70X45)</v>
      </c>
      <c r="H35" s="68" t="str">
        <f aca="false">VLOOKUP(A35,BD_ORDENES!A:BE,17,FALSE())</f>
        <v>CUADRO</v>
      </c>
      <c r="I35" s="68" t="str">
        <f aca="false">VLOOKUP(A35,BD_ORDENES!A:BE,18,FALSE())</f>
        <v>ELEFANTE-BEBE-M-(70X45)</v>
      </c>
      <c r="J35" s="68" t="n">
        <f aca="false">VLOOKUP(A35,BD_ORDENES!A:BE,19,FALSE())</f>
        <v>0</v>
      </c>
      <c r="K35" s="68" t="n">
        <f aca="false">VLOOKUP(A35,BD_ORDENES!A:BE,20,FALSE())</f>
        <v>0</v>
      </c>
      <c r="L35" s="68" t="n">
        <f aca="false">VLOOKUP(A35,BD_ORDENES!A:BE,21,FALSE())</f>
        <v>0</v>
      </c>
      <c r="M35" s="69" t="n">
        <f aca="false">VLOOKUP(A35,BD_ORDENES!A:BE,14,FALSE())</f>
        <v>1</v>
      </c>
      <c r="N35" s="68" t="n">
        <f aca="false">VLOOKUP(A35,BD_ORDENES!A:BE,15,FALSE())</f>
        <v>0</v>
      </c>
      <c r="O35" s="68" t="str">
        <f aca="false">VLOOKUP(A35,BD_ORDENES!A:BE,33,FALSE())</f>
        <v>TRANSPORTADORA</v>
      </c>
      <c r="P35" s="68" t="n">
        <f aca="false">VLOOKUP(A35,BD_ORDENES!A:BE,23,FALSE())</f>
        <v>0</v>
      </c>
      <c r="Q35" s="68" t="str">
        <f aca="false">VLOOKUP(A35,BD_ORDENES!A:BE,52,FALSE())</f>
        <v>Retiro DECORACION POR ENTREGAR</v>
      </c>
      <c r="R35" s="68" t="str">
        <f aca="false">VLOOKUP(A35,BD_ORDENES!A:BE,25,FALSE())</f>
        <v>CHAPINERO</v>
      </c>
      <c r="S35" s="68" t="str">
        <f aca="false">VLOOKUP(A35,BD_ORDENES!A:BE,22,FALSE())</f>
        <v>EXHIBICION TIENDA CEDRITOS</v>
      </c>
      <c r="T35" s="65" t="str">
        <f aca="false">VLOOKUP(A35,BD_ORDENES!A:BE,55,FALSE())</f>
        <v>PRODUCCION</v>
      </c>
      <c r="U35" s="68" t="str">
        <f aca="false">VLOOKUP(A35,BD_ORDENES!A:BE,57,FALSE())</f>
        <v>1 ENVIA</v>
      </c>
      <c r="V35" s="70"/>
      <c r="W35" s="71"/>
    </row>
    <row r="36" s="72" customFormat="true" ht="98.25" hidden="false" customHeight="true" outlineLevel="0" collapsed="false">
      <c r="A36" s="62" t="n">
        <f aca="false">A35+1</f>
        <v>29</v>
      </c>
      <c r="B36" s="63" t="str">
        <f aca="false">VLOOKUP(A36,BD_ORDENES!A:BG,12,FALSE())</f>
        <v>__export__.product_product_216614_dbaa87cb</v>
      </c>
      <c r="C36" s="64" t="n">
        <v>29</v>
      </c>
      <c r="D36" s="65" t="str">
        <f aca="false">VLOOKUP(A36,BD_ORDENES!A:BE,10,0)</f>
        <v>EXHIBICION TIENDA CEDRITOS</v>
      </c>
      <c r="E36" s="66" t="str">
        <f aca="false">VLOOKUP(A36,BD_ORDENES!A:BG,4,FALSE())</f>
        <v>TBC046</v>
      </c>
      <c r="F36" s="66" t="str">
        <f aca="false">VLOOKUP(A36,BD_ORDENES!A:BE,56,FALSE())</f>
        <v>S272828</v>
      </c>
      <c r="G36" s="67" t="str">
        <f aca="false">VLOOKUP(A36,BD_ORDENES!A:BE,13,FALSE())</f>
        <v>CUADRO ELEFANTE PINTURA L (60X60)</v>
      </c>
      <c r="H36" s="68" t="str">
        <f aca="false">VLOOKUP(A36,BD_ORDENES!A:BE,17,FALSE())</f>
        <v>CUADRO</v>
      </c>
      <c r="I36" s="68" t="str">
        <f aca="false">VLOOKUP(A36,BD_ORDENES!A:BE,18,FALSE())</f>
        <v>ELEFANTE-PINTURA-L-(60X60)</v>
      </c>
      <c r="J36" s="68" t="n">
        <f aca="false">VLOOKUP(A36,BD_ORDENES!A:BE,19,FALSE())</f>
        <v>0</v>
      </c>
      <c r="K36" s="68" t="n">
        <f aca="false">VLOOKUP(A36,BD_ORDENES!A:BE,20,FALSE())</f>
        <v>0</v>
      </c>
      <c r="L36" s="68" t="n">
        <f aca="false">VLOOKUP(A36,BD_ORDENES!A:BE,21,FALSE())</f>
        <v>0</v>
      </c>
      <c r="M36" s="69" t="n">
        <f aca="false">VLOOKUP(A36,BD_ORDENES!A:BE,14,FALSE())</f>
        <v>1</v>
      </c>
      <c r="N36" s="68" t="n">
        <f aca="false">VLOOKUP(A36,BD_ORDENES!A:BE,15,FALSE())</f>
        <v>0</v>
      </c>
      <c r="O36" s="68" t="str">
        <f aca="false">VLOOKUP(A36,BD_ORDENES!A:BE,33,FALSE())</f>
        <v>TRANSPORTADORA</v>
      </c>
      <c r="P36" s="68" t="n">
        <f aca="false">VLOOKUP(A36,BD_ORDENES!A:BE,23,FALSE())</f>
        <v>0</v>
      </c>
      <c r="Q36" s="68" t="str">
        <f aca="false">VLOOKUP(A36,BD_ORDENES!A:BE,52,FALSE())</f>
        <v>Retiro DECORACION POR ENTREGAR</v>
      </c>
      <c r="R36" s="68" t="str">
        <f aca="false">VLOOKUP(A36,BD_ORDENES!A:BE,25,FALSE())</f>
        <v>CHAPINERO</v>
      </c>
      <c r="S36" s="68" t="str">
        <f aca="false">VLOOKUP(A36,BD_ORDENES!A:BE,22,FALSE())</f>
        <v>EXHIBICION TIENDA CEDRITOS</v>
      </c>
      <c r="T36" s="65" t="str">
        <f aca="false">VLOOKUP(A36,BD_ORDENES!A:BE,55,FALSE())</f>
        <v>PRODUCCION</v>
      </c>
      <c r="U36" s="68" t="str">
        <f aca="false">VLOOKUP(A36,BD_ORDENES!A:BE,57,FALSE())</f>
        <v>1 ENVIA</v>
      </c>
      <c r="V36" s="70"/>
      <c r="W36" s="71"/>
    </row>
    <row r="37" s="72" customFormat="true" ht="98.25" hidden="false" customHeight="true" outlineLevel="0" collapsed="false">
      <c r="A37" s="62" t="n">
        <f aca="false">A36+1</f>
        <v>30</v>
      </c>
      <c r="B37" s="63" t="str">
        <f aca="false">VLOOKUP(A37,BD_ORDENES!A:BG,12,FALSE())</f>
        <v>__export__.product_product_281715_232d83e1</v>
      </c>
      <c r="C37" s="64" t="n">
        <v>30</v>
      </c>
      <c r="D37" s="65" t="str">
        <f aca="false">VLOOKUP(A37,BD_ORDENES!A:BE,10,0)</f>
        <v>EXHIBICION TIENDA CEDRITOS</v>
      </c>
      <c r="E37" s="66" t="str">
        <f aca="false">VLOOKUP(A37,BD_ORDENES!A:BG,4,FALSE())</f>
        <v>TBC046</v>
      </c>
      <c r="F37" s="66" t="str">
        <f aca="false">VLOOKUP(A37,BD_ORDENES!A:BE,56,FALSE())</f>
        <v>S272828</v>
      </c>
      <c r="G37" s="67" t="str">
        <f aca="false">VLOOKUP(A37,BD_ORDENES!A:BE,13,FALSE())</f>
        <v>CUADRO LEOPARDO ACUARELA XL (120X80)</v>
      </c>
      <c r="H37" s="68" t="str">
        <f aca="false">VLOOKUP(A37,BD_ORDENES!A:BE,17,FALSE())</f>
        <v>CUADRO</v>
      </c>
      <c r="I37" s="68" t="str">
        <f aca="false">VLOOKUP(A37,BD_ORDENES!A:BE,18,FALSE())</f>
        <v>LEOPARDO-ACUARELA-XL-(120X80)</v>
      </c>
      <c r="J37" s="68" t="n">
        <f aca="false">VLOOKUP(A37,BD_ORDENES!A:BE,19,FALSE())</f>
        <v>0</v>
      </c>
      <c r="K37" s="68" t="n">
        <f aca="false">VLOOKUP(A37,BD_ORDENES!A:BE,20,FALSE())</f>
        <v>0</v>
      </c>
      <c r="L37" s="68" t="n">
        <f aca="false">VLOOKUP(A37,BD_ORDENES!A:BE,21,FALSE())</f>
        <v>0</v>
      </c>
      <c r="M37" s="69" t="n">
        <f aca="false">VLOOKUP(A37,BD_ORDENES!A:BE,14,FALSE())</f>
        <v>1</v>
      </c>
      <c r="N37" s="68" t="n">
        <f aca="false">VLOOKUP(A37,BD_ORDENES!A:BE,15,FALSE())</f>
        <v>0</v>
      </c>
      <c r="O37" s="68" t="str">
        <f aca="false">VLOOKUP(A37,BD_ORDENES!A:BE,33,FALSE())</f>
        <v>TRANSPORTADORA</v>
      </c>
      <c r="P37" s="68" t="n">
        <f aca="false">VLOOKUP(A37,BD_ORDENES!A:BE,23,FALSE())</f>
        <v>0</v>
      </c>
      <c r="Q37" s="68" t="str">
        <f aca="false">VLOOKUP(A37,BD_ORDENES!A:BE,52,FALSE())</f>
        <v>Retiro DECORACION POR ENTREGAR</v>
      </c>
      <c r="R37" s="68" t="str">
        <f aca="false">VLOOKUP(A37,BD_ORDENES!A:BE,25,FALSE())</f>
        <v>CHAPINERO</v>
      </c>
      <c r="S37" s="68" t="str">
        <f aca="false">VLOOKUP(A37,BD_ORDENES!A:BE,22,FALSE())</f>
        <v>EXHIBICION TIENDA CEDRITOS</v>
      </c>
      <c r="T37" s="65" t="str">
        <f aca="false">VLOOKUP(A37,BD_ORDENES!A:BE,55,FALSE())</f>
        <v>PRODUCCION</v>
      </c>
      <c r="U37" s="68" t="str">
        <f aca="false">VLOOKUP(A37,BD_ORDENES!A:BE,57,FALSE())</f>
        <v>1 ENVIA</v>
      </c>
      <c r="V37" s="70"/>
      <c r="W37" s="71"/>
    </row>
    <row r="38" s="72" customFormat="true" ht="98.25" hidden="false" customHeight="true" outlineLevel="0" collapsed="false">
      <c r="A38" s="62" t="n">
        <f aca="false">A37+1</f>
        <v>31</v>
      </c>
      <c r="B38" s="63" t="str">
        <f aca="false">VLOOKUP(A38,BD_ORDENES!A:BG,12,FALSE())</f>
        <v>__export__.product_product_286724_6a1346cb</v>
      </c>
      <c r="C38" s="64" t="n">
        <v>31</v>
      </c>
      <c r="D38" s="65" t="str">
        <f aca="false">VLOOKUP(A38,BD_ORDENES!A:BE,10,0)</f>
        <v>EXHIBICION TIENDA CEDRITOS</v>
      </c>
      <c r="E38" s="66" t="str">
        <f aca="false">VLOOKUP(A38,BD_ORDENES!A:BG,4,FALSE())</f>
        <v>TBC046</v>
      </c>
      <c r="F38" s="66" t="str">
        <f aca="false">VLOOKUP(A38,BD_ORDENES!A:BE,56,FALSE())</f>
        <v>S272828</v>
      </c>
      <c r="G38" s="67" t="str">
        <f aca="false">VLOOKUP(A38,BD_ORDENES!A:BE,13,FALSE())</f>
        <v>CUADRO PERRO CARA PINTADO M (70X45)</v>
      </c>
      <c r="H38" s="68" t="str">
        <f aca="false">VLOOKUP(A38,BD_ORDENES!A:BE,17,FALSE())</f>
        <v>CUADRO</v>
      </c>
      <c r="I38" s="68" t="str">
        <f aca="false">VLOOKUP(A38,BD_ORDENES!A:BE,18,FALSE())</f>
        <v>PERRO-CARA-PINTADO-M-(70X45)</v>
      </c>
      <c r="J38" s="68" t="n">
        <f aca="false">VLOOKUP(A38,BD_ORDENES!A:BE,19,FALSE())</f>
        <v>0</v>
      </c>
      <c r="K38" s="68" t="n">
        <f aca="false">VLOOKUP(A38,BD_ORDENES!A:BE,20,FALSE())</f>
        <v>0</v>
      </c>
      <c r="L38" s="68" t="n">
        <f aca="false">VLOOKUP(A38,BD_ORDENES!A:BE,21,FALSE())</f>
        <v>0</v>
      </c>
      <c r="M38" s="69" t="n">
        <f aca="false">VLOOKUP(A38,BD_ORDENES!A:BE,14,FALSE())</f>
        <v>1</v>
      </c>
      <c r="N38" s="68" t="n">
        <f aca="false">VLOOKUP(A38,BD_ORDENES!A:BE,15,FALSE())</f>
        <v>0</v>
      </c>
      <c r="O38" s="68" t="str">
        <f aca="false">VLOOKUP(A38,BD_ORDENES!A:BE,33,FALSE())</f>
        <v>TRANSPORTADORA</v>
      </c>
      <c r="P38" s="68" t="n">
        <f aca="false">VLOOKUP(A38,BD_ORDENES!A:BE,23,FALSE())</f>
        <v>0</v>
      </c>
      <c r="Q38" s="68" t="str">
        <f aca="false">VLOOKUP(A38,BD_ORDENES!A:BE,52,FALSE())</f>
        <v>Retiro DECORACION POR ENTREGAR</v>
      </c>
      <c r="R38" s="68" t="str">
        <f aca="false">VLOOKUP(A38,BD_ORDENES!A:BE,25,FALSE())</f>
        <v>CHAPINERO</v>
      </c>
      <c r="S38" s="68" t="str">
        <f aca="false">VLOOKUP(A38,BD_ORDENES!A:BE,22,FALSE())</f>
        <v>EXHIBICION TIENDA CEDRITOS</v>
      </c>
      <c r="T38" s="65" t="str">
        <f aca="false">VLOOKUP(A38,BD_ORDENES!A:BE,55,FALSE())</f>
        <v>PRODUCCION</v>
      </c>
      <c r="U38" s="68" t="str">
        <f aca="false">VLOOKUP(A38,BD_ORDENES!A:BE,57,FALSE())</f>
        <v>1 ENVIA</v>
      </c>
      <c r="V38" s="70"/>
      <c r="W38" s="71"/>
    </row>
    <row r="39" s="72" customFormat="true" ht="98.25" hidden="false" customHeight="true" outlineLevel="0" collapsed="false">
      <c r="A39" s="62" t="n">
        <f aca="false">A38+1</f>
        <v>32</v>
      </c>
      <c r="B39" s="63" t="str">
        <f aca="false">VLOOKUP(A39,BD_ORDENES!A:BG,12,FALSE())</f>
        <v>__export__.product_product_286723_5be2ebde</v>
      </c>
      <c r="C39" s="64" t="n">
        <v>32</v>
      </c>
      <c r="D39" s="65" t="str">
        <f aca="false">VLOOKUP(A39,BD_ORDENES!A:BE,10,0)</f>
        <v>EXHIBICION TIENDA CEDRITOS</v>
      </c>
      <c r="E39" s="66" t="str">
        <f aca="false">VLOOKUP(A39,BD_ORDENES!A:BG,4,FALSE())</f>
        <v>TBC046</v>
      </c>
      <c r="F39" s="66" t="str">
        <f aca="false">VLOOKUP(A39,BD_ORDENES!A:BE,56,FALSE())</f>
        <v>S272828</v>
      </c>
      <c r="G39" s="67" t="str">
        <f aca="false">VLOOKUP(A39,BD_ORDENES!A:BE,13,FALSE())</f>
        <v>CUADRO PERRO CARA PINTADO XL (120X80)</v>
      </c>
      <c r="H39" s="68" t="str">
        <f aca="false">VLOOKUP(A39,BD_ORDENES!A:BE,17,FALSE())</f>
        <v>CUADRO</v>
      </c>
      <c r="I39" s="68" t="str">
        <f aca="false">VLOOKUP(A39,BD_ORDENES!A:BE,18,FALSE())</f>
        <v>PERRO-CARA-PINTADO-XL-(120X80)</v>
      </c>
      <c r="J39" s="68" t="n">
        <f aca="false">VLOOKUP(A39,BD_ORDENES!A:BE,19,FALSE())</f>
        <v>0</v>
      </c>
      <c r="K39" s="68" t="n">
        <f aca="false">VLOOKUP(A39,BD_ORDENES!A:BE,20,FALSE())</f>
        <v>0</v>
      </c>
      <c r="L39" s="68" t="n">
        <f aca="false">VLOOKUP(A39,BD_ORDENES!A:BE,21,FALSE())</f>
        <v>0</v>
      </c>
      <c r="M39" s="69" t="n">
        <f aca="false">VLOOKUP(A39,BD_ORDENES!A:BE,14,FALSE())</f>
        <v>1</v>
      </c>
      <c r="N39" s="68" t="n">
        <f aca="false">VLOOKUP(A39,BD_ORDENES!A:BE,15,FALSE())</f>
        <v>0</v>
      </c>
      <c r="O39" s="68" t="str">
        <f aca="false">VLOOKUP(A39,BD_ORDENES!A:BE,33,FALSE())</f>
        <v>TRANSPORTADORA</v>
      </c>
      <c r="P39" s="68" t="n">
        <f aca="false">VLOOKUP(A39,BD_ORDENES!A:BE,23,FALSE())</f>
        <v>0</v>
      </c>
      <c r="Q39" s="68" t="str">
        <f aca="false">VLOOKUP(A39,BD_ORDENES!A:BE,52,FALSE())</f>
        <v>Retiro DECORACION POR ENTREGAR</v>
      </c>
      <c r="R39" s="68" t="str">
        <f aca="false">VLOOKUP(A39,BD_ORDENES!A:BE,25,FALSE())</f>
        <v>CHAPINERO</v>
      </c>
      <c r="S39" s="68" t="str">
        <f aca="false">VLOOKUP(A39,BD_ORDENES!A:BE,22,FALSE())</f>
        <v>EXHIBICION TIENDA CEDRITOS</v>
      </c>
      <c r="T39" s="65" t="str">
        <f aca="false">VLOOKUP(A39,BD_ORDENES!A:BE,55,FALSE())</f>
        <v>PRODUCCION</v>
      </c>
      <c r="U39" s="68" t="str">
        <f aca="false">VLOOKUP(A39,BD_ORDENES!A:BE,57,FALSE())</f>
        <v>1 ENVIA</v>
      </c>
      <c r="V39" s="70"/>
      <c r="W39" s="71"/>
    </row>
    <row r="40" s="72" customFormat="true" ht="98.25" hidden="false" customHeight="true" outlineLevel="0" collapsed="false">
      <c r="A40" s="62" t="n">
        <f aca="false">A39+1</f>
        <v>33</v>
      </c>
      <c r="B40" s="63" t="str">
        <f aca="false">VLOOKUP(A40,BD_ORDENES!A:BG,12,FALSE())</f>
        <v>__export__.product_product_285299_04ebbd95</v>
      </c>
      <c r="C40" s="64" t="n">
        <v>33</v>
      </c>
      <c r="D40" s="65" t="str">
        <f aca="false">VLOOKUP(A40,BD_ORDENES!A:BE,10,0)</f>
        <v>EXHIBICION TIENDA CEDRITOS</v>
      </c>
      <c r="E40" s="66" t="str">
        <f aca="false">VLOOKUP(A40,BD_ORDENES!A:BG,4,FALSE())</f>
        <v>TBC046</v>
      </c>
      <c r="F40" s="66" t="str">
        <f aca="false">VLOOKUP(A40,BD_ORDENES!A:BE,56,FALSE())</f>
        <v>S272828</v>
      </c>
      <c r="G40" s="67" t="str">
        <f aca="false">VLOOKUP(A40,BD_ORDENES!A:BE,13,FALSE())</f>
        <v>CUADRO ROSTRO ACUARELA M (70X45)</v>
      </c>
      <c r="H40" s="68" t="str">
        <f aca="false">VLOOKUP(A40,BD_ORDENES!A:BE,17,FALSE())</f>
        <v>CUADRO</v>
      </c>
      <c r="I40" s="68" t="str">
        <f aca="false">VLOOKUP(A40,BD_ORDENES!A:BE,18,FALSE())</f>
        <v>ROSTRO-ACUARELA-M-(70X45)</v>
      </c>
      <c r="J40" s="68" t="n">
        <f aca="false">VLOOKUP(A40,BD_ORDENES!A:BE,19,FALSE())</f>
        <v>0</v>
      </c>
      <c r="K40" s="68" t="n">
        <f aca="false">VLOOKUP(A40,BD_ORDENES!A:BE,20,FALSE())</f>
        <v>0</v>
      </c>
      <c r="L40" s="68" t="n">
        <f aca="false">VLOOKUP(A40,BD_ORDENES!A:BE,21,FALSE())</f>
        <v>0</v>
      </c>
      <c r="M40" s="69" t="n">
        <f aca="false">VLOOKUP(A40,BD_ORDENES!A:BE,14,FALSE())</f>
        <v>1</v>
      </c>
      <c r="N40" s="68" t="n">
        <f aca="false">VLOOKUP(A40,BD_ORDENES!A:BE,15,FALSE())</f>
        <v>0</v>
      </c>
      <c r="O40" s="68" t="str">
        <f aca="false">VLOOKUP(A40,BD_ORDENES!A:BE,33,FALSE())</f>
        <v>TRANSPORTADORA</v>
      </c>
      <c r="P40" s="68" t="n">
        <f aca="false">VLOOKUP(A40,BD_ORDENES!A:BE,23,FALSE())</f>
        <v>0</v>
      </c>
      <c r="Q40" s="68" t="str">
        <f aca="false">VLOOKUP(A40,BD_ORDENES!A:BE,52,FALSE())</f>
        <v>Retiro DECORACION POR ENTREGAR</v>
      </c>
      <c r="R40" s="68" t="str">
        <f aca="false">VLOOKUP(A40,BD_ORDENES!A:BE,25,FALSE())</f>
        <v>CHAPINERO</v>
      </c>
      <c r="S40" s="68" t="str">
        <f aca="false">VLOOKUP(A40,BD_ORDENES!A:BE,22,FALSE())</f>
        <v>EXHIBICION TIENDA CEDRITOS</v>
      </c>
      <c r="T40" s="65" t="str">
        <f aca="false">VLOOKUP(A40,BD_ORDENES!A:BE,55,FALSE())</f>
        <v>PRODUCCION</v>
      </c>
      <c r="U40" s="68" t="str">
        <f aca="false">VLOOKUP(A40,BD_ORDENES!A:BE,57,FALSE())</f>
        <v>1 ENVIA</v>
      </c>
      <c r="V40" s="70"/>
      <c r="W40" s="71"/>
    </row>
    <row r="41" s="72" customFormat="true" ht="98.25" hidden="false" customHeight="true" outlineLevel="0" collapsed="false">
      <c r="A41" s="62" t="n">
        <f aca="false">A40+1</f>
        <v>34</v>
      </c>
      <c r="B41" s="63" t="str">
        <f aca="false">VLOOKUP(A41,BD_ORDENES!A:BG,12,FALSE())</f>
        <v>__export__.product_product_283801_12372af4</v>
      </c>
      <c r="C41" s="64" t="n">
        <v>34</v>
      </c>
      <c r="D41" s="65" t="str">
        <f aca="false">VLOOKUP(A41,BD_ORDENES!A:BE,10,0)</f>
        <v>EXHIBICION TIENDA CEDRITOS</v>
      </c>
      <c r="E41" s="66" t="str">
        <f aca="false">VLOOKUP(A41,BD_ORDENES!A:BG,4,FALSE())</f>
        <v>TBC046</v>
      </c>
      <c r="F41" s="66" t="str">
        <f aca="false">VLOOKUP(A41,BD_ORDENES!A:BE,56,FALSE())</f>
        <v>S272828</v>
      </c>
      <c r="G41" s="67" t="str">
        <f aca="false">VLOOKUP(A41,BD_ORDENES!A:BE,13,FALSE())</f>
        <v>CUADRO ARTE ABSTRACT M (70X45)</v>
      </c>
      <c r="H41" s="68" t="str">
        <f aca="false">VLOOKUP(A41,BD_ORDENES!A:BE,17,FALSE())</f>
        <v>CUADRO</v>
      </c>
      <c r="I41" s="68" t="str">
        <f aca="false">VLOOKUP(A41,BD_ORDENES!A:BE,18,FALSE())</f>
        <v>ARTE-ABSTRACT-M-(70X45)</v>
      </c>
      <c r="J41" s="68" t="n">
        <f aca="false">VLOOKUP(A41,BD_ORDENES!A:BE,19,FALSE())</f>
        <v>0</v>
      </c>
      <c r="K41" s="68" t="n">
        <f aca="false">VLOOKUP(A41,BD_ORDENES!A:BE,20,FALSE())</f>
        <v>0</v>
      </c>
      <c r="L41" s="68" t="n">
        <f aca="false">VLOOKUP(A41,BD_ORDENES!A:BE,21,FALSE())</f>
        <v>0</v>
      </c>
      <c r="M41" s="69" t="n">
        <f aca="false">VLOOKUP(A41,BD_ORDENES!A:BE,14,FALSE())</f>
        <v>1</v>
      </c>
      <c r="N41" s="68" t="n">
        <f aca="false">VLOOKUP(A41,BD_ORDENES!A:BE,15,FALSE())</f>
        <v>0</v>
      </c>
      <c r="O41" s="68" t="str">
        <f aca="false">VLOOKUP(A41,BD_ORDENES!A:BE,33,FALSE())</f>
        <v>TRANSPORTADORA</v>
      </c>
      <c r="P41" s="68" t="n">
        <f aca="false">VLOOKUP(A41,BD_ORDENES!A:BE,23,FALSE())</f>
        <v>0</v>
      </c>
      <c r="Q41" s="68" t="str">
        <f aca="false">VLOOKUP(A41,BD_ORDENES!A:BE,52,FALSE())</f>
        <v>Retiro DECORACION POR ENTREGAR</v>
      </c>
      <c r="R41" s="68" t="str">
        <f aca="false">VLOOKUP(A41,BD_ORDENES!A:BE,25,FALSE())</f>
        <v>CHAPINERO</v>
      </c>
      <c r="S41" s="68" t="str">
        <f aca="false">VLOOKUP(A41,BD_ORDENES!A:BE,22,FALSE())</f>
        <v>EXHIBICION TIENDA CEDRITOS</v>
      </c>
      <c r="T41" s="65" t="str">
        <f aca="false">VLOOKUP(A41,BD_ORDENES!A:BE,55,FALSE())</f>
        <v>PRODUCCION</v>
      </c>
      <c r="U41" s="68" t="str">
        <f aca="false">VLOOKUP(A41,BD_ORDENES!A:BE,57,FALSE())</f>
        <v>1 ENVIA</v>
      </c>
      <c r="V41" s="70"/>
      <c r="W41" s="71"/>
    </row>
    <row r="42" s="72" customFormat="true" ht="98.25" hidden="false" customHeight="true" outlineLevel="0" collapsed="false">
      <c r="A42" s="62" t="n">
        <f aca="false">A41+1</f>
        <v>35</v>
      </c>
      <c r="B42" s="63" t="str">
        <f aca="false">VLOOKUP(A42,BD_ORDENES!A:BG,12,FALSE())</f>
        <v>__export__.product_product_281865_7864acfd</v>
      </c>
      <c r="C42" s="64" t="n">
        <v>35</v>
      </c>
      <c r="D42" s="65" t="str">
        <f aca="false">VLOOKUP(A42,BD_ORDENES!A:BE,10,0)</f>
        <v>EXHIBICION TIENDA CEDRITOS</v>
      </c>
      <c r="E42" s="66" t="str">
        <f aca="false">VLOOKUP(A42,BD_ORDENES!A:BG,4,FALSE())</f>
        <v>TBC046</v>
      </c>
      <c r="F42" s="66" t="str">
        <f aca="false">VLOOKUP(A42,BD_ORDENES!A:BE,56,FALSE())</f>
        <v>S272828</v>
      </c>
      <c r="G42" s="67" t="str">
        <f aca="false">VLOOKUP(A42,BD_ORDENES!A:BE,13,FALSE())</f>
        <v>CUADRO CALLE CUBA XL (120X80)</v>
      </c>
      <c r="H42" s="68" t="str">
        <f aca="false">VLOOKUP(A42,BD_ORDENES!A:BE,17,FALSE())</f>
        <v>CUADRO</v>
      </c>
      <c r="I42" s="68" t="str">
        <f aca="false">VLOOKUP(A42,BD_ORDENES!A:BE,18,FALSE())</f>
        <v>CALLE-CUBA-XL-(120X80)</v>
      </c>
      <c r="J42" s="68" t="n">
        <f aca="false">VLOOKUP(A42,BD_ORDENES!A:BE,19,FALSE())</f>
        <v>0</v>
      </c>
      <c r="K42" s="68" t="n">
        <f aca="false">VLOOKUP(A42,BD_ORDENES!A:BE,20,FALSE())</f>
        <v>0</v>
      </c>
      <c r="L42" s="68" t="n">
        <f aca="false">VLOOKUP(A42,BD_ORDENES!A:BE,21,FALSE())</f>
        <v>0</v>
      </c>
      <c r="M42" s="69" t="n">
        <f aca="false">VLOOKUP(A42,BD_ORDENES!A:BE,14,FALSE())</f>
        <v>1</v>
      </c>
      <c r="N42" s="68" t="n">
        <f aca="false">VLOOKUP(A42,BD_ORDENES!A:BE,15,FALSE())</f>
        <v>0</v>
      </c>
      <c r="O42" s="68" t="str">
        <f aca="false">VLOOKUP(A42,BD_ORDENES!A:BE,33,FALSE())</f>
        <v>TRANSPORTADORA</v>
      </c>
      <c r="P42" s="68" t="n">
        <f aca="false">VLOOKUP(A42,BD_ORDENES!A:BE,23,FALSE())</f>
        <v>0</v>
      </c>
      <c r="Q42" s="68" t="str">
        <f aca="false">VLOOKUP(A42,BD_ORDENES!A:BE,52,FALSE())</f>
        <v>Retiro DECORACION POR ENTREGAR</v>
      </c>
      <c r="R42" s="68" t="str">
        <f aca="false">VLOOKUP(A42,BD_ORDENES!A:BE,25,FALSE())</f>
        <v>CHAPINERO</v>
      </c>
      <c r="S42" s="68" t="str">
        <f aca="false">VLOOKUP(A42,BD_ORDENES!A:BE,22,FALSE())</f>
        <v>EXHIBICION TIENDA CEDRITOS</v>
      </c>
      <c r="T42" s="65" t="str">
        <f aca="false">VLOOKUP(A42,BD_ORDENES!A:BE,55,FALSE())</f>
        <v>PRODUCCION</v>
      </c>
      <c r="U42" s="68" t="str">
        <f aca="false">VLOOKUP(A42,BD_ORDENES!A:BE,57,FALSE())</f>
        <v>1 ENVIA</v>
      </c>
      <c r="V42" s="70"/>
      <c r="W42" s="71"/>
    </row>
    <row r="43" s="72" customFormat="true" ht="98.25" hidden="false" customHeight="true" outlineLevel="0" collapsed="false">
      <c r="A43" s="62" t="n">
        <f aca="false">A42+1</f>
        <v>36</v>
      </c>
      <c r="B43" s="63" t="str">
        <f aca="false">VLOOKUP(A43,BD_ORDENES!A:BG,12,FALSE())</f>
        <v>__export__.product_product_281868_357922ec</v>
      </c>
      <c r="C43" s="64" t="n">
        <v>36</v>
      </c>
      <c r="D43" s="65" t="str">
        <f aca="false">VLOOKUP(A43,BD_ORDENES!A:BE,10,0)</f>
        <v>EXHIBICION TIENDA CEDRITOS</v>
      </c>
      <c r="E43" s="66" t="str">
        <f aca="false">VLOOKUP(A43,BD_ORDENES!A:BG,4,FALSE())</f>
        <v>TBC046</v>
      </c>
      <c r="F43" s="66" t="str">
        <f aca="false">VLOOKUP(A43,BD_ORDENES!A:BE,56,FALSE())</f>
        <v>S272828</v>
      </c>
      <c r="G43" s="67" t="str">
        <f aca="false">VLOOKUP(A43,BD_ORDENES!A:BE,13,FALSE())</f>
        <v>CUADRO CALLE LONDRES M (70X45)</v>
      </c>
      <c r="H43" s="68" t="str">
        <f aca="false">VLOOKUP(A43,BD_ORDENES!A:BE,17,FALSE())</f>
        <v>CUADRO</v>
      </c>
      <c r="I43" s="68" t="str">
        <f aca="false">VLOOKUP(A43,BD_ORDENES!A:BE,18,FALSE())</f>
        <v>CALLE-LONDRES-M-(70X45)</v>
      </c>
      <c r="J43" s="68" t="n">
        <f aca="false">VLOOKUP(A43,BD_ORDENES!A:BE,19,FALSE())</f>
        <v>0</v>
      </c>
      <c r="K43" s="68" t="n">
        <f aca="false">VLOOKUP(A43,BD_ORDENES!A:BE,20,FALSE())</f>
        <v>0</v>
      </c>
      <c r="L43" s="68" t="n">
        <f aca="false">VLOOKUP(A43,BD_ORDENES!A:BE,21,FALSE())</f>
        <v>0</v>
      </c>
      <c r="M43" s="69" t="n">
        <f aca="false">VLOOKUP(A43,BD_ORDENES!A:BE,14,FALSE())</f>
        <v>1</v>
      </c>
      <c r="N43" s="68" t="n">
        <f aca="false">VLOOKUP(A43,BD_ORDENES!A:BE,15,FALSE())</f>
        <v>0</v>
      </c>
      <c r="O43" s="68" t="str">
        <f aca="false">VLOOKUP(A43,BD_ORDENES!A:BE,33,FALSE())</f>
        <v>TRANSPORTADORA</v>
      </c>
      <c r="P43" s="68" t="n">
        <f aca="false">VLOOKUP(A43,BD_ORDENES!A:BE,23,FALSE())</f>
        <v>0</v>
      </c>
      <c r="Q43" s="68" t="str">
        <f aca="false">VLOOKUP(A43,BD_ORDENES!A:BE,52,FALSE())</f>
        <v>Retiro DECORACION POR ENTREGAR</v>
      </c>
      <c r="R43" s="68" t="str">
        <f aca="false">VLOOKUP(A43,BD_ORDENES!A:BE,25,FALSE())</f>
        <v>CHAPINERO</v>
      </c>
      <c r="S43" s="68" t="str">
        <f aca="false">VLOOKUP(A43,BD_ORDENES!A:BE,22,FALSE())</f>
        <v>EXHIBICION TIENDA CEDRITOS</v>
      </c>
      <c r="T43" s="65" t="str">
        <f aca="false">VLOOKUP(A43,BD_ORDENES!A:BE,55,FALSE())</f>
        <v>PRODUCCION</v>
      </c>
      <c r="U43" s="68" t="str">
        <f aca="false">VLOOKUP(A43,BD_ORDENES!A:BE,57,FALSE())</f>
        <v>1 ENVIA</v>
      </c>
      <c r="V43" s="70"/>
      <c r="W43" s="71"/>
    </row>
    <row r="44" s="72" customFormat="true" ht="98.25" hidden="false" customHeight="true" outlineLevel="0" collapsed="false">
      <c r="A44" s="62" t="n">
        <f aca="false">A43+1</f>
        <v>37</v>
      </c>
      <c r="B44" s="63" t="str">
        <f aca="false">VLOOKUP(A44,BD_ORDENES!A:BG,12,FALSE())</f>
        <v>__export__.product_product_285297_83b4d1da</v>
      </c>
      <c r="C44" s="64" t="n">
        <v>37</v>
      </c>
      <c r="D44" s="65" t="str">
        <f aca="false">VLOOKUP(A44,BD_ORDENES!A:BE,10,0)</f>
        <v>EXHIBICION TIENDA CEDRITOS</v>
      </c>
      <c r="E44" s="66" t="str">
        <f aca="false">VLOOKUP(A44,BD_ORDENES!A:BG,4,FALSE())</f>
        <v>TBC046</v>
      </c>
      <c r="F44" s="66" t="str">
        <f aca="false">VLOOKUP(A44,BD_ORDENES!A:BE,56,FALSE())</f>
        <v>S272828</v>
      </c>
      <c r="G44" s="67" t="str">
        <f aca="false">VLOOKUP(A44,BD_ORDENES!A:BE,13,FALSE())</f>
        <v>CUADRO COLORES HUMO M (70X45)</v>
      </c>
      <c r="H44" s="68" t="str">
        <f aca="false">VLOOKUP(A44,BD_ORDENES!A:BE,17,FALSE())</f>
        <v>CUADRO</v>
      </c>
      <c r="I44" s="68" t="str">
        <f aca="false">VLOOKUP(A44,BD_ORDENES!A:BE,18,FALSE())</f>
        <v>COLORES-HUMO-M-(70X45)</v>
      </c>
      <c r="J44" s="68" t="n">
        <f aca="false">VLOOKUP(A44,BD_ORDENES!A:BE,19,FALSE())</f>
        <v>0</v>
      </c>
      <c r="K44" s="68" t="n">
        <f aca="false">VLOOKUP(A44,BD_ORDENES!A:BE,20,FALSE())</f>
        <v>0</v>
      </c>
      <c r="L44" s="68" t="n">
        <f aca="false">VLOOKUP(A44,BD_ORDENES!A:BE,21,FALSE())</f>
        <v>0</v>
      </c>
      <c r="M44" s="69" t="n">
        <f aca="false">VLOOKUP(A44,BD_ORDENES!A:BE,14,FALSE())</f>
        <v>1</v>
      </c>
      <c r="N44" s="68" t="n">
        <f aca="false">VLOOKUP(A44,BD_ORDENES!A:BE,15,FALSE())</f>
        <v>0</v>
      </c>
      <c r="O44" s="68" t="str">
        <f aca="false">VLOOKUP(A44,BD_ORDENES!A:BE,33,FALSE())</f>
        <v>TRANSPORTADORA</v>
      </c>
      <c r="P44" s="68" t="n">
        <f aca="false">VLOOKUP(A44,BD_ORDENES!A:BE,23,FALSE())</f>
        <v>0</v>
      </c>
      <c r="Q44" s="68" t="str">
        <f aca="false">VLOOKUP(A44,BD_ORDENES!A:BE,52,FALSE())</f>
        <v>Retiro DECORACION POR ENTREGAR</v>
      </c>
      <c r="R44" s="68" t="str">
        <f aca="false">VLOOKUP(A44,BD_ORDENES!A:BE,25,FALSE())</f>
        <v>CHAPINERO</v>
      </c>
      <c r="S44" s="68" t="str">
        <f aca="false">VLOOKUP(A44,BD_ORDENES!A:BE,22,FALSE())</f>
        <v>EXHIBICION TIENDA CEDRITOS</v>
      </c>
      <c r="T44" s="65" t="str">
        <f aca="false">VLOOKUP(A44,BD_ORDENES!A:BE,55,FALSE())</f>
        <v>PRODUCCION</v>
      </c>
      <c r="U44" s="68" t="str">
        <f aca="false">VLOOKUP(A44,BD_ORDENES!A:BE,57,FALSE())</f>
        <v>1 ENVIA</v>
      </c>
      <c r="V44" s="70"/>
      <c r="W44" s="71"/>
    </row>
    <row r="45" s="72" customFormat="true" ht="98.25" hidden="false" customHeight="true" outlineLevel="0" collapsed="false">
      <c r="A45" s="62" t="n">
        <f aca="false">A44+1</f>
        <v>38</v>
      </c>
      <c r="B45" s="63" t="str">
        <f aca="false">VLOOKUP(A45,BD_ORDENES!A:BG,12,FALSE())</f>
        <v>__export__.product_product_263304_83b09730</v>
      </c>
      <c r="C45" s="64" t="n">
        <v>38</v>
      </c>
      <c r="D45" s="65" t="str">
        <f aca="false">VLOOKUP(A45,BD_ORDENES!A:BE,10,0)</f>
        <v>EXHIBICION TIENDA CEDRITOS</v>
      </c>
      <c r="E45" s="66" t="str">
        <f aca="false">VLOOKUP(A45,BD_ORDENES!A:BG,4,FALSE())</f>
        <v>TBC046</v>
      </c>
      <c r="F45" s="66" t="str">
        <f aca="false">VLOOKUP(A45,BD_ORDENES!A:BE,56,FALSE())</f>
        <v>S272828</v>
      </c>
      <c r="G45" s="67" t="str">
        <f aca="false">VLOOKUP(A45,BD_ORDENES!A:BE,13,FALSE())</f>
        <v>CUADRO PERRO BLANCO Y NEGRO L (60X60)</v>
      </c>
      <c r="H45" s="68" t="str">
        <f aca="false">VLOOKUP(A45,BD_ORDENES!A:BE,17,FALSE())</f>
        <v>CUADRO</v>
      </c>
      <c r="I45" s="68" t="str">
        <f aca="false">VLOOKUP(A45,BD_ORDENES!A:BE,18,FALSE())</f>
        <v>PERRO-BLANCO-Y-NEGRO-L-(60X60)</v>
      </c>
      <c r="J45" s="68" t="n">
        <f aca="false">VLOOKUP(A45,BD_ORDENES!A:BE,19,FALSE())</f>
        <v>0</v>
      </c>
      <c r="K45" s="68" t="n">
        <f aca="false">VLOOKUP(A45,BD_ORDENES!A:BE,20,FALSE())</f>
        <v>0</v>
      </c>
      <c r="L45" s="68" t="n">
        <f aca="false">VLOOKUP(A45,BD_ORDENES!A:BE,21,FALSE())</f>
        <v>0</v>
      </c>
      <c r="M45" s="69" t="n">
        <f aca="false">VLOOKUP(A45,BD_ORDENES!A:BE,14,FALSE())</f>
        <v>1</v>
      </c>
      <c r="N45" s="68" t="n">
        <f aca="false">VLOOKUP(A45,BD_ORDENES!A:BE,15,FALSE())</f>
        <v>0</v>
      </c>
      <c r="O45" s="68" t="str">
        <f aca="false">VLOOKUP(A45,BD_ORDENES!A:BE,33,FALSE())</f>
        <v>TRANSPORTADORA</v>
      </c>
      <c r="P45" s="68" t="n">
        <f aca="false">VLOOKUP(A45,BD_ORDENES!A:BE,23,FALSE())</f>
        <v>0</v>
      </c>
      <c r="Q45" s="68" t="str">
        <f aca="false">VLOOKUP(A45,BD_ORDENES!A:BE,52,FALSE())</f>
        <v>Retiro DECORACION POR ENTREGAR</v>
      </c>
      <c r="R45" s="68" t="str">
        <f aca="false">VLOOKUP(A45,BD_ORDENES!A:BE,25,FALSE())</f>
        <v>CHAPINERO</v>
      </c>
      <c r="S45" s="68" t="str">
        <f aca="false">VLOOKUP(A45,BD_ORDENES!A:BE,22,FALSE())</f>
        <v>EXHIBICION TIENDA CEDRITOS</v>
      </c>
      <c r="T45" s="65" t="str">
        <f aca="false">VLOOKUP(A45,BD_ORDENES!A:BE,55,FALSE())</f>
        <v>PRODUCCION</v>
      </c>
      <c r="U45" s="68" t="str">
        <f aca="false">VLOOKUP(A45,BD_ORDENES!A:BE,57,FALSE())</f>
        <v>1 ENVIA</v>
      </c>
      <c r="V45" s="70"/>
      <c r="W45" s="71"/>
    </row>
    <row r="46" s="72" customFormat="true" ht="98.25" hidden="false" customHeight="true" outlineLevel="0" collapsed="false">
      <c r="A46" s="62" t="n">
        <f aca="false">A45+1</f>
        <v>39</v>
      </c>
      <c r="B46" s="63" t="str">
        <f aca="false">VLOOKUP(A46,BD_ORDENES!A:BG,12,FALSE())</f>
        <v>__export__.product_product_332964_9ac4ffd4</v>
      </c>
      <c r="C46" s="64" t="n">
        <v>39</v>
      </c>
      <c r="D46" s="65" t="str">
        <f aca="false">VLOOKUP(A46,BD_ORDENES!A:BE,10,0)</f>
        <v>EXHIBICION TIENDA CEDRITOS</v>
      </c>
      <c r="E46" s="66" t="str">
        <f aca="false">VLOOKUP(A46,BD_ORDENES!A:BG,4,FALSE())</f>
        <v>TBC046</v>
      </c>
      <c r="F46" s="66" t="str">
        <f aca="false">VLOOKUP(A46,BD_ORDENES!A:BE,56,FALSE())</f>
        <v>S272828</v>
      </c>
      <c r="G46" s="67" t="str">
        <f aca="false">VLOOKUP(A46,BD_ORDENES!A:BE,13,FALSE())</f>
        <v>PORCELANA FLORA BRONCE</v>
      </c>
      <c r="H46" s="68" t="str">
        <f aca="false">VLOOKUP(A46,BD_ORDENES!A:BE,17,FALSE())</f>
        <v>PORCELANA</v>
      </c>
      <c r="I46" s="68" t="str">
        <f aca="false">VLOOKUP(A46,BD_ORDENES!A:BE,18,FALSE())</f>
        <v>FLORA</v>
      </c>
      <c r="J46" s="68" t="n">
        <f aca="false">VLOOKUP(A46,BD_ORDENES!A:BE,19,FALSE())</f>
        <v>0</v>
      </c>
      <c r="K46" s="68" t="str">
        <f aca="false">VLOOKUP(A46,BD_ORDENES!A:BE,20,FALSE())</f>
        <v>BRONCE</v>
      </c>
      <c r="L46" s="68" t="n">
        <f aca="false">VLOOKUP(A46,BD_ORDENES!A:BE,21,FALSE())</f>
        <v>0</v>
      </c>
      <c r="M46" s="69" t="n">
        <f aca="false">VLOOKUP(A46,BD_ORDENES!A:BE,14,FALSE())</f>
        <v>2</v>
      </c>
      <c r="N46" s="68" t="n">
        <f aca="false">VLOOKUP(A46,BD_ORDENES!A:BE,15,FALSE())</f>
        <v>0</v>
      </c>
      <c r="O46" s="68" t="str">
        <f aca="false">VLOOKUP(A46,BD_ORDENES!A:BE,33,FALSE())</f>
        <v>TRANSPORTADORA</v>
      </c>
      <c r="P46" s="68" t="n">
        <f aca="false">VLOOKUP(A46,BD_ORDENES!A:BE,23,FALSE())</f>
        <v>0</v>
      </c>
      <c r="Q46" s="68" t="str">
        <f aca="false">VLOOKUP(A46,BD_ORDENES!A:BE,52,FALSE())</f>
        <v>Retiro DECORACION POR ENTREGAR</v>
      </c>
      <c r="R46" s="68" t="str">
        <f aca="false">VLOOKUP(A46,BD_ORDENES!A:BE,25,FALSE())</f>
        <v>CHAPINERO</v>
      </c>
      <c r="S46" s="68" t="str">
        <f aca="false">VLOOKUP(A46,BD_ORDENES!A:BE,22,FALSE())</f>
        <v>EXHIBICION TIENDA CEDRITOS</v>
      </c>
      <c r="T46" s="65" t="str">
        <f aca="false">VLOOKUP(A46,BD_ORDENES!A:BE,55,FALSE())</f>
        <v>PRODUCCION</v>
      </c>
      <c r="U46" s="68" t="str">
        <f aca="false">VLOOKUP(A46,BD_ORDENES!A:BE,57,FALSE())</f>
        <v>1 ENVIA</v>
      </c>
      <c r="V46" s="70"/>
      <c r="W46" s="71"/>
    </row>
    <row r="47" s="72" customFormat="true" ht="98.25" hidden="false" customHeight="true" outlineLevel="0" collapsed="false">
      <c r="A47" s="62" t="n">
        <f aca="false">A46+1</f>
        <v>40</v>
      </c>
      <c r="B47" s="63" t="str">
        <f aca="false">VLOOKUP(A47,BD_ORDENES!A:BG,12,FALSE())</f>
        <v>__export__.product_product_332960_0da09bb5</v>
      </c>
      <c r="C47" s="64" t="n">
        <v>40</v>
      </c>
      <c r="D47" s="65" t="str">
        <f aca="false">VLOOKUP(A47,BD_ORDENES!A:BE,10,0)</f>
        <v>EXHIBICION TIENDA CEDRITOS</v>
      </c>
      <c r="E47" s="66" t="str">
        <f aca="false">VLOOKUP(A47,BD_ORDENES!A:BG,4,FALSE())</f>
        <v>TBC046</v>
      </c>
      <c r="F47" s="66" t="str">
        <f aca="false">VLOOKUP(A47,BD_ORDENES!A:BE,56,FALSE())</f>
        <v>S272828</v>
      </c>
      <c r="G47" s="67" t="str">
        <f aca="false">VLOOKUP(A47,BD_ORDENES!A:BE,13,FALSE())</f>
        <v>PORCELANA NEXIS BLANCO TEXTURIZADO</v>
      </c>
      <c r="H47" s="68" t="str">
        <f aca="false">VLOOKUP(A47,BD_ORDENES!A:BE,17,FALSE())</f>
        <v>PORCELANA</v>
      </c>
      <c r="I47" s="68" t="str">
        <f aca="false">VLOOKUP(A47,BD_ORDENES!A:BE,18,FALSE())</f>
        <v>NEXIS</v>
      </c>
      <c r="J47" s="68" t="n">
        <f aca="false">VLOOKUP(A47,BD_ORDENES!A:BE,19,FALSE())</f>
        <v>0</v>
      </c>
      <c r="K47" s="68" t="str">
        <f aca="false">VLOOKUP(A47,BD_ORDENES!A:BE,20,FALSE())</f>
        <v>BLANCO</v>
      </c>
      <c r="L47" s="68" t="n">
        <f aca="false">VLOOKUP(A47,BD_ORDENES!A:BE,21,FALSE())</f>
        <v>0</v>
      </c>
      <c r="M47" s="69" t="n">
        <f aca="false">VLOOKUP(A47,BD_ORDENES!A:BE,14,FALSE())</f>
        <v>2</v>
      </c>
      <c r="N47" s="68" t="n">
        <f aca="false">VLOOKUP(A47,BD_ORDENES!A:BE,15,FALSE())</f>
        <v>0</v>
      </c>
      <c r="O47" s="68" t="str">
        <f aca="false">VLOOKUP(A47,BD_ORDENES!A:BE,33,FALSE())</f>
        <v>TRANSPORTADORA</v>
      </c>
      <c r="P47" s="68" t="n">
        <f aca="false">VLOOKUP(A47,BD_ORDENES!A:BE,23,FALSE())</f>
        <v>0</v>
      </c>
      <c r="Q47" s="68" t="str">
        <f aca="false">VLOOKUP(A47,BD_ORDENES!A:BE,52,FALSE())</f>
        <v>Retiro DECORACION POR ENTREGAR</v>
      </c>
      <c r="R47" s="68" t="str">
        <f aca="false">VLOOKUP(A47,BD_ORDENES!A:BE,25,FALSE())</f>
        <v>CHAPINERO</v>
      </c>
      <c r="S47" s="68" t="str">
        <f aca="false">VLOOKUP(A47,BD_ORDENES!A:BE,22,FALSE())</f>
        <v>EXHIBICION TIENDA CEDRITOS</v>
      </c>
      <c r="T47" s="65" t="str">
        <f aca="false">VLOOKUP(A47,BD_ORDENES!A:BE,55,FALSE())</f>
        <v>PRODUCCION</v>
      </c>
      <c r="U47" s="68" t="str">
        <f aca="false">VLOOKUP(A47,BD_ORDENES!A:BE,57,FALSE())</f>
        <v>1 ENVIA</v>
      </c>
      <c r="V47" s="70"/>
      <c r="W47" s="71"/>
    </row>
    <row r="48" s="72" customFormat="true" ht="98.25" hidden="false" customHeight="true" outlineLevel="0" collapsed="false">
      <c r="A48" s="62" t="n">
        <f aca="false">A47+1</f>
        <v>41</v>
      </c>
      <c r="B48" s="63" t="str">
        <f aca="false">VLOOKUP(A48,BD_ORDENES!A:BG,12,FALSE())</f>
        <v>__export__.product_product_332969_d6f8243f</v>
      </c>
      <c r="C48" s="64" t="n">
        <v>41</v>
      </c>
      <c r="D48" s="65" t="str">
        <f aca="false">VLOOKUP(A48,BD_ORDENES!A:BE,10,0)</f>
        <v>EXHIBICION TIENDA CEDRITOS</v>
      </c>
      <c r="E48" s="66" t="str">
        <f aca="false">VLOOKUP(A48,BD_ORDENES!A:BG,4,FALSE())</f>
        <v>TBC046</v>
      </c>
      <c r="F48" s="66" t="str">
        <f aca="false">VLOOKUP(A48,BD_ORDENES!A:BE,56,FALSE())</f>
        <v>S272828</v>
      </c>
      <c r="G48" s="67" t="str">
        <f aca="false">VLOOKUP(A48,BD_ORDENES!A:BE,13,FALSE())</f>
        <v>PORCELANA AURA BLANCO TEXTURIZADO SET</v>
      </c>
      <c r="H48" s="68" t="str">
        <f aca="false">VLOOKUP(A48,BD_ORDENES!A:BE,17,FALSE())</f>
        <v>PORCELANA</v>
      </c>
      <c r="I48" s="68" t="str">
        <f aca="false">VLOOKUP(A48,BD_ORDENES!A:BE,18,FALSE())</f>
        <v>AURA</v>
      </c>
      <c r="J48" s="68" t="n">
        <f aca="false">VLOOKUP(A48,BD_ORDENES!A:BE,19,FALSE())</f>
        <v>0</v>
      </c>
      <c r="K48" s="68" t="str">
        <f aca="false">VLOOKUP(A48,BD_ORDENES!A:BE,20,FALSE())</f>
        <v>BLANCO</v>
      </c>
      <c r="L48" s="68" t="n">
        <f aca="false">VLOOKUP(A48,BD_ORDENES!A:BE,21,FALSE())</f>
        <v>0</v>
      </c>
      <c r="M48" s="69" t="n">
        <f aca="false">VLOOKUP(A48,BD_ORDENES!A:BE,14,FALSE())</f>
        <v>1</v>
      </c>
      <c r="N48" s="68" t="n">
        <f aca="false">VLOOKUP(A48,BD_ORDENES!A:BE,15,FALSE())</f>
        <v>0</v>
      </c>
      <c r="O48" s="68" t="str">
        <f aca="false">VLOOKUP(A48,BD_ORDENES!A:BE,33,FALSE())</f>
        <v>TRANSPORTADORA</v>
      </c>
      <c r="P48" s="68" t="n">
        <f aca="false">VLOOKUP(A48,BD_ORDENES!A:BE,23,FALSE())</f>
        <v>0</v>
      </c>
      <c r="Q48" s="68" t="str">
        <f aca="false">VLOOKUP(A48,BD_ORDENES!A:BE,52,FALSE())</f>
        <v>Retiro DECORACION POR ENTREGAR</v>
      </c>
      <c r="R48" s="68" t="str">
        <f aca="false">VLOOKUP(A48,BD_ORDENES!A:BE,25,FALSE())</f>
        <v>CHAPINERO</v>
      </c>
      <c r="S48" s="68" t="str">
        <f aca="false">VLOOKUP(A48,BD_ORDENES!A:BE,22,FALSE())</f>
        <v>EXHIBICION TIENDA CEDRITOS</v>
      </c>
      <c r="T48" s="65" t="str">
        <f aca="false">VLOOKUP(A48,BD_ORDENES!A:BE,55,FALSE())</f>
        <v>PRODUCCION</v>
      </c>
      <c r="U48" s="68" t="str">
        <f aca="false">VLOOKUP(A48,BD_ORDENES!A:BE,57,FALSE())</f>
        <v>1 ENVIA</v>
      </c>
      <c r="V48" s="70"/>
      <c r="W48" s="71"/>
    </row>
    <row r="49" s="72" customFormat="true" ht="98.25" hidden="false" customHeight="true" outlineLevel="0" collapsed="false">
      <c r="A49" s="62" t="n">
        <f aca="false">A48+1</f>
        <v>42</v>
      </c>
      <c r="B49" s="63" t="str">
        <f aca="false">VLOOKUP(A49,BD_ORDENES!A:BG,12,FALSE())</f>
        <v>__export__.product_product_301313_59b386ef</v>
      </c>
      <c r="C49" s="64" t="n">
        <v>42</v>
      </c>
      <c r="D49" s="65" t="str">
        <f aca="false">VLOOKUP(A49,BD_ORDENES!A:BE,10,0)</f>
        <v>EXHIBICION TIENDA CEDRITOS</v>
      </c>
      <c r="E49" s="66" t="str">
        <f aca="false">VLOOKUP(A49,BD_ORDENES!A:BG,4,FALSE())</f>
        <v>TBC046</v>
      </c>
      <c r="F49" s="66" t="str">
        <f aca="false">VLOOKUP(A49,BD_ORDENES!A:BE,56,FALSE())</f>
        <v>S272828</v>
      </c>
      <c r="G49" s="67" t="str">
        <f aca="false">VLOOKUP(A49,BD_ORDENES!A:BE,13,FALSE())</f>
        <v>PORCELANA ELEFANTE GORDO L BRONCE</v>
      </c>
      <c r="H49" s="68" t="str">
        <f aca="false">VLOOKUP(A49,BD_ORDENES!A:BE,17,FALSE())</f>
        <v>PORCELANA</v>
      </c>
      <c r="I49" s="68" t="str">
        <f aca="false">VLOOKUP(A49,BD_ORDENES!A:BE,18,FALSE())</f>
        <v>ELEFANTE-GORDO-L-BRONCE</v>
      </c>
      <c r="J49" s="68" t="n">
        <f aca="false">VLOOKUP(A49,BD_ORDENES!A:BE,19,FALSE())</f>
        <v>0</v>
      </c>
      <c r="K49" s="68" t="n">
        <f aca="false">VLOOKUP(A49,BD_ORDENES!A:BE,20,FALSE())</f>
        <v>0</v>
      </c>
      <c r="L49" s="68" t="n">
        <f aca="false">VLOOKUP(A49,BD_ORDENES!A:BE,21,FALSE())</f>
        <v>0</v>
      </c>
      <c r="M49" s="69" t="n">
        <f aca="false">VLOOKUP(A49,BD_ORDENES!A:BE,14,FALSE())</f>
        <v>1</v>
      </c>
      <c r="N49" s="68" t="n">
        <f aca="false">VLOOKUP(A49,BD_ORDENES!A:BE,15,FALSE())</f>
        <v>0</v>
      </c>
      <c r="O49" s="68" t="str">
        <f aca="false">VLOOKUP(A49,BD_ORDENES!A:BE,33,FALSE())</f>
        <v>TRANSPORTADORA</v>
      </c>
      <c r="P49" s="68" t="n">
        <f aca="false">VLOOKUP(A49,BD_ORDENES!A:BE,23,FALSE())</f>
        <v>0</v>
      </c>
      <c r="Q49" s="68" t="str">
        <f aca="false">VLOOKUP(A49,BD_ORDENES!A:BE,52,FALSE())</f>
        <v>Retiro DECORACION POR ENTREGAR</v>
      </c>
      <c r="R49" s="68" t="str">
        <f aca="false">VLOOKUP(A49,BD_ORDENES!A:BE,25,FALSE())</f>
        <v>CHAPINERO</v>
      </c>
      <c r="S49" s="68" t="str">
        <f aca="false">VLOOKUP(A49,BD_ORDENES!A:BE,22,FALSE())</f>
        <v>EXHIBICION TIENDA CEDRITOS</v>
      </c>
      <c r="T49" s="65" t="str">
        <f aca="false">VLOOKUP(A49,BD_ORDENES!A:BE,55,FALSE())</f>
        <v>PRODUCCION</v>
      </c>
      <c r="U49" s="68" t="str">
        <f aca="false">VLOOKUP(A49,BD_ORDENES!A:BE,57,FALSE())</f>
        <v>1 ENVIA</v>
      </c>
      <c r="V49" s="70"/>
      <c r="W49" s="71"/>
    </row>
    <row r="50" s="72" customFormat="true" ht="98.25" hidden="false" customHeight="true" outlineLevel="0" collapsed="false">
      <c r="A50" s="62" t="n">
        <f aca="false">A49+1</f>
        <v>43</v>
      </c>
      <c r="B50" s="63" t="str">
        <f aca="false">VLOOKUP(A50,BD_ORDENES!A:BG,12,FALSE())</f>
        <v>__export__.product_product_301314_40e27c45</v>
      </c>
      <c r="C50" s="64" t="n">
        <v>43</v>
      </c>
      <c r="D50" s="65" t="str">
        <f aca="false">VLOOKUP(A50,BD_ORDENES!A:BE,10,0)</f>
        <v>EXHIBICION TIENDA CEDRITOS</v>
      </c>
      <c r="E50" s="66" t="str">
        <f aca="false">VLOOKUP(A50,BD_ORDENES!A:BG,4,FALSE())</f>
        <v>TBC046</v>
      </c>
      <c r="F50" s="66" t="str">
        <f aca="false">VLOOKUP(A50,BD_ORDENES!A:BE,56,FALSE())</f>
        <v>S272828</v>
      </c>
      <c r="G50" s="67" t="str">
        <f aca="false">VLOOKUP(A50,BD_ORDENES!A:BE,13,FALSE())</f>
        <v>PORCELANA ELEFANTE GORDO M BRONCE</v>
      </c>
      <c r="H50" s="68" t="str">
        <f aca="false">VLOOKUP(A50,BD_ORDENES!A:BE,17,FALSE())</f>
        <v>PORCELANA</v>
      </c>
      <c r="I50" s="68" t="str">
        <f aca="false">VLOOKUP(A50,BD_ORDENES!A:BE,18,FALSE())</f>
        <v>ELEFANTE-GORDO-M-BRONCE</v>
      </c>
      <c r="J50" s="68" t="n">
        <f aca="false">VLOOKUP(A50,BD_ORDENES!A:BE,19,FALSE())</f>
        <v>0</v>
      </c>
      <c r="K50" s="68" t="n">
        <f aca="false">VLOOKUP(A50,BD_ORDENES!A:BE,20,FALSE())</f>
        <v>0</v>
      </c>
      <c r="L50" s="68" t="n">
        <f aca="false">VLOOKUP(A50,BD_ORDENES!A:BE,21,FALSE())</f>
        <v>0</v>
      </c>
      <c r="M50" s="69" t="n">
        <f aca="false">VLOOKUP(A50,BD_ORDENES!A:BE,14,FALSE())</f>
        <v>1</v>
      </c>
      <c r="N50" s="68" t="n">
        <f aca="false">VLOOKUP(A50,BD_ORDENES!A:BE,15,FALSE())</f>
        <v>0</v>
      </c>
      <c r="O50" s="68" t="str">
        <f aca="false">VLOOKUP(A50,BD_ORDENES!A:BE,33,FALSE())</f>
        <v>TRANSPORTADORA</v>
      </c>
      <c r="P50" s="68" t="n">
        <f aca="false">VLOOKUP(A50,BD_ORDENES!A:BE,23,FALSE())</f>
        <v>0</v>
      </c>
      <c r="Q50" s="68" t="str">
        <f aca="false">VLOOKUP(A50,BD_ORDENES!A:BE,52,FALSE())</f>
        <v>Retiro DECORACION POR ENTREGAR</v>
      </c>
      <c r="R50" s="68" t="str">
        <f aca="false">VLOOKUP(A50,BD_ORDENES!A:BE,25,FALSE())</f>
        <v>CHAPINERO</v>
      </c>
      <c r="S50" s="68" t="str">
        <f aca="false">VLOOKUP(A50,BD_ORDENES!A:BE,22,FALSE())</f>
        <v>EXHIBICION TIENDA CEDRITOS</v>
      </c>
      <c r="T50" s="65" t="str">
        <f aca="false">VLOOKUP(A50,BD_ORDENES!A:BE,55,FALSE())</f>
        <v>PRODUCCION</v>
      </c>
      <c r="U50" s="68" t="str">
        <f aca="false">VLOOKUP(A50,BD_ORDENES!A:BE,57,FALSE())</f>
        <v>1 ENVIA</v>
      </c>
      <c r="V50" s="70"/>
      <c r="W50" s="71"/>
    </row>
    <row r="51" s="72" customFormat="true" ht="98.25" hidden="false" customHeight="true" outlineLevel="0" collapsed="false">
      <c r="A51" s="62" t="n">
        <f aca="false">A50+1</f>
        <v>44</v>
      </c>
      <c r="B51" s="63" t="str">
        <f aca="false">VLOOKUP(A51,BD_ORDENES!A:BG,12,FALSE())</f>
        <v>__export__.product_product_301315_f0257c1b</v>
      </c>
      <c r="C51" s="64" t="n">
        <v>44</v>
      </c>
      <c r="D51" s="65" t="str">
        <f aca="false">VLOOKUP(A51,BD_ORDENES!A:BE,10,0)</f>
        <v>EXHIBICION TIENDA CEDRITOS</v>
      </c>
      <c r="E51" s="66" t="str">
        <f aca="false">VLOOKUP(A51,BD_ORDENES!A:BG,4,FALSE())</f>
        <v>TBC046</v>
      </c>
      <c r="F51" s="66" t="str">
        <f aca="false">VLOOKUP(A51,BD_ORDENES!A:BE,56,FALSE())</f>
        <v>S272828</v>
      </c>
      <c r="G51" s="67" t="str">
        <f aca="false">VLOOKUP(A51,BD_ORDENES!A:BE,13,FALSE())</f>
        <v>PORCELANA ELEFANTE GORDO S BRONCE</v>
      </c>
      <c r="H51" s="68" t="str">
        <f aca="false">VLOOKUP(A51,BD_ORDENES!A:BE,17,FALSE())</f>
        <v>PORCELANA</v>
      </c>
      <c r="I51" s="68" t="str">
        <f aca="false">VLOOKUP(A51,BD_ORDENES!A:BE,18,FALSE())</f>
        <v>ELEFANTE-GORDO-S-BRONCE</v>
      </c>
      <c r="J51" s="68" t="n">
        <f aca="false">VLOOKUP(A51,BD_ORDENES!A:BE,19,FALSE())</f>
        <v>0</v>
      </c>
      <c r="K51" s="68" t="n">
        <f aca="false">VLOOKUP(A51,BD_ORDENES!A:BE,20,FALSE())</f>
        <v>0</v>
      </c>
      <c r="L51" s="68" t="n">
        <f aca="false">VLOOKUP(A51,BD_ORDENES!A:BE,21,FALSE())</f>
        <v>0</v>
      </c>
      <c r="M51" s="69" t="n">
        <f aca="false">VLOOKUP(A51,BD_ORDENES!A:BE,14,FALSE())</f>
        <v>1</v>
      </c>
      <c r="N51" s="68" t="n">
        <f aca="false">VLOOKUP(A51,BD_ORDENES!A:BE,15,FALSE())</f>
        <v>0</v>
      </c>
      <c r="O51" s="68" t="str">
        <f aca="false">VLOOKUP(A51,BD_ORDENES!A:BE,33,FALSE())</f>
        <v>TRANSPORTADORA</v>
      </c>
      <c r="P51" s="68" t="n">
        <f aca="false">VLOOKUP(A51,BD_ORDENES!A:BE,23,FALSE())</f>
        <v>0</v>
      </c>
      <c r="Q51" s="68" t="str">
        <f aca="false">VLOOKUP(A51,BD_ORDENES!A:BE,52,FALSE())</f>
        <v>Retiro DECORACION POR ENTREGAR</v>
      </c>
      <c r="R51" s="68" t="str">
        <f aca="false">VLOOKUP(A51,BD_ORDENES!A:BE,25,FALSE())</f>
        <v>CHAPINERO</v>
      </c>
      <c r="S51" s="68" t="str">
        <f aca="false">VLOOKUP(A51,BD_ORDENES!A:BE,22,FALSE())</f>
        <v>EXHIBICION TIENDA CEDRITOS</v>
      </c>
      <c r="T51" s="65" t="str">
        <f aca="false">VLOOKUP(A51,BD_ORDENES!A:BE,55,FALSE())</f>
        <v>PRODUCCION</v>
      </c>
      <c r="U51" s="68" t="str">
        <f aca="false">VLOOKUP(A51,BD_ORDENES!A:BE,57,FALSE())</f>
        <v>1 ENVIA</v>
      </c>
      <c r="V51" s="70"/>
      <c r="W51" s="71"/>
    </row>
    <row r="52" s="72" customFormat="true" ht="98.25" hidden="false" customHeight="true" outlineLevel="0" collapsed="false">
      <c r="A52" s="62" t="n">
        <f aca="false">A51+1</f>
        <v>45</v>
      </c>
      <c r="B52" s="63" t="str">
        <f aca="false">VLOOKUP(A52,BD_ORDENES!A:BG,12,FALSE())</f>
        <v>__export__.product_product_326208_51f43e49</v>
      </c>
      <c r="C52" s="64" t="n">
        <v>45</v>
      </c>
      <c r="D52" s="65" t="str">
        <f aca="false">VLOOKUP(A52,BD_ORDENES!A:BE,10,0)</f>
        <v>EXHIBICION TIENDA CEDRITOS</v>
      </c>
      <c r="E52" s="66" t="str">
        <f aca="false">VLOOKUP(A52,BD_ORDENES!A:BG,4,FALSE())</f>
        <v>TBC046</v>
      </c>
      <c r="F52" s="66" t="str">
        <f aca="false">VLOOKUP(A52,BD_ORDENES!A:BE,56,FALSE())</f>
        <v>S272828</v>
      </c>
      <c r="G52" s="67" t="str">
        <f aca="false">VLOOKUP(A52,BD_ORDENES!A:BE,13,FALSE())</f>
        <v>PORCELANA ELEFANTE ORIGAMI L BLANCO AZUL</v>
      </c>
      <c r="H52" s="68" t="str">
        <f aca="false">VLOOKUP(A52,BD_ORDENES!A:BE,17,FALSE())</f>
        <v>PORCELANA</v>
      </c>
      <c r="I52" s="68" t="str">
        <f aca="false">VLOOKUP(A52,BD_ORDENES!A:BE,18,FALSE())</f>
        <v>ELEFANTE-ORIGAMI-L-BLANCO-AZUL</v>
      </c>
      <c r="J52" s="68" t="n">
        <f aca="false">VLOOKUP(A52,BD_ORDENES!A:BE,19,FALSE())</f>
        <v>0</v>
      </c>
      <c r="K52" s="68" t="n">
        <f aca="false">VLOOKUP(A52,BD_ORDENES!A:BE,20,FALSE())</f>
        <v>0</v>
      </c>
      <c r="L52" s="68" t="n">
        <f aca="false">VLOOKUP(A52,BD_ORDENES!A:BE,21,FALSE())</f>
        <v>0</v>
      </c>
      <c r="M52" s="69" t="n">
        <f aca="false">VLOOKUP(A52,BD_ORDENES!A:BE,14,FALSE())</f>
        <v>1</v>
      </c>
      <c r="N52" s="68" t="n">
        <f aca="false">VLOOKUP(A52,BD_ORDENES!A:BE,15,FALSE())</f>
        <v>0</v>
      </c>
      <c r="O52" s="68" t="str">
        <f aca="false">VLOOKUP(A52,BD_ORDENES!A:BE,33,FALSE())</f>
        <v>TRANSPORTADORA</v>
      </c>
      <c r="P52" s="68" t="n">
        <f aca="false">VLOOKUP(A52,BD_ORDENES!A:BE,23,FALSE())</f>
        <v>0</v>
      </c>
      <c r="Q52" s="68" t="str">
        <f aca="false">VLOOKUP(A52,BD_ORDENES!A:BE,52,FALSE())</f>
        <v>Retiro DECORACION POR ENTREGAR</v>
      </c>
      <c r="R52" s="68" t="str">
        <f aca="false">VLOOKUP(A52,BD_ORDENES!A:BE,25,FALSE())</f>
        <v>CHAPINERO</v>
      </c>
      <c r="S52" s="68" t="str">
        <f aca="false">VLOOKUP(A52,BD_ORDENES!A:BE,22,FALSE())</f>
        <v>EXHIBICION TIENDA CEDRITOS</v>
      </c>
      <c r="T52" s="65" t="str">
        <f aca="false">VLOOKUP(A52,BD_ORDENES!A:BE,55,FALSE())</f>
        <v>PRODUCCION</v>
      </c>
      <c r="U52" s="68" t="str">
        <f aca="false">VLOOKUP(A52,BD_ORDENES!A:BE,57,FALSE())</f>
        <v>1 ENVIA</v>
      </c>
      <c r="V52" s="70"/>
      <c r="W52" s="71"/>
    </row>
    <row r="53" s="72" customFormat="true" ht="98.25" hidden="false" customHeight="true" outlineLevel="0" collapsed="false">
      <c r="A53" s="62" t="n">
        <f aca="false">A52+1</f>
        <v>46</v>
      </c>
      <c r="B53" s="63" t="str">
        <f aca="false">VLOOKUP(A53,BD_ORDENES!A:BG,12,FALSE())</f>
        <v>__export__.product_product_326209_64cd2371</v>
      </c>
      <c r="C53" s="64" t="n">
        <v>46</v>
      </c>
      <c r="D53" s="65" t="str">
        <f aca="false">VLOOKUP(A53,BD_ORDENES!A:BE,10,0)</f>
        <v>EXHIBICION TIENDA CEDRITOS</v>
      </c>
      <c r="E53" s="66" t="str">
        <f aca="false">VLOOKUP(A53,BD_ORDENES!A:BG,4,FALSE())</f>
        <v>TBC046</v>
      </c>
      <c r="F53" s="66" t="str">
        <f aca="false">VLOOKUP(A53,BD_ORDENES!A:BE,56,FALSE())</f>
        <v>S272828</v>
      </c>
      <c r="G53" s="67" t="str">
        <f aca="false">VLOOKUP(A53,BD_ORDENES!A:BE,13,FALSE())</f>
        <v>PORCELANA ELEFANTE ORIGAMI M BLANCO AZUL</v>
      </c>
      <c r="H53" s="68" t="str">
        <f aca="false">VLOOKUP(A53,BD_ORDENES!A:BE,17,FALSE())</f>
        <v>PORCELANA</v>
      </c>
      <c r="I53" s="68" t="str">
        <f aca="false">VLOOKUP(A53,BD_ORDENES!A:BE,18,FALSE())</f>
        <v>ELEFANTE-ORIGAMI-M-BLANCO-AZUL</v>
      </c>
      <c r="J53" s="68" t="n">
        <f aca="false">VLOOKUP(A53,BD_ORDENES!A:BE,19,FALSE())</f>
        <v>0</v>
      </c>
      <c r="K53" s="68" t="n">
        <f aca="false">VLOOKUP(A53,BD_ORDENES!A:BE,20,FALSE())</f>
        <v>0</v>
      </c>
      <c r="L53" s="68" t="n">
        <f aca="false">VLOOKUP(A53,BD_ORDENES!A:BE,21,FALSE())</f>
        <v>0</v>
      </c>
      <c r="M53" s="69" t="n">
        <f aca="false">VLOOKUP(A53,BD_ORDENES!A:BE,14,FALSE())</f>
        <v>1</v>
      </c>
      <c r="N53" s="68" t="n">
        <f aca="false">VLOOKUP(A53,BD_ORDENES!A:BE,15,FALSE())</f>
        <v>0</v>
      </c>
      <c r="O53" s="68" t="str">
        <f aca="false">VLOOKUP(A53,BD_ORDENES!A:BE,33,FALSE())</f>
        <v>TRANSPORTADORA</v>
      </c>
      <c r="P53" s="68" t="n">
        <f aca="false">VLOOKUP(A53,BD_ORDENES!A:BE,23,FALSE())</f>
        <v>0</v>
      </c>
      <c r="Q53" s="68" t="str">
        <f aca="false">VLOOKUP(A53,BD_ORDENES!A:BE,52,FALSE())</f>
        <v>Retiro DECORACION POR ENTREGAR</v>
      </c>
      <c r="R53" s="68" t="str">
        <f aca="false">VLOOKUP(A53,BD_ORDENES!A:BE,25,FALSE())</f>
        <v>CHAPINERO</v>
      </c>
      <c r="S53" s="68" t="str">
        <f aca="false">VLOOKUP(A53,BD_ORDENES!A:BE,22,FALSE())</f>
        <v>EXHIBICION TIENDA CEDRITOS</v>
      </c>
      <c r="T53" s="65" t="str">
        <f aca="false">VLOOKUP(A53,BD_ORDENES!A:BE,55,FALSE())</f>
        <v>PRODUCCION</v>
      </c>
      <c r="U53" s="68" t="str">
        <f aca="false">VLOOKUP(A53,BD_ORDENES!A:BE,57,FALSE())</f>
        <v>1 ENVIA</v>
      </c>
      <c r="V53" s="70"/>
      <c r="W53" s="71"/>
    </row>
    <row r="54" s="72" customFormat="true" ht="98.25" hidden="false" customHeight="true" outlineLevel="0" collapsed="false">
      <c r="A54" s="62" t="n">
        <f aca="false">A53+1</f>
        <v>47</v>
      </c>
      <c r="B54" s="63" t="str">
        <f aca="false">VLOOKUP(A54,BD_ORDENES!A:BG,12,FALSE())</f>
        <v>__export__.product_product_326210_9686e823</v>
      </c>
      <c r="C54" s="64" t="n">
        <v>47</v>
      </c>
      <c r="D54" s="65" t="str">
        <f aca="false">VLOOKUP(A54,BD_ORDENES!A:BE,10,0)</f>
        <v>EXHIBICION TIENDA CEDRITOS</v>
      </c>
      <c r="E54" s="66" t="str">
        <f aca="false">VLOOKUP(A54,BD_ORDENES!A:BG,4,FALSE())</f>
        <v>TBC046</v>
      </c>
      <c r="F54" s="66" t="str">
        <f aca="false">VLOOKUP(A54,BD_ORDENES!A:BE,56,FALSE())</f>
        <v>S272828</v>
      </c>
      <c r="G54" s="67" t="str">
        <f aca="false">VLOOKUP(A54,BD_ORDENES!A:BE,13,FALSE())</f>
        <v>PORCELANA ELEFANTE ORIGAMI S BLANCO AZUL</v>
      </c>
      <c r="H54" s="68" t="str">
        <f aca="false">VLOOKUP(A54,BD_ORDENES!A:BE,17,FALSE())</f>
        <v>PORCELANA</v>
      </c>
      <c r="I54" s="68" t="str">
        <f aca="false">VLOOKUP(A54,BD_ORDENES!A:BE,18,FALSE())</f>
        <v>ELEFANTE-ORIGAMI-S-BLANCO-AZUL</v>
      </c>
      <c r="J54" s="68" t="n">
        <f aca="false">VLOOKUP(A54,BD_ORDENES!A:BE,19,FALSE())</f>
        <v>0</v>
      </c>
      <c r="K54" s="68" t="n">
        <f aca="false">VLOOKUP(A54,BD_ORDENES!A:BE,20,FALSE())</f>
        <v>0</v>
      </c>
      <c r="L54" s="68" t="n">
        <f aca="false">VLOOKUP(A54,BD_ORDENES!A:BE,21,FALSE())</f>
        <v>0</v>
      </c>
      <c r="M54" s="69" t="n">
        <f aca="false">VLOOKUP(A54,BD_ORDENES!A:BE,14,FALSE())</f>
        <v>1</v>
      </c>
      <c r="N54" s="68" t="n">
        <f aca="false">VLOOKUP(A54,BD_ORDENES!A:BE,15,FALSE())</f>
        <v>0</v>
      </c>
      <c r="O54" s="68" t="str">
        <f aca="false">VLOOKUP(A54,BD_ORDENES!A:BE,33,FALSE())</f>
        <v>TRANSPORTADORA</v>
      </c>
      <c r="P54" s="68" t="n">
        <f aca="false">VLOOKUP(A54,BD_ORDENES!A:BE,23,FALSE())</f>
        <v>0</v>
      </c>
      <c r="Q54" s="68" t="str">
        <f aca="false">VLOOKUP(A54,BD_ORDENES!A:BE,52,FALSE())</f>
        <v>Retiro DECORACION POR ENTREGAR</v>
      </c>
      <c r="R54" s="68" t="str">
        <f aca="false">VLOOKUP(A54,BD_ORDENES!A:BE,25,FALSE())</f>
        <v>CHAPINERO</v>
      </c>
      <c r="S54" s="68" t="str">
        <f aca="false">VLOOKUP(A54,BD_ORDENES!A:BE,22,FALSE())</f>
        <v>EXHIBICION TIENDA CEDRITOS</v>
      </c>
      <c r="T54" s="65" t="str">
        <f aca="false">VLOOKUP(A54,BD_ORDENES!A:BE,55,FALSE())</f>
        <v>PRODUCCION</v>
      </c>
      <c r="U54" s="68" t="str">
        <f aca="false">VLOOKUP(A54,BD_ORDENES!A:BE,57,FALSE())</f>
        <v>1 ENVIA</v>
      </c>
      <c r="V54" s="70"/>
      <c r="W54" s="71"/>
    </row>
    <row r="55" s="72" customFormat="true" ht="98.25" hidden="false" customHeight="true" outlineLevel="0" collapsed="false">
      <c r="A55" s="62" t="n">
        <f aca="false">A54+1</f>
        <v>48</v>
      </c>
      <c r="B55" s="63" t="str">
        <f aca="false">VLOOKUP(A55,BD_ORDENES!A:BG,12,FALSE())</f>
        <v>__export__.product_product_301310_fe6b24dc</v>
      </c>
      <c r="C55" s="64" t="n">
        <v>48</v>
      </c>
      <c r="D55" s="65" t="str">
        <f aca="false">VLOOKUP(A55,BD_ORDENES!A:BE,10,0)</f>
        <v>EXHIBICION TIENDA CEDRITOS</v>
      </c>
      <c r="E55" s="66" t="str">
        <f aca="false">VLOOKUP(A55,BD_ORDENES!A:BG,4,FALSE())</f>
        <v>TBC046</v>
      </c>
      <c r="F55" s="66" t="str">
        <f aca="false">VLOOKUP(A55,BD_ORDENES!A:BE,56,FALSE())</f>
        <v>S272828</v>
      </c>
      <c r="G55" s="67" t="str">
        <f aca="false">VLOOKUP(A55,BD_ORDENES!A:BE,13,FALSE())</f>
        <v>PORCELANA ELEFANTE TROMPA LARGA L BRONCE</v>
      </c>
      <c r="H55" s="68" t="str">
        <f aca="false">VLOOKUP(A55,BD_ORDENES!A:BE,17,FALSE())</f>
        <v>PORCELANA</v>
      </c>
      <c r="I55" s="68" t="str">
        <f aca="false">VLOOKUP(A55,BD_ORDENES!A:BE,18,FALSE())</f>
        <v>ELEFANTE-TROMPA-LARGA-L-BRONCE</v>
      </c>
      <c r="J55" s="68" t="n">
        <f aca="false">VLOOKUP(A55,BD_ORDENES!A:BE,19,FALSE())</f>
        <v>0</v>
      </c>
      <c r="K55" s="68" t="n">
        <f aca="false">VLOOKUP(A55,BD_ORDENES!A:BE,20,FALSE())</f>
        <v>0</v>
      </c>
      <c r="L55" s="68" t="n">
        <f aca="false">VLOOKUP(A55,BD_ORDENES!A:BE,21,FALSE())</f>
        <v>0</v>
      </c>
      <c r="M55" s="69" t="n">
        <f aca="false">VLOOKUP(A55,BD_ORDENES!A:BE,14,FALSE())</f>
        <v>1</v>
      </c>
      <c r="N55" s="68" t="n">
        <f aca="false">VLOOKUP(A55,BD_ORDENES!A:BE,15,FALSE())</f>
        <v>0</v>
      </c>
      <c r="O55" s="68" t="str">
        <f aca="false">VLOOKUP(A55,BD_ORDENES!A:BE,33,FALSE())</f>
        <v>TRANSPORTADORA</v>
      </c>
      <c r="P55" s="68" t="n">
        <f aca="false">VLOOKUP(A55,BD_ORDENES!A:BE,23,FALSE())</f>
        <v>0</v>
      </c>
      <c r="Q55" s="68" t="str">
        <f aca="false">VLOOKUP(A55,BD_ORDENES!A:BE,52,FALSE())</f>
        <v>Retiro DECORACION POR ENTREGAR</v>
      </c>
      <c r="R55" s="68" t="str">
        <f aca="false">VLOOKUP(A55,BD_ORDENES!A:BE,25,FALSE())</f>
        <v>CHAPINERO</v>
      </c>
      <c r="S55" s="68" t="str">
        <f aca="false">VLOOKUP(A55,BD_ORDENES!A:BE,22,FALSE())</f>
        <v>EXHIBICION TIENDA CEDRITOS</v>
      </c>
      <c r="T55" s="65" t="str">
        <f aca="false">VLOOKUP(A55,BD_ORDENES!A:BE,55,FALSE())</f>
        <v>PRODUCCION</v>
      </c>
      <c r="U55" s="68" t="str">
        <f aca="false">VLOOKUP(A55,BD_ORDENES!A:BE,57,FALSE())</f>
        <v>1 ENVIA</v>
      </c>
      <c r="V55" s="70"/>
      <c r="W55" s="71"/>
    </row>
    <row r="56" s="72" customFormat="true" ht="98.25" hidden="false" customHeight="true" outlineLevel="0" collapsed="false">
      <c r="A56" s="62" t="n">
        <f aca="false">A55+1</f>
        <v>49</v>
      </c>
      <c r="B56" s="63" t="str">
        <f aca="false">VLOOKUP(A56,BD_ORDENES!A:BG,12,FALSE())</f>
        <v>__export__.product_product_301311_0f57ecfd</v>
      </c>
      <c r="C56" s="64" t="n">
        <v>49</v>
      </c>
      <c r="D56" s="65" t="str">
        <f aca="false">VLOOKUP(A56,BD_ORDENES!A:BE,10,0)</f>
        <v>EXHIBICION TIENDA CEDRITOS</v>
      </c>
      <c r="E56" s="66" t="str">
        <f aca="false">VLOOKUP(A56,BD_ORDENES!A:BG,4,FALSE())</f>
        <v>TBC046</v>
      </c>
      <c r="F56" s="66" t="str">
        <f aca="false">VLOOKUP(A56,BD_ORDENES!A:BE,56,FALSE())</f>
        <v>S272828</v>
      </c>
      <c r="G56" s="67" t="str">
        <f aca="false">VLOOKUP(A56,BD_ORDENES!A:BE,13,FALSE())</f>
        <v>PORCELANA ELEFANTE TROMPA LARGA M BRONCE</v>
      </c>
      <c r="H56" s="68" t="str">
        <f aca="false">VLOOKUP(A56,BD_ORDENES!A:BE,17,FALSE())</f>
        <v>PORCELANA</v>
      </c>
      <c r="I56" s="68" t="str">
        <f aca="false">VLOOKUP(A56,BD_ORDENES!A:BE,18,FALSE())</f>
        <v>ELEFANTE-TROMPA-LARGA-M-BRONCE</v>
      </c>
      <c r="J56" s="68" t="n">
        <f aca="false">VLOOKUP(A56,BD_ORDENES!A:BE,19,FALSE())</f>
        <v>0</v>
      </c>
      <c r="K56" s="68" t="n">
        <f aca="false">VLOOKUP(A56,BD_ORDENES!A:BE,20,FALSE())</f>
        <v>0</v>
      </c>
      <c r="L56" s="68" t="n">
        <f aca="false">VLOOKUP(A56,BD_ORDENES!A:BE,21,FALSE())</f>
        <v>0</v>
      </c>
      <c r="M56" s="69" t="n">
        <f aca="false">VLOOKUP(A56,BD_ORDENES!A:BE,14,FALSE())</f>
        <v>1</v>
      </c>
      <c r="N56" s="68" t="n">
        <f aca="false">VLOOKUP(A56,BD_ORDENES!A:BE,15,FALSE())</f>
        <v>0</v>
      </c>
      <c r="O56" s="68" t="str">
        <f aca="false">VLOOKUP(A56,BD_ORDENES!A:BE,33,FALSE())</f>
        <v>TRANSPORTADORA</v>
      </c>
      <c r="P56" s="68" t="n">
        <f aca="false">VLOOKUP(A56,BD_ORDENES!A:BE,23,FALSE())</f>
        <v>0</v>
      </c>
      <c r="Q56" s="68" t="str">
        <f aca="false">VLOOKUP(A56,BD_ORDENES!A:BE,52,FALSE())</f>
        <v>Retiro DECORACION POR ENTREGAR</v>
      </c>
      <c r="R56" s="68" t="str">
        <f aca="false">VLOOKUP(A56,BD_ORDENES!A:BE,25,FALSE())</f>
        <v>CHAPINERO</v>
      </c>
      <c r="S56" s="68" t="str">
        <f aca="false">VLOOKUP(A56,BD_ORDENES!A:BE,22,FALSE())</f>
        <v>EXHIBICION TIENDA CEDRITOS</v>
      </c>
      <c r="T56" s="65" t="str">
        <f aca="false">VLOOKUP(A56,BD_ORDENES!A:BE,55,FALSE())</f>
        <v>PRODUCCION</v>
      </c>
      <c r="U56" s="68" t="str">
        <f aca="false">VLOOKUP(A56,BD_ORDENES!A:BE,57,FALSE())</f>
        <v>1 ENVIA</v>
      </c>
      <c r="V56" s="70"/>
      <c r="W56" s="71"/>
    </row>
    <row r="57" s="72" customFormat="true" ht="98.25" hidden="false" customHeight="true" outlineLevel="0" collapsed="false">
      <c r="A57" s="62" t="n">
        <f aca="false">A56+1</f>
        <v>50</v>
      </c>
      <c r="B57" s="63" t="str">
        <f aca="false">VLOOKUP(A57,BD_ORDENES!A:BG,12,FALSE())</f>
        <v>__export__.product_product_301312_6eb60316</v>
      </c>
      <c r="C57" s="64" t="n">
        <v>50</v>
      </c>
      <c r="D57" s="65" t="str">
        <f aca="false">VLOOKUP(A57,BD_ORDENES!A:BE,10,0)</f>
        <v>EXHIBICION TIENDA CEDRITOS</v>
      </c>
      <c r="E57" s="66" t="str">
        <f aca="false">VLOOKUP(A57,BD_ORDENES!A:BG,4,FALSE())</f>
        <v>TBC046</v>
      </c>
      <c r="F57" s="66" t="str">
        <f aca="false">VLOOKUP(A57,BD_ORDENES!A:BE,56,FALSE())</f>
        <v>S272828</v>
      </c>
      <c r="G57" s="67" t="str">
        <f aca="false">VLOOKUP(A57,BD_ORDENES!A:BE,13,FALSE())</f>
        <v>PORCELANA ELEFANTE TROMPA LARGA S BRONCE</v>
      </c>
      <c r="H57" s="68" t="str">
        <f aca="false">VLOOKUP(A57,BD_ORDENES!A:BE,17,FALSE())</f>
        <v>PORCELANA</v>
      </c>
      <c r="I57" s="68" t="str">
        <f aca="false">VLOOKUP(A57,BD_ORDENES!A:BE,18,FALSE())</f>
        <v>ELEFANTE-TROMPA-LARGA-S-BRONCE</v>
      </c>
      <c r="J57" s="68" t="n">
        <f aca="false">VLOOKUP(A57,BD_ORDENES!A:BE,19,FALSE())</f>
        <v>0</v>
      </c>
      <c r="K57" s="68" t="n">
        <f aca="false">VLOOKUP(A57,BD_ORDENES!A:BE,20,FALSE())</f>
        <v>0</v>
      </c>
      <c r="L57" s="68" t="n">
        <f aca="false">VLOOKUP(A57,BD_ORDENES!A:BE,21,FALSE())</f>
        <v>0</v>
      </c>
      <c r="M57" s="69" t="n">
        <f aca="false">VLOOKUP(A57,BD_ORDENES!A:BE,14,FALSE())</f>
        <v>1</v>
      </c>
      <c r="N57" s="68" t="n">
        <f aca="false">VLOOKUP(A57,BD_ORDENES!A:BE,15,FALSE())</f>
        <v>0</v>
      </c>
      <c r="O57" s="68" t="str">
        <f aca="false">VLOOKUP(A57,BD_ORDENES!A:BE,33,FALSE())</f>
        <v>TRANSPORTADORA</v>
      </c>
      <c r="P57" s="68" t="n">
        <f aca="false">VLOOKUP(A57,BD_ORDENES!A:BE,23,FALSE())</f>
        <v>0</v>
      </c>
      <c r="Q57" s="68" t="str">
        <f aca="false">VLOOKUP(A57,BD_ORDENES!A:BE,52,FALSE())</f>
        <v>Retiro DECORACION POR ENTREGAR</v>
      </c>
      <c r="R57" s="68" t="str">
        <f aca="false">VLOOKUP(A57,BD_ORDENES!A:BE,25,FALSE())</f>
        <v>CHAPINERO</v>
      </c>
      <c r="S57" s="68" t="str">
        <f aca="false">VLOOKUP(A57,BD_ORDENES!A:BE,22,FALSE())</f>
        <v>EXHIBICION TIENDA CEDRITOS</v>
      </c>
      <c r="T57" s="65" t="str">
        <f aca="false">VLOOKUP(A57,BD_ORDENES!A:BE,55,FALSE())</f>
        <v>PRODUCCION</v>
      </c>
      <c r="U57" s="68" t="str">
        <f aca="false">VLOOKUP(A57,BD_ORDENES!A:BE,57,FALSE())</f>
        <v>1 ENVIA</v>
      </c>
      <c r="V57" s="70"/>
      <c r="W57" s="71"/>
    </row>
    <row r="58" s="72" customFormat="true" ht="98.25" hidden="false" customHeight="true" outlineLevel="0" collapsed="false">
      <c r="A58" s="62" t="n">
        <f aca="false">A57+1</f>
        <v>51</v>
      </c>
      <c r="B58" s="63" t="str">
        <f aca="false">VLOOKUP(A58,BD_ORDENES!A:BG,12,FALSE())</f>
        <v>__export__.product_product_331444_fe5a4adf</v>
      </c>
      <c r="C58" s="64" t="n">
        <v>51</v>
      </c>
      <c r="D58" s="65" t="str">
        <f aca="false">VLOOKUP(A58,BD_ORDENES!A:BE,10,0)</f>
        <v>EXHIBICION TIENDA CEDRITOS</v>
      </c>
      <c r="E58" s="66" t="str">
        <f aca="false">VLOOKUP(A58,BD_ORDENES!A:BG,4,FALSE())</f>
        <v>TBC046</v>
      </c>
      <c r="F58" s="66" t="str">
        <f aca="false">VLOOKUP(A58,BD_ORDENES!A:BE,56,FALSE())</f>
        <v>S272828</v>
      </c>
      <c r="G58" s="67" t="str">
        <f aca="false">VLOOKUP(A58,BD_ORDENES!A:BE,13,FALSE())</f>
        <v>PORCELANA FLORA BLANCO TEXTURIZADO</v>
      </c>
      <c r="H58" s="68" t="str">
        <f aca="false">VLOOKUP(A58,BD_ORDENES!A:BE,17,FALSE())</f>
        <v>PORCELANA</v>
      </c>
      <c r="I58" s="68" t="str">
        <f aca="false">VLOOKUP(A58,BD_ORDENES!A:BE,18,FALSE())</f>
        <v>FLORA</v>
      </c>
      <c r="J58" s="68" t="n">
        <f aca="false">VLOOKUP(A58,BD_ORDENES!A:BE,19,FALSE())</f>
        <v>0</v>
      </c>
      <c r="K58" s="68" t="str">
        <f aca="false">VLOOKUP(A58,BD_ORDENES!A:BE,20,FALSE())</f>
        <v>BLANCO</v>
      </c>
      <c r="L58" s="68" t="n">
        <f aca="false">VLOOKUP(A58,BD_ORDENES!A:BE,21,FALSE())</f>
        <v>0</v>
      </c>
      <c r="M58" s="69" t="n">
        <f aca="false">VLOOKUP(A58,BD_ORDENES!A:BE,14,FALSE())</f>
        <v>1</v>
      </c>
      <c r="N58" s="68" t="n">
        <f aca="false">VLOOKUP(A58,BD_ORDENES!A:BE,15,FALSE())</f>
        <v>0</v>
      </c>
      <c r="O58" s="68" t="str">
        <f aca="false">VLOOKUP(A58,BD_ORDENES!A:BE,33,FALSE())</f>
        <v>TRANSPORTADORA</v>
      </c>
      <c r="P58" s="68" t="n">
        <f aca="false">VLOOKUP(A58,BD_ORDENES!A:BE,23,FALSE())</f>
        <v>0</v>
      </c>
      <c r="Q58" s="68" t="str">
        <f aca="false">VLOOKUP(A58,BD_ORDENES!A:BE,52,FALSE())</f>
        <v>Retiro DECORACION POR ENTREGAR</v>
      </c>
      <c r="R58" s="68" t="str">
        <f aca="false">VLOOKUP(A58,BD_ORDENES!A:BE,25,FALSE())</f>
        <v>CHAPINERO</v>
      </c>
      <c r="S58" s="68" t="str">
        <f aca="false">VLOOKUP(A58,BD_ORDENES!A:BE,22,FALSE())</f>
        <v>EXHIBICION TIENDA CEDRITOS</v>
      </c>
      <c r="T58" s="65" t="str">
        <f aca="false">VLOOKUP(A58,BD_ORDENES!A:BE,55,FALSE())</f>
        <v>PRODUCCION</v>
      </c>
      <c r="U58" s="68" t="str">
        <f aca="false">VLOOKUP(A58,BD_ORDENES!A:BE,57,FALSE())</f>
        <v>1 ENVIA</v>
      </c>
      <c r="V58" s="70"/>
      <c r="W58" s="71"/>
    </row>
    <row r="59" s="72" customFormat="true" ht="98.25" hidden="false" customHeight="true" outlineLevel="0" collapsed="false">
      <c r="A59" s="62" t="n">
        <f aca="false">A58+1</f>
        <v>52</v>
      </c>
      <c r="B59" s="63" t="str">
        <f aca="false">VLOOKUP(A59,BD_ORDENES!A:BG,12,FALSE())</f>
        <v>__export__.product_product_332963_70c108ee</v>
      </c>
      <c r="C59" s="64" t="n">
        <v>52</v>
      </c>
      <c r="D59" s="65" t="str">
        <f aca="false">VLOOKUP(A59,BD_ORDENES!A:BE,10,0)</f>
        <v>EXHIBICION TIENDA CEDRITOS</v>
      </c>
      <c r="E59" s="66" t="str">
        <f aca="false">VLOOKUP(A59,BD_ORDENES!A:BG,4,FALSE())</f>
        <v>TBC046</v>
      </c>
      <c r="F59" s="66" t="str">
        <f aca="false">VLOOKUP(A59,BD_ORDENES!A:BE,56,FALSE())</f>
        <v>S272828</v>
      </c>
      <c r="G59" s="67" t="str">
        <f aca="false">VLOOKUP(A59,BD_ORDENES!A:BE,13,FALSE())</f>
        <v>PORCELANA FLORA NEGRO MATE</v>
      </c>
      <c r="H59" s="68" t="str">
        <f aca="false">VLOOKUP(A59,BD_ORDENES!A:BE,17,FALSE())</f>
        <v>PORCELANA</v>
      </c>
      <c r="I59" s="68" t="str">
        <f aca="false">VLOOKUP(A59,BD_ORDENES!A:BE,18,FALSE())</f>
        <v>FLORA</v>
      </c>
      <c r="J59" s="68" t="n">
        <f aca="false">VLOOKUP(A59,BD_ORDENES!A:BE,19,FALSE())</f>
        <v>0</v>
      </c>
      <c r="K59" s="68" t="str">
        <f aca="false">VLOOKUP(A59,BD_ORDENES!A:BE,20,FALSE())</f>
        <v>NEGRO</v>
      </c>
      <c r="L59" s="68" t="n">
        <f aca="false">VLOOKUP(A59,BD_ORDENES!A:BE,21,FALSE())</f>
        <v>0</v>
      </c>
      <c r="M59" s="69" t="n">
        <f aca="false">VLOOKUP(A59,BD_ORDENES!A:BE,14,FALSE())</f>
        <v>1</v>
      </c>
      <c r="N59" s="68" t="n">
        <f aca="false">VLOOKUP(A59,BD_ORDENES!A:BE,15,FALSE())</f>
        <v>0</v>
      </c>
      <c r="O59" s="68" t="str">
        <f aca="false">VLOOKUP(A59,BD_ORDENES!A:BE,33,FALSE())</f>
        <v>TRANSPORTADORA</v>
      </c>
      <c r="P59" s="68" t="n">
        <f aca="false">VLOOKUP(A59,BD_ORDENES!A:BE,23,FALSE())</f>
        <v>0</v>
      </c>
      <c r="Q59" s="68" t="str">
        <f aca="false">VLOOKUP(A59,BD_ORDENES!A:BE,52,FALSE())</f>
        <v>Retiro DECORACION POR ENTREGAR</v>
      </c>
      <c r="R59" s="68" t="str">
        <f aca="false">VLOOKUP(A59,BD_ORDENES!A:BE,25,FALSE())</f>
        <v>CHAPINERO</v>
      </c>
      <c r="S59" s="68" t="str">
        <f aca="false">VLOOKUP(A59,BD_ORDENES!A:BE,22,FALSE())</f>
        <v>EXHIBICION TIENDA CEDRITOS</v>
      </c>
      <c r="T59" s="65" t="str">
        <f aca="false">VLOOKUP(A59,BD_ORDENES!A:BE,55,FALSE())</f>
        <v>PRODUCCION</v>
      </c>
      <c r="U59" s="68" t="str">
        <f aca="false">VLOOKUP(A59,BD_ORDENES!A:BE,57,FALSE())</f>
        <v>1 ENVIA</v>
      </c>
      <c r="V59" s="70"/>
      <c r="W59" s="71"/>
    </row>
    <row r="60" s="72" customFormat="true" ht="98.25" hidden="false" customHeight="true" outlineLevel="0" collapsed="false">
      <c r="A60" s="62" t="n">
        <f aca="false">A59+1</f>
        <v>53</v>
      </c>
      <c r="B60" s="63" t="str">
        <f aca="false">VLOOKUP(A60,BD_ORDENES!A:BG,12,FALSE())</f>
        <v>__export__.product_product_332965_aeb95927</v>
      </c>
      <c r="C60" s="64" t="n">
        <v>53</v>
      </c>
      <c r="D60" s="65" t="str">
        <f aca="false">VLOOKUP(A60,BD_ORDENES!A:BE,10,0)</f>
        <v>EXHIBICION TIENDA CEDRITOS</v>
      </c>
      <c r="E60" s="66" t="str">
        <f aca="false">VLOOKUP(A60,BD_ORDENES!A:BG,4,FALSE())</f>
        <v>TBC046</v>
      </c>
      <c r="F60" s="66" t="str">
        <f aca="false">VLOOKUP(A60,BD_ORDENES!A:BE,56,FALSE())</f>
        <v>S272828</v>
      </c>
      <c r="G60" s="67" t="str">
        <f aca="false">VLOOKUP(A60,BD_ORDENES!A:BE,13,FALSE())</f>
        <v>PORCELANA FLORA TERRACOTA</v>
      </c>
      <c r="H60" s="68" t="str">
        <f aca="false">VLOOKUP(A60,BD_ORDENES!A:BE,17,FALSE())</f>
        <v>PORCELANA</v>
      </c>
      <c r="I60" s="68" t="str">
        <f aca="false">VLOOKUP(A60,BD_ORDENES!A:BE,18,FALSE())</f>
        <v>FLORA</v>
      </c>
      <c r="J60" s="68" t="n">
        <f aca="false">VLOOKUP(A60,BD_ORDENES!A:BE,19,FALSE())</f>
        <v>0</v>
      </c>
      <c r="K60" s="68" t="str">
        <f aca="false">VLOOKUP(A60,BD_ORDENES!A:BE,20,FALSE())</f>
        <v>TERRACOTA</v>
      </c>
      <c r="L60" s="68" t="n">
        <f aca="false">VLOOKUP(A60,BD_ORDENES!A:BE,21,FALSE())</f>
        <v>0</v>
      </c>
      <c r="M60" s="69" t="n">
        <f aca="false">VLOOKUP(A60,BD_ORDENES!A:BE,14,FALSE())</f>
        <v>1</v>
      </c>
      <c r="N60" s="68" t="n">
        <f aca="false">VLOOKUP(A60,BD_ORDENES!A:BE,15,FALSE())</f>
        <v>0</v>
      </c>
      <c r="O60" s="68" t="str">
        <f aca="false">VLOOKUP(A60,BD_ORDENES!A:BE,33,FALSE())</f>
        <v>TRANSPORTADORA</v>
      </c>
      <c r="P60" s="68" t="n">
        <f aca="false">VLOOKUP(A60,BD_ORDENES!A:BE,23,FALSE())</f>
        <v>0</v>
      </c>
      <c r="Q60" s="68" t="str">
        <f aca="false">VLOOKUP(A60,BD_ORDENES!A:BE,52,FALSE())</f>
        <v>Retiro DECORACION POR ENTREGAR</v>
      </c>
      <c r="R60" s="68" t="str">
        <f aca="false">VLOOKUP(A60,BD_ORDENES!A:BE,25,FALSE())</f>
        <v>CHAPINERO</v>
      </c>
      <c r="S60" s="68" t="str">
        <f aca="false">VLOOKUP(A60,BD_ORDENES!A:BE,22,FALSE())</f>
        <v>EXHIBICION TIENDA CEDRITOS</v>
      </c>
      <c r="T60" s="65" t="str">
        <f aca="false">VLOOKUP(A60,BD_ORDENES!A:BE,55,FALSE())</f>
        <v>PRODUCCION</v>
      </c>
      <c r="U60" s="68" t="str">
        <f aca="false">VLOOKUP(A60,BD_ORDENES!A:BE,57,FALSE())</f>
        <v>1 ENVIA</v>
      </c>
      <c r="V60" s="70"/>
      <c r="W60" s="71"/>
    </row>
    <row r="61" s="72" customFormat="true" ht="98.25" hidden="false" customHeight="true" outlineLevel="0" collapsed="false">
      <c r="A61" s="62" t="n">
        <f aca="false">A60+1</f>
        <v>54</v>
      </c>
      <c r="B61" s="63" t="str">
        <f aca="false">VLOOKUP(A61,BD_ORDENES!A:BG,12,FALSE())</f>
        <v>__export__.product_product_332961_03532444</v>
      </c>
      <c r="C61" s="64" t="n">
        <v>54</v>
      </c>
      <c r="D61" s="65" t="str">
        <f aca="false">VLOOKUP(A61,BD_ORDENES!A:BE,10,0)</f>
        <v>EXHIBICION TIENDA CEDRITOS</v>
      </c>
      <c r="E61" s="66" t="str">
        <f aca="false">VLOOKUP(A61,BD_ORDENES!A:BG,4,FALSE())</f>
        <v>TBC046</v>
      </c>
      <c r="F61" s="66" t="str">
        <f aca="false">VLOOKUP(A61,BD_ORDENES!A:BE,56,FALSE())</f>
        <v>S272828</v>
      </c>
      <c r="G61" s="67" t="str">
        <f aca="false">VLOOKUP(A61,BD_ORDENES!A:BE,13,FALSE())</f>
        <v>PORCELANA NEXIS TERRACOTA</v>
      </c>
      <c r="H61" s="68" t="str">
        <f aca="false">VLOOKUP(A61,BD_ORDENES!A:BE,17,FALSE())</f>
        <v>PORCELANA</v>
      </c>
      <c r="I61" s="68" t="str">
        <f aca="false">VLOOKUP(A61,BD_ORDENES!A:BE,18,FALSE())</f>
        <v>NEXIS</v>
      </c>
      <c r="J61" s="68" t="n">
        <f aca="false">VLOOKUP(A61,BD_ORDENES!A:BE,19,FALSE())</f>
        <v>0</v>
      </c>
      <c r="K61" s="68" t="str">
        <f aca="false">VLOOKUP(A61,BD_ORDENES!A:BE,20,FALSE())</f>
        <v>TERRACOTA</v>
      </c>
      <c r="L61" s="68" t="n">
        <f aca="false">VLOOKUP(A61,BD_ORDENES!A:BE,21,FALSE())</f>
        <v>0</v>
      </c>
      <c r="M61" s="69" t="n">
        <f aca="false">VLOOKUP(A61,BD_ORDENES!A:BE,14,FALSE())</f>
        <v>1</v>
      </c>
      <c r="N61" s="68" t="n">
        <f aca="false">VLOOKUP(A61,BD_ORDENES!A:BE,15,FALSE())</f>
        <v>0</v>
      </c>
      <c r="O61" s="68" t="str">
        <f aca="false">VLOOKUP(A61,BD_ORDENES!A:BE,33,FALSE())</f>
        <v>TRANSPORTADORA</v>
      </c>
      <c r="P61" s="68" t="n">
        <f aca="false">VLOOKUP(A61,BD_ORDENES!A:BE,23,FALSE())</f>
        <v>0</v>
      </c>
      <c r="Q61" s="68" t="str">
        <f aca="false">VLOOKUP(A61,BD_ORDENES!A:BE,52,FALSE())</f>
        <v>Retiro DECORACION POR ENTREGAR</v>
      </c>
      <c r="R61" s="68" t="str">
        <f aca="false">VLOOKUP(A61,BD_ORDENES!A:BE,25,FALSE())</f>
        <v>CHAPINERO</v>
      </c>
      <c r="S61" s="68" t="str">
        <f aca="false">VLOOKUP(A61,BD_ORDENES!A:BE,22,FALSE())</f>
        <v>EXHIBICION TIENDA CEDRITOS</v>
      </c>
      <c r="T61" s="65" t="str">
        <f aca="false">VLOOKUP(A61,BD_ORDENES!A:BE,55,FALSE())</f>
        <v>PRODUCCION</v>
      </c>
      <c r="U61" s="68" t="str">
        <f aca="false">VLOOKUP(A61,BD_ORDENES!A:BE,57,FALSE())</f>
        <v>1 ENVIA</v>
      </c>
      <c r="V61" s="70"/>
      <c r="W61" s="71"/>
    </row>
    <row r="62" s="72" customFormat="true" ht="98.25" hidden="false" customHeight="true" outlineLevel="0" collapsed="false">
      <c r="A62" s="62" t="n">
        <f aca="false">A61+1</f>
        <v>55</v>
      </c>
      <c r="B62" s="63" t="str">
        <f aca="false">VLOOKUP(A62,BD_ORDENES!A:BG,12,FALSE())</f>
        <v>__export__.product_product_332957_92243c87</v>
      </c>
      <c r="C62" s="64" t="n">
        <v>55</v>
      </c>
      <c r="D62" s="65" t="str">
        <f aca="false">VLOOKUP(A62,BD_ORDENES!A:BE,10,0)</f>
        <v>EXHIBICION TIENDA CEDRITOS</v>
      </c>
      <c r="E62" s="66" t="str">
        <f aca="false">VLOOKUP(A62,BD_ORDENES!A:BG,4,FALSE())</f>
        <v>TBC046</v>
      </c>
      <c r="F62" s="66" t="str">
        <f aca="false">VLOOKUP(A62,BD_ORDENES!A:BE,56,FALSE())</f>
        <v>S272828</v>
      </c>
      <c r="G62" s="67" t="str">
        <f aca="false">VLOOKUP(A62,BD_ORDENES!A:BE,13,FALSE())</f>
        <v>PORCELANA NOVO BLANCO TEXTURIZADO</v>
      </c>
      <c r="H62" s="68" t="str">
        <f aca="false">VLOOKUP(A62,BD_ORDENES!A:BE,17,FALSE())</f>
        <v>PORCELANA</v>
      </c>
      <c r="I62" s="68" t="str">
        <f aca="false">VLOOKUP(A62,BD_ORDENES!A:BE,18,FALSE())</f>
        <v>NOVO</v>
      </c>
      <c r="J62" s="68" t="n">
        <f aca="false">VLOOKUP(A62,BD_ORDENES!A:BE,19,FALSE())</f>
        <v>0</v>
      </c>
      <c r="K62" s="68" t="str">
        <f aca="false">VLOOKUP(A62,BD_ORDENES!A:BE,20,FALSE())</f>
        <v>BLANCO</v>
      </c>
      <c r="L62" s="68" t="n">
        <f aca="false">VLOOKUP(A62,BD_ORDENES!A:BE,21,FALSE())</f>
        <v>0</v>
      </c>
      <c r="M62" s="69" t="n">
        <f aca="false">VLOOKUP(A62,BD_ORDENES!A:BE,14,FALSE())</f>
        <v>1</v>
      </c>
      <c r="N62" s="68" t="n">
        <f aca="false">VLOOKUP(A62,BD_ORDENES!A:BE,15,FALSE())</f>
        <v>0</v>
      </c>
      <c r="O62" s="68" t="str">
        <f aca="false">VLOOKUP(A62,BD_ORDENES!A:BE,33,FALSE())</f>
        <v>TRANSPORTADORA</v>
      </c>
      <c r="P62" s="68" t="n">
        <f aca="false">VLOOKUP(A62,BD_ORDENES!A:BE,23,FALSE())</f>
        <v>0</v>
      </c>
      <c r="Q62" s="68" t="str">
        <f aca="false">VLOOKUP(A62,BD_ORDENES!A:BE,52,FALSE())</f>
        <v>Retiro DECORACION POR ENTREGAR</v>
      </c>
      <c r="R62" s="68" t="str">
        <f aca="false">VLOOKUP(A62,BD_ORDENES!A:BE,25,FALSE())</f>
        <v>CHAPINERO</v>
      </c>
      <c r="S62" s="68" t="str">
        <f aca="false">VLOOKUP(A62,BD_ORDENES!A:BE,22,FALSE())</f>
        <v>EXHIBICION TIENDA CEDRITOS</v>
      </c>
      <c r="T62" s="65" t="str">
        <f aca="false">VLOOKUP(A62,BD_ORDENES!A:BE,55,FALSE())</f>
        <v>PRODUCCION</v>
      </c>
      <c r="U62" s="68" t="str">
        <f aca="false">VLOOKUP(A62,BD_ORDENES!A:BE,57,FALSE())</f>
        <v>1 ENVIA</v>
      </c>
      <c r="V62" s="70"/>
      <c r="W62" s="71"/>
    </row>
    <row r="63" s="72" customFormat="true" ht="98.25" hidden="false" customHeight="true" outlineLevel="0" collapsed="false">
      <c r="A63" s="62" t="n">
        <f aca="false">A62+1</f>
        <v>56</v>
      </c>
      <c r="B63" s="63" t="str">
        <f aca="false">VLOOKUP(A63,BD_ORDENES!A:BG,12,FALSE())</f>
        <v>__export__.product_product_331445_c62ba339</v>
      </c>
      <c r="C63" s="64" t="n">
        <v>56</v>
      </c>
      <c r="D63" s="65" t="str">
        <f aca="false">VLOOKUP(A63,BD_ORDENES!A:BE,10,0)</f>
        <v>EXHIBICION TIENDA CEDRITOS</v>
      </c>
      <c r="E63" s="66" t="str">
        <f aca="false">VLOOKUP(A63,BD_ORDENES!A:BG,4,FALSE())</f>
        <v>TBC046</v>
      </c>
      <c r="F63" s="66" t="str">
        <f aca="false">VLOOKUP(A63,BD_ORDENES!A:BE,56,FALSE())</f>
        <v>S272828</v>
      </c>
      <c r="G63" s="67" t="str">
        <f aca="false">VLOOKUP(A63,BD_ORDENES!A:BE,13,FALSE())</f>
        <v>PORCELANA NOVO NEGRO MATE</v>
      </c>
      <c r="H63" s="68" t="str">
        <f aca="false">VLOOKUP(A63,BD_ORDENES!A:BE,17,FALSE())</f>
        <v>PORCELANA</v>
      </c>
      <c r="I63" s="68" t="str">
        <f aca="false">VLOOKUP(A63,BD_ORDENES!A:BE,18,FALSE())</f>
        <v>NOVO</v>
      </c>
      <c r="J63" s="68" t="n">
        <f aca="false">VLOOKUP(A63,BD_ORDENES!A:BE,19,FALSE())</f>
        <v>0</v>
      </c>
      <c r="K63" s="68" t="str">
        <f aca="false">VLOOKUP(A63,BD_ORDENES!A:BE,20,FALSE())</f>
        <v>NEGRO</v>
      </c>
      <c r="L63" s="68" t="n">
        <f aca="false">VLOOKUP(A63,BD_ORDENES!A:BE,21,FALSE())</f>
        <v>0</v>
      </c>
      <c r="M63" s="69" t="n">
        <f aca="false">VLOOKUP(A63,BD_ORDENES!A:BE,14,FALSE())</f>
        <v>2</v>
      </c>
      <c r="N63" s="68" t="n">
        <f aca="false">VLOOKUP(A63,BD_ORDENES!A:BE,15,FALSE())</f>
        <v>0</v>
      </c>
      <c r="O63" s="68" t="str">
        <f aca="false">VLOOKUP(A63,BD_ORDENES!A:BE,33,FALSE())</f>
        <v>TRANSPORTADORA</v>
      </c>
      <c r="P63" s="68" t="n">
        <f aca="false">VLOOKUP(A63,BD_ORDENES!A:BE,23,FALSE())</f>
        <v>0</v>
      </c>
      <c r="Q63" s="68" t="str">
        <f aca="false">VLOOKUP(A63,BD_ORDENES!A:BE,52,FALSE())</f>
        <v>Retiro DECORACION POR ENTREGAR</v>
      </c>
      <c r="R63" s="68" t="str">
        <f aca="false">VLOOKUP(A63,BD_ORDENES!A:BE,25,FALSE())</f>
        <v>CHAPINERO</v>
      </c>
      <c r="S63" s="68" t="str">
        <f aca="false">VLOOKUP(A63,BD_ORDENES!A:BE,22,FALSE())</f>
        <v>EXHIBICION TIENDA CEDRITOS</v>
      </c>
      <c r="T63" s="65" t="str">
        <f aca="false">VLOOKUP(A63,BD_ORDENES!A:BE,55,FALSE())</f>
        <v>PRODUCCION</v>
      </c>
      <c r="U63" s="68" t="str">
        <f aca="false">VLOOKUP(A63,BD_ORDENES!A:BE,57,FALSE())</f>
        <v>1 ENVIA</v>
      </c>
      <c r="V63" s="70"/>
      <c r="W63" s="71"/>
    </row>
    <row r="64" s="72" customFormat="true" ht="98.25" hidden="false" customHeight="true" outlineLevel="0" collapsed="false">
      <c r="A64" s="62" t="n">
        <f aca="false">A63+1</f>
        <v>57</v>
      </c>
      <c r="B64" s="63" t="str">
        <f aca="false">VLOOKUP(A64,BD_ORDENES!A:BG,12,FALSE())</f>
        <v>__export__.product_product_332959_28b07d57</v>
      </c>
      <c r="C64" s="64" t="n">
        <v>57</v>
      </c>
      <c r="D64" s="65" t="str">
        <f aca="false">VLOOKUP(A64,BD_ORDENES!A:BE,10,0)</f>
        <v>EXHIBICION TIENDA CEDRITOS</v>
      </c>
      <c r="E64" s="66" t="str">
        <f aca="false">VLOOKUP(A64,BD_ORDENES!A:BG,4,FALSE())</f>
        <v>TBC046</v>
      </c>
      <c r="F64" s="66" t="str">
        <f aca="false">VLOOKUP(A64,BD_ORDENES!A:BE,56,FALSE())</f>
        <v>S272828</v>
      </c>
      <c r="G64" s="67" t="str">
        <f aca="false">VLOOKUP(A64,BD_ORDENES!A:BE,13,FALSE())</f>
        <v>PORCELANA NOVO TERRACOTA</v>
      </c>
      <c r="H64" s="68" t="str">
        <f aca="false">VLOOKUP(A64,BD_ORDENES!A:BE,17,FALSE())</f>
        <v>PORCELANA</v>
      </c>
      <c r="I64" s="68" t="str">
        <f aca="false">VLOOKUP(A64,BD_ORDENES!A:BE,18,FALSE())</f>
        <v>NOVO</v>
      </c>
      <c r="J64" s="68" t="n">
        <f aca="false">VLOOKUP(A64,BD_ORDENES!A:BE,19,FALSE())</f>
        <v>0</v>
      </c>
      <c r="K64" s="68" t="str">
        <f aca="false">VLOOKUP(A64,BD_ORDENES!A:BE,20,FALSE())</f>
        <v>TERRACOTA</v>
      </c>
      <c r="L64" s="68" t="n">
        <f aca="false">VLOOKUP(A64,BD_ORDENES!A:BE,21,FALSE())</f>
        <v>0</v>
      </c>
      <c r="M64" s="69" t="n">
        <f aca="false">VLOOKUP(A64,BD_ORDENES!A:BE,14,FALSE())</f>
        <v>2</v>
      </c>
      <c r="N64" s="68" t="n">
        <f aca="false">VLOOKUP(A64,BD_ORDENES!A:BE,15,FALSE())</f>
        <v>0</v>
      </c>
      <c r="O64" s="68" t="str">
        <f aca="false">VLOOKUP(A64,BD_ORDENES!A:BE,33,FALSE())</f>
        <v>TRANSPORTADORA</v>
      </c>
      <c r="P64" s="68" t="n">
        <f aca="false">VLOOKUP(A64,BD_ORDENES!A:BE,23,FALSE())</f>
        <v>0</v>
      </c>
      <c r="Q64" s="68" t="str">
        <f aca="false">VLOOKUP(A64,BD_ORDENES!A:BE,52,FALSE())</f>
        <v>Retiro DECORACION POR ENTREGAR</v>
      </c>
      <c r="R64" s="68" t="str">
        <f aca="false">VLOOKUP(A64,BD_ORDENES!A:BE,25,FALSE())</f>
        <v>CHAPINERO</v>
      </c>
      <c r="S64" s="68" t="str">
        <f aca="false">VLOOKUP(A64,BD_ORDENES!A:BE,22,FALSE())</f>
        <v>EXHIBICION TIENDA CEDRITOS</v>
      </c>
      <c r="T64" s="65" t="str">
        <f aca="false">VLOOKUP(A64,BD_ORDENES!A:BE,55,FALSE())</f>
        <v>PRODUCCION</v>
      </c>
      <c r="U64" s="68" t="str">
        <f aca="false">VLOOKUP(A64,BD_ORDENES!A:BE,57,FALSE())</f>
        <v>1 ENVIA</v>
      </c>
      <c r="V64" s="70"/>
      <c r="W64" s="71"/>
    </row>
    <row r="65" s="72" customFormat="true" ht="98.25" hidden="false" customHeight="true" outlineLevel="0" collapsed="false">
      <c r="A65" s="62" t="n">
        <f aca="false">A64+1</f>
        <v>58</v>
      </c>
      <c r="B65" s="63" t="str">
        <f aca="false">VLOOKUP(A65,BD_ORDENES!A:BG,12,FALSE())</f>
        <v>__export__.product_product_332968_5c0d98bc</v>
      </c>
      <c r="C65" s="64" t="n">
        <v>58</v>
      </c>
      <c r="D65" s="65" t="str">
        <f aca="false">VLOOKUP(A65,BD_ORDENES!A:BE,10,0)</f>
        <v>EXHIBICION TIENDA CEDRITOS</v>
      </c>
      <c r="E65" s="66" t="str">
        <f aca="false">VLOOKUP(A65,BD_ORDENES!A:BG,4,FALSE())</f>
        <v>TBC046</v>
      </c>
      <c r="F65" s="66" t="str">
        <f aca="false">VLOOKUP(A65,BD_ORDENES!A:BE,56,FALSE())</f>
        <v>S272828</v>
      </c>
      <c r="G65" s="67" t="str">
        <f aca="false">VLOOKUP(A65,BD_ORDENES!A:BE,13,FALSE())</f>
        <v>PORCELANA AURA BRONCE SET</v>
      </c>
      <c r="H65" s="68" t="str">
        <f aca="false">VLOOKUP(A65,BD_ORDENES!A:BE,17,FALSE())</f>
        <v>PORCELANA</v>
      </c>
      <c r="I65" s="68" t="str">
        <f aca="false">VLOOKUP(A65,BD_ORDENES!A:BE,18,FALSE())</f>
        <v>AURA</v>
      </c>
      <c r="J65" s="68" t="n">
        <f aca="false">VLOOKUP(A65,BD_ORDENES!A:BE,19,FALSE())</f>
        <v>0</v>
      </c>
      <c r="K65" s="68" t="str">
        <f aca="false">VLOOKUP(A65,BD_ORDENES!A:BE,20,FALSE())</f>
        <v>BRONCE</v>
      </c>
      <c r="L65" s="68" t="n">
        <f aca="false">VLOOKUP(A65,BD_ORDENES!A:BE,21,FALSE())</f>
        <v>0</v>
      </c>
      <c r="M65" s="69" t="n">
        <f aca="false">VLOOKUP(A65,BD_ORDENES!A:BE,14,FALSE())</f>
        <v>1</v>
      </c>
      <c r="N65" s="68" t="n">
        <f aca="false">VLOOKUP(A65,BD_ORDENES!A:BE,15,FALSE())</f>
        <v>0</v>
      </c>
      <c r="O65" s="68" t="str">
        <f aca="false">VLOOKUP(A65,BD_ORDENES!A:BE,33,FALSE())</f>
        <v>TRANSPORTADORA</v>
      </c>
      <c r="P65" s="68" t="n">
        <f aca="false">VLOOKUP(A65,BD_ORDENES!A:BE,23,FALSE())</f>
        <v>0</v>
      </c>
      <c r="Q65" s="68" t="str">
        <f aca="false">VLOOKUP(A65,BD_ORDENES!A:BE,52,FALSE())</f>
        <v>Retiro DECORACION POR ENTREGAR</v>
      </c>
      <c r="R65" s="68" t="str">
        <f aca="false">VLOOKUP(A65,BD_ORDENES!A:BE,25,FALSE())</f>
        <v>CHAPINERO</v>
      </c>
      <c r="S65" s="68" t="str">
        <f aca="false">VLOOKUP(A65,BD_ORDENES!A:BE,22,FALSE())</f>
        <v>EXHIBICION TIENDA CEDRITOS</v>
      </c>
      <c r="T65" s="65" t="str">
        <f aca="false">VLOOKUP(A65,BD_ORDENES!A:BE,55,FALSE())</f>
        <v>PRODUCCION</v>
      </c>
      <c r="U65" s="68" t="str">
        <f aca="false">VLOOKUP(A65,BD_ORDENES!A:BE,57,FALSE())</f>
        <v>1 ENVIA</v>
      </c>
      <c r="V65" s="70"/>
      <c r="W65" s="71"/>
    </row>
    <row r="66" s="72" customFormat="true" ht="98.25" hidden="false" customHeight="true" outlineLevel="0" collapsed="false">
      <c r="A66" s="62" t="n">
        <f aca="false">A65+1</f>
        <v>59</v>
      </c>
      <c r="B66" s="63" t="str">
        <f aca="false">VLOOKUP(A66,BD_ORDENES!A:BG,12,FALSE())</f>
        <v>__export__.product_product_332966_a7f4e1dd</v>
      </c>
      <c r="C66" s="64" t="n">
        <v>59</v>
      </c>
      <c r="D66" s="65" t="str">
        <f aca="false">VLOOKUP(A66,BD_ORDENES!A:BE,10,0)</f>
        <v>EXHIBICION TIENDA CEDRITOS</v>
      </c>
      <c r="E66" s="66" t="str">
        <f aca="false">VLOOKUP(A66,BD_ORDENES!A:BG,4,FALSE())</f>
        <v>TBC046</v>
      </c>
      <c r="F66" s="66" t="str">
        <f aca="false">VLOOKUP(A66,BD_ORDENES!A:BE,56,FALSE())</f>
        <v>S272828</v>
      </c>
      <c r="G66" s="67" t="str">
        <f aca="false">VLOOKUP(A66,BD_ORDENES!A:BE,13,FALSE())</f>
        <v>PORCELANA AURA NEGRO MATE SET</v>
      </c>
      <c r="H66" s="68" t="str">
        <f aca="false">VLOOKUP(A66,BD_ORDENES!A:BE,17,FALSE())</f>
        <v>PORCELANA</v>
      </c>
      <c r="I66" s="68" t="str">
        <f aca="false">VLOOKUP(A66,BD_ORDENES!A:BE,18,FALSE())</f>
        <v>AURA</v>
      </c>
      <c r="J66" s="68" t="n">
        <f aca="false">VLOOKUP(A66,BD_ORDENES!A:BE,19,FALSE())</f>
        <v>0</v>
      </c>
      <c r="K66" s="68" t="str">
        <f aca="false">VLOOKUP(A66,BD_ORDENES!A:BE,20,FALSE())</f>
        <v>NEGRO</v>
      </c>
      <c r="L66" s="68" t="n">
        <f aca="false">VLOOKUP(A66,BD_ORDENES!A:BE,21,FALSE())</f>
        <v>0</v>
      </c>
      <c r="M66" s="69" t="n">
        <f aca="false">VLOOKUP(A66,BD_ORDENES!A:BE,14,FALSE())</f>
        <v>2</v>
      </c>
      <c r="N66" s="68" t="n">
        <f aca="false">VLOOKUP(A66,BD_ORDENES!A:BE,15,FALSE())</f>
        <v>0</v>
      </c>
      <c r="O66" s="68" t="str">
        <f aca="false">VLOOKUP(A66,BD_ORDENES!A:BE,33,FALSE())</f>
        <v>TRANSPORTADORA</v>
      </c>
      <c r="P66" s="68" t="n">
        <f aca="false">VLOOKUP(A66,BD_ORDENES!A:BE,23,FALSE())</f>
        <v>0</v>
      </c>
      <c r="Q66" s="68" t="str">
        <f aca="false">VLOOKUP(A66,BD_ORDENES!A:BE,52,FALSE())</f>
        <v>Retiro DECORACION POR ENTREGAR</v>
      </c>
      <c r="R66" s="68" t="str">
        <f aca="false">VLOOKUP(A66,BD_ORDENES!A:BE,25,FALSE())</f>
        <v>CHAPINERO</v>
      </c>
      <c r="S66" s="68" t="str">
        <f aca="false">VLOOKUP(A66,BD_ORDENES!A:BE,22,FALSE())</f>
        <v>EXHIBICION TIENDA CEDRITOS</v>
      </c>
      <c r="T66" s="65" t="str">
        <f aca="false">VLOOKUP(A66,BD_ORDENES!A:BE,55,FALSE())</f>
        <v>PRODUCCION</v>
      </c>
      <c r="U66" s="68" t="str">
        <f aca="false">VLOOKUP(A66,BD_ORDENES!A:BE,57,FALSE())</f>
        <v>1 ENVIA</v>
      </c>
      <c r="V66" s="70"/>
      <c r="W66" s="71"/>
    </row>
    <row r="67" s="72" customFormat="true" ht="98.25" hidden="false" customHeight="true" outlineLevel="0" collapsed="false">
      <c r="A67" s="62" t="n">
        <f aca="false">A66+1</f>
        <v>60</v>
      </c>
      <c r="B67" s="63" t="str">
        <f aca="false">VLOOKUP(A67,BD_ORDENES!A:BG,12,FALSE())</f>
        <v>__export__.product_product_325390_677cf6e1</v>
      </c>
      <c r="C67" s="64" t="n">
        <v>60</v>
      </c>
      <c r="D67" s="65" t="str">
        <f aca="false">VLOOKUP(A67,BD_ORDENES!A:BE,10,0)</f>
        <v>EXHIBICION TIENDA CEDRITOS</v>
      </c>
      <c r="E67" s="66" t="str">
        <f aca="false">VLOOKUP(A67,BD_ORDENES!A:BG,4,FALSE())</f>
        <v>TBC046</v>
      </c>
      <c r="F67" s="66" t="str">
        <f aca="false">VLOOKUP(A67,BD_ORDENES!A:BE,56,FALSE())</f>
        <v>S272828</v>
      </c>
      <c r="G67" s="67" t="str">
        <f aca="false">VLOOKUP(A67,BD_ORDENES!A:BE,13,FALSE())</f>
        <v>PORCELANA TORO CERAMICA BLANCO AZUL</v>
      </c>
      <c r="H67" s="68" t="str">
        <f aca="false">VLOOKUP(A67,BD_ORDENES!A:BE,17,FALSE())</f>
        <v>PORCELANA</v>
      </c>
      <c r="I67" s="68" t="str">
        <f aca="false">VLOOKUP(A67,BD_ORDENES!A:BE,18,FALSE())</f>
        <v>TORO-CERAMICA-BLANCO-AZUL</v>
      </c>
      <c r="J67" s="68" t="n">
        <f aca="false">VLOOKUP(A67,BD_ORDENES!A:BE,19,FALSE())</f>
        <v>0</v>
      </c>
      <c r="K67" s="68" t="n">
        <f aca="false">VLOOKUP(A67,BD_ORDENES!A:BE,20,FALSE())</f>
        <v>0</v>
      </c>
      <c r="L67" s="68" t="n">
        <f aca="false">VLOOKUP(A67,BD_ORDENES!A:BE,21,FALSE())</f>
        <v>0</v>
      </c>
      <c r="M67" s="69" t="n">
        <f aca="false">VLOOKUP(A67,BD_ORDENES!A:BE,14,FALSE())</f>
        <v>1</v>
      </c>
      <c r="N67" s="68" t="n">
        <f aca="false">VLOOKUP(A67,BD_ORDENES!A:BE,15,FALSE())</f>
        <v>0</v>
      </c>
      <c r="O67" s="68" t="str">
        <f aca="false">VLOOKUP(A67,BD_ORDENES!A:BE,33,FALSE())</f>
        <v>TRANSPORTADORA</v>
      </c>
      <c r="P67" s="68" t="n">
        <f aca="false">VLOOKUP(A67,BD_ORDENES!A:BE,23,FALSE())</f>
        <v>0</v>
      </c>
      <c r="Q67" s="68" t="str">
        <f aca="false">VLOOKUP(A67,BD_ORDENES!A:BE,52,FALSE())</f>
        <v>Retiro DECORACION POR ENTREGAR</v>
      </c>
      <c r="R67" s="68" t="str">
        <f aca="false">VLOOKUP(A67,BD_ORDENES!A:BE,25,FALSE())</f>
        <v>CHAPINERO</v>
      </c>
      <c r="S67" s="68" t="str">
        <f aca="false">VLOOKUP(A67,BD_ORDENES!A:BE,22,FALSE())</f>
        <v>EXHIBICION TIENDA CEDRITOS</v>
      </c>
      <c r="T67" s="65" t="str">
        <f aca="false">VLOOKUP(A67,BD_ORDENES!A:BE,55,FALSE())</f>
        <v>PRODUCCION</v>
      </c>
      <c r="U67" s="68" t="str">
        <f aca="false">VLOOKUP(A67,BD_ORDENES!A:BE,57,FALSE())</f>
        <v>1 ENVIA</v>
      </c>
      <c r="V67" s="70"/>
      <c r="W67" s="71"/>
    </row>
    <row r="68" s="72" customFormat="true" ht="98.25" hidden="false" customHeight="true" outlineLevel="0" collapsed="false">
      <c r="A68" s="62" t="n">
        <f aca="false">A67+1</f>
        <v>61</v>
      </c>
      <c r="B68" s="63" t="str">
        <f aca="false">VLOOKUP(A68,BD_ORDENES!A:BG,12,FALSE())</f>
        <v>__export__.product_product_206277_befc8b72</v>
      </c>
      <c r="C68" s="64" t="n">
        <v>61</v>
      </c>
      <c r="D68" s="65" t="str">
        <f aca="false">VLOOKUP(A68,BD_ORDENES!A:BE,10,0)</f>
        <v>EXHIBICION TIENDA CEDRITOS</v>
      </c>
      <c r="E68" s="66" t="str">
        <f aca="false">VLOOKUP(A68,BD_ORDENES!A:BG,4,FALSE())</f>
        <v>TBC046</v>
      </c>
      <c r="F68" s="66" t="str">
        <f aca="false">VLOOKUP(A68,BD_ORDENES!A:BE,56,FALSE())</f>
        <v>S272828</v>
      </c>
      <c r="G68" s="67" t="str">
        <f aca="false">VLOOKUP(A68,BD_ORDENES!A:BE,13,FALSE())</f>
        <v>PORCELANA TORO CERAMICA BRONCE</v>
      </c>
      <c r="H68" s="68" t="str">
        <f aca="false">VLOOKUP(A68,BD_ORDENES!A:BE,17,FALSE())</f>
        <v>PORCELANA</v>
      </c>
      <c r="I68" s="68" t="str">
        <f aca="false">VLOOKUP(A68,BD_ORDENES!A:BE,18,FALSE())</f>
        <v>TORO-CERAMICA-BRONCE</v>
      </c>
      <c r="J68" s="68" t="n">
        <f aca="false">VLOOKUP(A68,BD_ORDENES!A:BE,19,FALSE())</f>
        <v>0</v>
      </c>
      <c r="K68" s="68" t="n">
        <f aca="false">VLOOKUP(A68,BD_ORDENES!A:BE,20,FALSE())</f>
        <v>0</v>
      </c>
      <c r="L68" s="68" t="n">
        <f aca="false">VLOOKUP(A68,BD_ORDENES!A:BE,21,FALSE())</f>
        <v>0</v>
      </c>
      <c r="M68" s="69" t="n">
        <f aca="false">VLOOKUP(A68,BD_ORDENES!A:BE,14,FALSE())</f>
        <v>1</v>
      </c>
      <c r="N68" s="68" t="n">
        <f aca="false">VLOOKUP(A68,BD_ORDENES!A:BE,15,FALSE())</f>
        <v>0</v>
      </c>
      <c r="O68" s="68" t="str">
        <f aca="false">VLOOKUP(A68,BD_ORDENES!A:BE,33,FALSE())</f>
        <v>TRANSPORTADORA</v>
      </c>
      <c r="P68" s="68" t="n">
        <f aca="false">VLOOKUP(A68,BD_ORDENES!A:BE,23,FALSE())</f>
        <v>0</v>
      </c>
      <c r="Q68" s="68" t="str">
        <f aca="false">VLOOKUP(A68,BD_ORDENES!A:BE,52,FALSE())</f>
        <v>Retiro DECORACION POR ENTREGAR</v>
      </c>
      <c r="R68" s="68" t="str">
        <f aca="false">VLOOKUP(A68,BD_ORDENES!A:BE,25,FALSE())</f>
        <v>CHAPINERO</v>
      </c>
      <c r="S68" s="68" t="str">
        <f aca="false">VLOOKUP(A68,BD_ORDENES!A:BE,22,FALSE())</f>
        <v>EXHIBICION TIENDA CEDRITOS</v>
      </c>
      <c r="T68" s="65" t="str">
        <f aca="false">VLOOKUP(A68,BD_ORDENES!A:BE,55,FALSE())</f>
        <v>PRODUCCION</v>
      </c>
      <c r="U68" s="68" t="str">
        <f aca="false">VLOOKUP(A68,BD_ORDENES!A:BE,57,FALSE())</f>
        <v>1 ENVIA</v>
      </c>
      <c r="V68" s="70"/>
      <c r="W68" s="71"/>
    </row>
    <row r="69" s="72" customFormat="true" ht="98.25" hidden="false" customHeight="true" outlineLevel="0" collapsed="false">
      <c r="A69" s="62" t="n">
        <f aca="false">A68+1</f>
        <v>62</v>
      </c>
      <c r="B69" s="63" t="str">
        <f aca="false">VLOOKUP(A69,BD_ORDENES!A:BG,12,FALSE())</f>
        <v>__export__.product_product_323849_aef81076</v>
      </c>
      <c r="C69" s="64" t="n">
        <v>62</v>
      </c>
      <c r="D69" s="65" t="str">
        <f aca="false">VLOOKUP(A69,BD_ORDENES!A:BE,10,0)</f>
        <v>EXHIBICION TIENDA CEDRITOS</v>
      </c>
      <c r="E69" s="66" t="str">
        <f aca="false">VLOOKUP(A69,BD_ORDENES!A:BG,4,FALSE())</f>
        <v>TBC046</v>
      </c>
      <c r="F69" s="66" t="str">
        <f aca="false">VLOOKUP(A69,BD_ORDENES!A:BE,56,FALSE())</f>
        <v>S272828</v>
      </c>
      <c r="G69" s="67" t="str">
        <f aca="false">VLOOKUP(A69,BD_ORDENES!A:BE,13,FALSE())</f>
        <v>PORCELANA TORO CERAMICA NEGRO</v>
      </c>
      <c r="H69" s="68" t="str">
        <f aca="false">VLOOKUP(A69,BD_ORDENES!A:BE,17,FALSE())</f>
        <v>PORCELANA</v>
      </c>
      <c r="I69" s="68" t="str">
        <f aca="false">VLOOKUP(A69,BD_ORDENES!A:BE,18,FALSE())</f>
        <v>TORO-CERAMICA-NEGRO</v>
      </c>
      <c r="J69" s="68" t="n">
        <f aca="false">VLOOKUP(A69,BD_ORDENES!A:BE,19,FALSE())</f>
        <v>0</v>
      </c>
      <c r="K69" s="68" t="n">
        <f aca="false">VLOOKUP(A69,BD_ORDENES!A:BE,20,FALSE())</f>
        <v>0</v>
      </c>
      <c r="L69" s="68" t="n">
        <f aca="false">VLOOKUP(A69,BD_ORDENES!A:BE,21,FALSE())</f>
        <v>0</v>
      </c>
      <c r="M69" s="69" t="n">
        <f aca="false">VLOOKUP(A69,BD_ORDENES!A:BE,14,FALSE())</f>
        <v>1</v>
      </c>
      <c r="N69" s="68" t="n">
        <f aca="false">VLOOKUP(A69,BD_ORDENES!A:BE,15,FALSE())</f>
        <v>0</v>
      </c>
      <c r="O69" s="68" t="str">
        <f aca="false">VLOOKUP(A69,BD_ORDENES!A:BE,33,FALSE())</f>
        <v>TRANSPORTADORA</v>
      </c>
      <c r="P69" s="68" t="n">
        <f aca="false">VLOOKUP(A69,BD_ORDENES!A:BE,23,FALSE())</f>
        <v>0</v>
      </c>
      <c r="Q69" s="68" t="str">
        <f aca="false">VLOOKUP(A69,BD_ORDENES!A:BE,52,FALSE())</f>
        <v>Retiro DECORACION POR ENTREGAR</v>
      </c>
      <c r="R69" s="68" t="str">
        <f aca="false">VLOOKUP(A69,BD_ORDENES!A:BE,25,FALSE())</f>
        <v>CHAPINERO</v>
      </c>
      <c r="S69" s="68" t="str">
        <f aca="false">VLOOKUP(A69,BD_ORDENES!A:BE,22,FALSE())</f>
        <v>EXHIBICION TIENDA CEDRITOS</v>
      </c>
      <c r="T69" s="65" t="str">
        <f aca="false">VLOOKUP(A69,BD_ORDENES!A:BE,55,FALSE())</f>
        <v>PRODUCCION</v>
      </c>
      <c r="U69" s="68" t="str">
        <f aca="false">VLOOKUP(A69,BD_ORDENES!A:BE,57,FALSE())</f>
        <v>1 ENVIA</v>
      </c>
      <c r="V69" s="70"/>
      <c r="W69" s="71"/>
    </row>
    <row r="70" s="72" customFormat="true" ht="98.25" hidden="false" customHeight="true" outlineLevel="0" collapsed="false">
      <c r="A70" s="62" t="n">
        <f aca="false">A69+1</f>
        <v>63</v>
      </c>
      <c r="B70" s="63" t="str">
        <f aca="false">VLOOKUP(A70,BD_ORDENES!A:BG,12,FALSE())</f>
        <v>__export__.product_product_326205_d42a0aba</v>
      </c>
      <c r="C70" s="64" t="n">
        <v>63</v>
      </c>
      <c r="D70" s="65" t="str">
        <f aca="false">VLOOKUP(A70,BD_ORDENES!A:BE,10,0)</f>
        <v>EXHIBICION TIENDA CEDRITOS</v>
      </c>
      <c r="E70" s="66" t="str">
        <f aca="false">VLOOKUP(A70,BD_ORDENES!A:BG,4,FALSE())</f>
        <v>TBC046</v>
      </c>
      <c r="F70" s="66" t="str">
        <f aca="false">VLOOKUP(A70,BD_ORDENES!A:BE,56,FALSE())</f>
        <v>S272828</v>
      </c>
      <c r="G70" s="67" t="str">
        <f aca="false">VLOOKUP(A70,BD_ORDENES!A:BE,13,FALSE())</f>
        <v>PORCELANA ELEFANTE GORDO L BLANCO AZUL</v>
      </c>
      <c r="H70" s="68" t="str">
        <f aca="false">VLOOKUP(A70,BD_ORDENES!A:BE,17,FALSE())</f>
        <v>PORCELANA</v>
      </c>
      <c r="I70" s="68" t="str">
        <f aca="false">VLOOKUP(A70,BD_ORDENES!A:BE,18,FALSE())</f>
        <v>ELEFANTE-GORDO-L-BLANCO-AZUL</v>
      </c>
      <c r="J70" s="68" t="n">
        <f aca="false">VLOOKUP(A70,BD_ORDENES!A:BE,19,FALSE())</f>
        <v>0</v>
      </c>
      <c r="K70" s="68" t="n">
        <f aca="false">VLOOKUP(A70,BD_ORDENES!A:BE,20,FALSE())</f>
        <v>0</v>
      </c>
      <c r="L70" s="68" t="n">
        <f aca="false">VLOOKUP(A70,BD_ORDENES!A:BE,21,FALSE())</f>
        <v>0</v>
      </c>
      <c r="M70" s="69" t="n">
        <f aca="false">VLOOKUP(A70,BD_ORDENES!A:BE,14,FALSE())</f>
        <v>1</v>
      </c>
      <c r="N70" s="68" t="n">
        <f aca="false">VLOOKUP(A70,BD_ORDENES!A:BE,15,FALSE())</f>
        <v>0</v>
      </c>
      <c r="O70" s="68" t="str">
        <f aca="false">VLOOKUP(A70,BD_ORDENES!A:BE,33,FALSE())</f>
        <v>TRANSPORTADORA</v>
      </c>
      <c r="P70" s="68" t="n">
        <f aca="false">VLOOKUP(A70,BD_ORDENES!A:BE,23,FALSE())</f>
        <v>0</v>
      </c>
      <c r="Q70" s="68" t="str">
        <f aca="false">VLOOKUP(A70,BD_ORDENES!A:BE,52,FALSE())</f>
        <v>Retiro DECORACION POR ENTREGAR</v>
      </c>
      <c r="R70" s="68" t="str">
        <f aca="false">VLOOKUP(A70,BD_ORDENES!A:BE,25,FALSE())</f>
        <v>CHAPINERO</v>
      </c>
      <c r="S70" s="68" t="str">
        <f aca="false">VLOOKUP(A70,BD_ORDENES!A:BE,22,FALSE())</f>
        <v>EXHIBICION TIENDA CEDRITOS</v>
      </c>
      <c r="T70" s="65" t="str">
        <f aca="false">VLOOKUP(A70,BD_ORDENES!A:BE,55,FALSE())</f>
        <v>PRODUCCION</v>
      </c>
      <c r="U70" s="68" t="str">
        <f aca="false">VLOOKUP(A70,BD_ORDENES!A:BE,57,FALSE())</f>
        <v>1 ENVIA</v>
      </c>
      <c r="V70" s="70"/>
      <c r="W70" s="71"/>
    </row>
    <row r="71" s="72" customFormat="true" ht="98.25" hidden="false" customHeight="true" outlineLevel="0" collapsed="false">
      <c r="A71" s="62" t="n">
        <f aca="false">A70+1</f>
        <v>64</v>
      </c>
      <c r="B71" s="63" t="str">
        <f aca="false">VLOOKUP(A71,BD_ORDENES!A:BG,12,FALSE())</f>
        <v>__export__.product_product_326206_8f8a86e7</v>
      </c>
      <c r="C71" s="64" t="n">
        <v>64</v>
      </c>
      <c r="D71" s="65" t="str">
        <f aca="false">VLOOKUP(A71,BD_ORDENES!A:BE,10,0)</f>
        <v>EXHIBICION TIENDA CEDRITOS</v>
      </c>
      <c r="E71" s="66" t="str">
        <f aca="false">VLOOKUP(A71,BD_ORDENES!A:BG,4,FALSE())</f>
        <v>TBC046</v>
      </c>
      <c r="F71" s="66" t="str">
        <f aca="false">VLOOKUP(A71,BD_ORDENES!A:BE,56,FALSE())</f>
        <v>S272828</v>
      </c>
      <c r="G71" s="67" t="str">
        <f aca="false">VLOOKUP(A71,BD_ORDENES!A:BE,13,FALSE())</f>
        <v>PORCELANA ELEFANTE GORDO M BLANCO AZUL</v>
      </c>
      <c r="H71" s="68" t="str">
        <f aca="false">VLOOKUP(A71,BD_ORDENES!A:BE,17,FALSE())</f>
        <v>PORCELANA</v>
      </c>
      <c r="I71" s="68" t="str">
        <f aca="false">VLOOKUP(A71,BD_ORDENES!A:BE,18,FALSE())</f>
        <v>ELEFANTE-GORDO-M-BLANCO-AZUL</v>
      </c>
      <c r="J71" s="68" t="n">
        <f aca="false">VLOOKUP(A71,BD_ORDENES!A:BE,19,FALSE())</f>
        <v>0</v>
      </c>
      <c r="K71" s="68" t="n">
        <f aca="false">VLOOKUP(A71,BD_ORDENES!A:BE,20,FALSE())</f>
        <v>0</v>
      </c>
      <c r="L71" s="68" t="n">
        <f aca="false">VLOOKUP(A71,BD_ORDENES!A:BE,21,FALSE())</f>
        <v>0</v>
      </c>
      <c r="M71" s="69" t="n">
        <f aca="false">VLOOKUP(A71,BD_ORDENES!A:BE,14,FALSE())</f>
        <v>1</v>
      </c>
      <c r="N71" s="68" t="n">
        <f aca="false">VLOOKUP(A71,BD_ORDENES!A:BE,15,FALSE())</f>
        <v>0</v>
      </c>
      <c r="O71" s="68" t="str">
        <f aca="false">VLOOKUP(A71,BD_ORDENES!A:BE,33,FALSE())</f>
        <v>TRANSPORTADORA</v>
      </c>
      <c r="P71" s="68" t="n">
        <f aca="false">VLOOKUP(A71,BD_ORDENES!A:BE,23,FALSE())</f>
        <v>0</v>
      </c>
      <c r="Q71" s="68" t="str">
        <f aca="false">VLOOKUP(A71,BD_ORDENES!A:BE,52,FALSE())</f>
        <v>Retiro DECORACION POR ENTREGAR</v>
      </c>
      <c r="R71" s="68" t="str">
        <f aca="false">VLOOKUP(A71,BD_ORDENES!A:BE,25,FALSE())</f>
        <v>CHAPINERO</v>
      </c>
      <c r="S71" s="68" t="str">
        <f aca="false">VLOOKUP(A71,BD_ORDENES!A:BE,22,FALSE())</f>
        <v>EXHIBICION TIENDA CEDRITOS</v>
      </c>
      <c r="T71" s="65" t="str">
        <f aca="false">VLOOKUP(A71,BD_ORDENES!A:BE,55,FALSE())</f>
        <v>PRODUCCION</v>
      </c>
      <c r="U71" s="68" t="str">
        <f aca="false">VLOOKUP(A71,BD_ORDENES!A:BE,57,FALSE())</f>
        <v>1 ENVIA</v>
      </c>
      <c r="V71" s="70"/>
      <c r="W71" s="71"/>
    </row>
    <row r="72" s="72" customFormat="true" ht="98.25" hidden="false" customHeight="true" outlineLevel="0" collapsed="false">
      <c r="A72" s="62" t="n">
        <f aca="false">A71+1</f>
        <v>65</v>
      </c>
      <c r="B72" s="63" t="str">
        <f aca="false">VLOOKUP(A72,BD_ORDENES!A:BG,12,FALSE())</f>
        <v>__export__.product_product_326207_ff3dd7db</v>
      </c>
      <c r="C72" s="64" t="n">
        <v>65</v>
      </c>
      <c r="D72" s="65" t="str">
        <f aca="false">VLOOKUP(A72,BD_ORDENES!A:BE,10,0)</f>
        <v>EXHIBICION TIENDA CEDRITOS</v>
      </c>
      <c r="E72" s="66" t="str">
        <f aca="false">VLOOKUP(A72,BD_ORDENES!A:BG,4,FALSE())</f>
        <v>TBC046</v>
      </c>
      <c r="F72" s="66" t="str">
        <f aca="false">VLOOKUP(A72,BD_ORDENES!A:BE,56,FALSE())</f>
        <v>S272828</v>
      </c>
      <c r="G72" s="67" t="str">
        <f aca="false">VLOOKUP(A72,BD_ORDENES!A:BE,13,FALSE())</f>
        <v>PORCELANA ELEFANTE GORDO S BLANCO AZUL</v>
      </c>
      <c r="H72" s="68" t="str">
        <f aca="false">VLOOKUP(A72,BD_ORDENES!A:BE,17,FALSE())</f>
        <v>PORCELANA</v>
      </c>
      <c r="I72" s="68" t="str">
        <f aca="false">VLOOKUP(A72,BD_ORDENES!A:BE,18,FALSE())</f>
        <v>ELEFANTE-GORDO-S-BLANCO-AZUL</v>
      </c>
      <c r="J72" s="68" t="n">
        <f aca="false">VLOOKUP(A72,BD_ORDENES!A:BE,19,FALSE())</f>
        <v>0</v>
      </c>
      <c r="K72" s="68" t="n">
        <f aca="false">VLOOKUP(A72,BD_ORDENES!A:BE,20,FALSE())</f>
        <v>0</v>
      </c>
      <c r="L72" s="68" t="n">
        <f aca="false">VLOOKUP(A72,BD_ORDENES!A:BE,21,FALSE())</f>
        <v>0</v>
      </c>
      <c r="M72" s="69" t="n">
        <f aca="false">VLOOKUP(A72,BD_ORDENES!A:BE,14,FALSE())</f>
        <v>1</v>
      </c>
      <c r="N72" s="68" t="n">
        <f aca="false">VLOOKUP(A72,BD_ORDENES!A:BE,15,FALSE())</f>
        <v>0</v>
      </c>
      <c r="O72" s="68" t="str">
        <f aca="false">VLOOKUP(A72,BD_ORDENES!A:BE,33,FALSE())</f>
        <v>TRANSPORTADORA</v>
      </c>
      <c r="P72" s="68" t="n">
        <f aca="false">VLOOKUP(A72,BD_ORDENES!A:BE,23,FALSE())</f>
        <v>0</v>
      </c>
      <c r="Q72" s="68" t="str">
        <f aca="false">VLOOKUP(A72,BD_ORDENES!A:BE,52,FALSE())</f>
        <v>Retiro DECORACION POR ENTREGAR</v>
      </c>
      <c r="R72" s="68" t="str">
        <f aca="false">VLOOKUP(A72,BD_ORDENES!A:BE,25,FALSE())</f>
        <v>CHAPINERO</v>
      </c>
      <c r="S72" s="68" t="str">
        <f aca="false">VLOOKUP(A72,BD_ORDENES!A:BE,22,FALSE())</f>
        <v>EXHIBICION TIENDA CEDRITOS</v>
      </c>
      <c r="T72" s="65" t="str">
        <f aca="false">VLOOKUP(A72,BD_ORDENES!A:BE,55,FALSE())</f>
        <v>PRODUCCION</v>
      </c>
      <c r="U72" s="68" t="str">
        <f aca="false">VLOOKUP(A72,BD_ORDENES!A:BE,57,FALSE())</f>
        <v>1 ENVIA</v>
      </c>
      <c r="V72" s="70"/>
      <c r="W72" s="71"/>
    </row>
    <row r="73" s="72" customFormat="true" ht="98.25" hidden="false" customHeight="true" outlineLevel="0" collapsed="false">
      <c r="A73" s="62" t="n">
        <f aca="false">A72+1</f>
        <v>66</v>
      </c>
      <c r="B73" s="63" t="str">
        <f aca="false">VLOOKUP(A73,BD_ORDENES!A:BG,12,FALSE())</f>
        <v>__export__.product_product_331443_8f6bc944</v>
      </c>
      <c r="C73" s="64" t="n">
        <v>66</v>
      </c>
      <c r="D73" s="65" t="str">
        <f aca="false">VLOOKUP(A73,BD_ORDENES!A:BE,10,0)</f>
        <v>EXHIBICION TIENDA CEDRITOS</v>
      </c>
      <c r="E73" s="66" t="str">
        <f aca="false">VLOOKUP(A73,BD_ORDENES!A:BG,4,FALSE())</f>
        <v>TBC046</v>
      </c>
      <c r="F73" s="66" t="str">
        <f aca="false">VLOOKUP(A73,BD_ORDENES!A:BE,56,FALSE())</f>
        <v>S272828</v>
      </c>
      <c r="G73" s="67" t="str">
        <f aca="false">VLOOKUP(A73,BD_ORDENES!A:BE,13,FALSE())</f>
        <v>PORCELANA NEXIS NEGRO MATE</v>
      </c>
      <c r="H73" s="68" t="str">
        <f aca="false">VLOOKUP(A73,BD_ORDENES!A:BE,17,FALSE())</f>
        <v>PORCELANA</v>
      </c>
      <c r="I73" s="68" t="str">
        <f aca="false">VLOOKUP(A73,BD_ORDENES!A:BE,18,FALSE())</f>
        <v>NEXIS</v>
      </c>
      <c r="J73" s="68" t="n">
        <f aca="false">VLOOKUP(A73,BD_ORDENES!A:BE,19,FALSE())</f>
        <v>0</v>
      </c>
      <c r="K73" s="68" t="str">
        <f aca="false">VLOOKUP(A73,BD_ORDENES!A:BE,20,FALSE())</f>
        <v>NEGRO</v>
      </c>
      <c r="L73" s="68" t="n">
        <f aca="false">VLOOKUP(A73,BD_ORDENES!A:BE,21,FALSE())</f>
        <v>0</v>
      </c>
      <c r="M73" s="69" t="n">
        <f aca="false">VLOOKUP(A73,BD_ORDENES!A:BE,14,FALSE())</f>
        <v>2</v>
      </c>
      <c r="N73" s="68" t="n">
        <f aca="false">VLOOKUP(A73,BD_ORDENES!A:BE,15,FALSE())</f>
        <v>0</v>
      </c>
      <c r="O73" s="68" t="str">
        <f aca="false">VLOOKUP(A73,BD_ORDENES!A:BE,33,FALSE())</f>
        <v>TRANSPORTADORA</v>
      </c>
      <c r="P73" s="68" t="n">
        <f aca="false">VLOOKUP(A73,BD_ORDENES!A:BE,23,FALSE())</f>
        <v>0</v>
      </c>
      <c r="Q73" s="68" t="str">
        <f aca="false">VLOOKUP(A73,BD_ORDENES!A:BE,52,FALSE())</f>
        <v>Retiro DECORACION POR ENTREGAR</v>
      </c>
      <c r="R73" s="68" t="str">
        <f aca="false">VLOOKUP(A73,BD_ORDENES!A:BE,25,FALSE())</f>
        <v>CHAPINERO</v>
      </c>
      <c r="S73" s="68" t="str">
        <f aca="false">VLOOKUP(A73,BD_ORDENES!A:BE,22,FALSE())</f>
        <v>EXHIBICION TIENDA CEDRITOS</v>
      </c>
      <c r="T73" s="65" t="str">
        <f aca="false">VLOOKUP(A73,BD_ORDENES!A:BE,55,FALSE())</f>
        <v>PRODUCCION</v>
      </c>
      <c r="U73" s="68" t="str">
        <f aca="false">VLOOKUP(A73,BD_ORDENES!A:BE,57,FALSE())</f>
        <v>1 ENVIA</v>
      </c>
      <c r="V73" s="70"/>
      <c r="W73" s="71"/>
    </row>
    <row r="74" s="72" customFormat="true" ht="98.25" hidden="false" customHeight="true" outlineLevel="0" collapsed="false">
      <c r="A74" s="62" t="n">
        <f aca="false">A73+1</f>
        <v>67</v>
      </c>
      <c r="B74" s="63" t="str">
        <f aca="false">VLOOKUP(A74,BD_ORDENES!A:BG,12,FALSE())</f>
        <v>__export__.product_product_332967_6f95b757</v>
      </c>
      <c r="C74" s="64" t="n">
        <v>67</v>
      </c>
      <c r="D74" s="65" t="str">
        <f aca="false">VLOOKUP(A74,BD_ORDENES!A:BE,10,0)</f>
        <v>EXHIBICION TIENDA CEDRITOS</v>
      </c>
      <c r="E74" s="66" t="str">
        <f aca="false">VLOOKUP(A74,BD_ORDENES!A:BG,4,FALSE())</f>
        <v>TBC046</v>
      </c>
      <c r="F74" s="66" t="str">
        <f aca="false">VLOOKUP(A74,BD_ORDENES!A:BE,56,FALSE())</f>
        <v>S272828</v>
      </c>
      <c r="G74" s="67" t="str">
        <f aca="false">VLOOKUP(A74,BD_ORDENES!A:BE,13,FALSE())</f>
        <v>PORCELANA AURA TERRACOTA SET</v>
      </c>
      <c r="H74" s="68" t="str">
        <f aca="false">VLOOKUP(A74,BD_ORDENES!A:BE,17,FALSE())</f>
        <v>PORCELANA</v>
      </c>
      <c r="I74" s="68" t="str">
        <f aca="false">VLOOKUP(A74,BD_ORDENES!A:BE,18,FALSE())</f>
        <v>AURA</v>
      </c>
      <c r="J74" s="68" t="n">
        <f aca="false">VLOOKUP(A74,BD_ORDENES!A:BE,19,FALSE())</f>
        <v>0</v>
      </c>
      <c r="K74" s="68" t="str">
        <f aca="false">VLOOKUP(A74,BD_ORDENES!A:BE,20,FALSE())</f>
        <v>TERRACOTA</v>
      </c>
      <c r="L74" s="68" t="n">
        <f aca="false">VLOOKUP(A74,BD_ORDENES!A:BE,21,FALSE())</f>
        <v>0</v>
      </c>
      <c r="M74" s="69" t="n">
        <f aca="false">VLOOKUP(A74,BD_ORDENES!A:BE,14,FALSE())</f>
        <v>1</v>
      </c>
      <c r="N74" s="68" t="n">
        <f aca="false">VLOOKUP(A74,BD_ORDENES!A:BE,15,FALSE())</f>
        <v>0</v>
      </c>
      <c r="O74" s="68" t="str">
        <f aca="false">VLOOKUP(A74,BD_ORDENES!A:BE,33,FALSE())</f>
        <v>TRANSPORTADORA</v>
      </c>
      <c r="P74" s="68" t="n">
        <f aca="false">VLOOKUP(A74,BD_ORDENES!A:BE,23,FALSE())</f>
        <v>0</v>
      </c>
      <c r="Q74" s="68" t="str">
        <f aca="false">VLOOKUP(A74,BD_ORDENES!A:BE,52,FALSE())</f>
        <v>Retiro DECORACION POR ENTREGAR</v>
      </c>
      <c r="R74" s="68" t="str">
        <f aca="false">VLOOKUP(A74,BD_ORDENES!A:BE,25,FALSE())</f>
        <v>CHAPINERO</v>
      </c>
      <c r="S74" s="68" t="str">
        <f aca="false">VLOOKUP(A74,BD_ORDENES!A:BE,22,FALSE())</f>
        <v>EXHIBICION TIENDA CEDRITOS</v>
      </c>
      <c r="T74" s="65" t="str">
        <f aca="false">VLOOKUP(A74,BD_ORDENES!A:BE,55,FALSE())</f>
        <v>PRODUCCION</v>
      </c>
      <c r="U74" s="68" t="str">
        <f aca="false">VLOOKUP(A74,BD_ORDENES!A:BE,57,FALSE())</f>
        <v>1 ENVIA</v>
      </c>
      <c r="V74" s="70"/>
      <c r="W74" s="71"/>
    </row>
    <row r="75" s="72" customFormat="true" ht="98.25" hidden="false" customHeight="true" outlineLevel="0" collapsed="false">
      <c r="A75" s="62" t="n">
        <f aca="false">A74+1</f>
        <v>68</v>
      </c>
      <c r="B75" s="63" t="str">
        <f aca="false">VLOOKUP(A75,BD_ORDENES!A:BG,12,FALSE())</f>
        <v>__export__.product_product_325389_27c2f897</v>
      </c>
      <c r="C75" s="64" t="n">
        <v>68</v>
      </c>
      <c r="D75" s="65" t="str">
        <f aca="false">VLOOKUP(A75,BD_ORDENES!A:BE,10,0)</f>
        <v>EXHIBICION TIENDA CEDRITOS</v>
      </c>
      <c r="E75" s="66" t="str">
        <f aca="false">VLOOKUP(A75,BD_ORDENES!A:BG,4,FALSE())</f>
        <v>TBC046</v>
      </c>
      <c r="F75" s="66" t="str">
        <f aca="false">VLOOKUP(A75,BD_ORDENES!A:BE,56,FALSE())</f>
        <v>S272828</v>
      </c>
      <c r="G75" s="67" t="str">
        <f aca="false">VLOOKUP(A75,BD_ORDENES!A:BE,13,FALSE())</f>
        <v>PORCELANA TORO CERAMICA BLANCO ROJO</v>
      </c>
      <c r="H75" s="68" t="str">
        <f aca="false">VLOOKUP(A75,BD_ORDENES!A:BE,17,FALSE())</f>
        <v>PORCELANA</v>
      </c>
      <c r="I75" s="68" t="str">
        <f aca="false">VLOOKUP(A75,BD_ORDENES!A:BE,18,FALSE())</f>
        <v>TORO-CERAMICA-BLANCO-ROJO</v>
      </c>
      <c r="J75" s="68" t="n">
        <f aca="false">VLOOKUP(A75,BD_ORDENES!A:BE,19,FALSE())</f>
        <v>0</v>
      </c>
      <c r="K75" s="68" t="n">
        <f aca="false">VLOOKUP(A75,BD_ORDENES!A:BE,20,FALSE())</f>
        <v>0</v>
      </c>
      <c r="L75" s="68" t="n">
        <f aca="false">VLOOKUP(A75,BD_ORDENES!A:BE,21,FALSE())</f>
        <v>0</v>
      </c>
      <c r="M75" s="69" t="n">
        <f aca="false">VLOOKUP(A75,BD_ORDENES!A:BE,14,FALSE())</f>
        <v>1</v>
      </c>
      <c r="N75" s="68" t="n">
        <f aca="false">VLOOKUP(A75,BD_ORDENES!A:BE,15,FALSE())</f>
        <v>0</v>
      </c>
      <c r="O75" s="68" t="str">
        <f aca="false">VLOOKUP(A75,BD_ORDENES!A:BE,33,FALSE())</f>
        <v>TRANSPORTADORA</v>
      </c>
      <c r="P75" s="68" t="n">
        <f aca="false">VLOOKUP(A75,BD_ORDENES!A:BE,23,FALSE())</f>
        <v>0</v>
      </c>
      <c r="Q75" s="68" t="str">
        <f aca="false">VLOOKUP(A75,BD_ORDENES!A:BE,52,FALSE())</f>
        <v>Retiro DECORACION POR ENTREGAR</v>
      </c>
      <c r="R75" s="68" t="str">
        <f aca="false">VLOOKUP(A75,BD_ORDENES!A:BE,25,FALSE())</f>
        <v>CHAPINERO</v>
      </c>
      <c r="S75" s="68" t="str">
        <f aca="false">VLOOKUP(A75,BD_ORDENES!A:BE,22,FALSE())</f>
        <v>EXHIBICION TIENDA CEDRITOS</v>
      </c>
      <c r="T75" s="65" t="str">
        <f aca="false">VLOOKUP(A75,BD_ORDENES!A:BE,55,FALSE())</f>
        <v>PRODUCCION</v>
      </c>
      <c r="U75" s="68" t="str">
        <f aca="false">VLOOKUP(A75,BD_ORDENES!A:BE,57,FALSE())</f>
        <v>1 ENVIA</v>
      </c>
      <c r="V75" s="70"/>
      <c r="W75" s="71"/>
    </row>
    <row r="76" s="72" customFormat="true" ht="98.25" hidden="false" customHeight="true" outlineLevel="0" collapsed="false">
      <c r="A76" s="62" t="n">
        <f aca="false">A75+1</f>
        <v>69</v>
      </c>
      <c r="B76" s="63" t="str">
        <f aca="false">VLOOKUP(A76,BD_ORDENES!A:BG,12,FALSE())</f>
        <v>__export__.product_product_268784_420d0f69</v>
      </c>
      <c r="C76" s="64" t="n">
        <v>69</v>
      </c>
      <c r="D76" s="65" t="str">
        <f aca="false">VLOOKUP(A76,BD_ORDENES!A:BE,10,0)</f>
        <v>RETAIL HOME</v>
      </c>
      <c r="E76" s="66" t="n">
        <f aca="false">VLOOKUP(A76,BD_ORDENES!A:BG,4,FALSE())</f>
        <v>13938687</v>
      </c>
      <c r="F76" s="66" t="str">
        <f aca="false">VLOOKUP(A76,BD_ORDENES!A:BE,56,FALSE())</f>
        <v>S270541</v>
      </c>
      <c r="G76" s="67" t="str">
        <f aca="false">VLOOKUP(A76,BD_ORDENES!A:BE,13,FALSE())</f>
        <v>SOFA LUCERNA DENVER PETROLEO (MATIZ CARAMELO)</v>
      </c>
      <c r="H76" s="68" t="str">
        <f aca="false">VLOOKUP(A76,BD_ORDENES!A:BE,17,FALSE())</f>
        <v>SOFA</v>
      </c>
      <c r="I76" s="68" t="str">
        <f aca="false">VLOOKUP(A76,BD_ORDENES!A:BE,18,FALSE())</f>
        <v>LUCERNA</v>
      </c>
      <c r="J76" s="68" t="str">
        <f aca="false">VLOOKUP(A76,BD_ORDENES!A:BE,19,FALSE())</f>
        <v>DENVER</v>
      </c>
      <c r="K76" s="68" t="str">
        <f aca="false">VLOOKUP(A76,BD_ORDENES!A:BE,20,FALSE())</f>
        <v>PETROLEO</v>
      </c>
      <c r="L76" s="68" t="str">
        <f aca="false">VLOOKUP(A76,BD_ORDENES!A:BE,21,FALSE())</f>
        <v>MATIZ-CARAMELO</v>
      </c>
      <c r="M76" s="69" t="n">
        <f aca="false">VLOOKUP(A76,BD_ORDENES!A:BE,14,FALSE())</f>
        <v>8</v>
      </c>
      <c r="N76" s="68" t="n">
        <f aca="false">VLOOKUP(A76,BD_ORDENES!A:BE,15,FALSE())</f>
        <v>0</v>
      </c>
      <c r="O76" s="68" t="str">
        <f aca="false">VLOOKUP(A76,BD_ORDENES!A:BE,33,FALSE())</f>
        <v>TRANSPORTADORA</v>
      </c>
      <c r="P76" s="68" t="n">
        <f aca="false">VLOOKUP(A76,BD_ORDENES!A:BE,23,FALSE())</f>
        <v>0</v>
      </c>
      <c r="Q76" s="68" t="str">
        <f aca="false">VLOOKUP(A76,BD_ORDENES!A:BE,52,FALSE())</f>
        <v>Obtener Bajo Pedido (MTO)</v>
      </c>
      <c r="R76" s="68" t="str">
        <f aca="false">VLOOKUP(A76,BD_ORDENES!A:BE,25,FALSE())</f>
        <v>BOGOTA. D.C.</v>
      </c>
      <c r="S76" s="68" t="str">
        <f aca="false">VLOOKUP(A76,BD_ORDENES!A:BE,22,FALSE())</f>
        <v>HOMECENTER</v>
      </c>
      <c r="T76" s="65" t="n">
        <f aca="false">VLOOKUP(A76,BD_ORDENES!A:BE,55,FALSE())</f>
        <v>0</v>
      </c>
      <c r="U76" s="68" t="str">
        <f aca="false">VLOOKUP(A76,BD_ORDENES!A:BE,57,FALSE())</f>
        <v>1 ENVIA</v>
      </c>
      <c r="V76" s="70"/>
      <c r="W76" s="71"/>
    </row>
    <row r="77" s="72" customFormat="true" ht="98.25" hidden="false" customHeight="true" outlineLevel="0" collapsed="false">
      <c r="A77" s="62" t="n">
        <f aca="false">A76+1</f>
        <v>70</v>
      </c>
      <c r="B77" s="63" t="str">
        <f aca="false">VLOOKUP(A77,BD_ORDENES!A:BG,12,FALSE())</f>
        <v>__export__.product_product_268787_30a0d6ce</v>
      </c>
      <c r="C77" s="64" t="n">
        <v>70</v>
      </c>
      <c r="D77" s="65" t="str">
        <f aca="false">VLOOKUP(A77,BD_ORDENES!A:BE,10,0)</f>
        <v>RETAIL HOME</v>
      </c>
      <c r="E77" s="66" t="n">
        <f aca="false">VLOOKUP(A77,BD_ORDENES!A:BG,4,FALSE())</f>
        <v>13938687</v>
      </c>
      <c r="F77" s="66" t="str">
        <f aca="false">VLOOKUP(A77,BD_ORDENES!A:BE,56,FALSE())</f>
        <v>S270541</v>
      </c>
      <c r="G77" s="67" t="str">
        <f aca="false">VLOOKUP(A77,BD_ORDENES!A:BE,13,FALSE())</f>
        <v>SOFA LUCERNA DENVER PLATA (MATIZ CARAMELO)</v>
      </c>
      <c r="H77" s="68" t="str">
        <f aca="false">VLOOKUP(A77,BD_ORDENES!A:BE,17,FALSE())</f>
        <v>SOFA</v>
      </c>
      <c r="I77" s="68" t="str">
        <f aca="false">VLOOKUP(A77,BD_ORDENES!A:BE,18,FALSE())</f>
        <v>LUCERNA</v>
      </c>
      <c r="J77" s="68" t="str">
        <f aca="false">VLOOKUP(A77,BD_ORDENES!A:BE,19,FALSE())</f>
        <v>DENVER</v>
      </c>
      <c r="K77" s="68" t="str">
        <f aca="false">VLOOKUP(A77,BD_ORDENES!A:BE,20,FALSE())</f>
        <v>PLATA</v>
      </c>
      <c r="L77" s="68" t="str">
        <f aca="false">VLOOKUP(A77,BD_ORDENES!A:BE,21,FALSE())</f>
        <v>MATIZ-CARAMELO</v>
      </c>
      <c r="M77" s="69" t="n">
        <f aca="false">VLOOKUP(A77,BD_ORDENES!A:BE,14,FALSE())</f>
        <v>4</v>
      </c>
      <c r="N77" s="68" t="n">
        <f aca="false">VLOOKUP(A77,BD_ORDENES!A:BE,15,FALSE())</f>
        <v>0</v>
      </c>
      <c r="O77" s="68" t="str">
        <f aca="false">VLOOKUP(A77,BD_ORDENES!A:BE,33,FALSE())</f>
        <v>TRANSPORTADORA</v>
      </c>
      <c r="P77" s="68" t="n">
        <f aca="false">VLOOKUP(A77,BD_ORDENES!A:BE,23,FALSE())</f>
        <v>0</v>
      </c>
      <c r="Q77" s="68" t="str">
        <f aca="false">VLOOKUP(A77,BD_ORDENES!A:BE,52,FALSE())</f>
        <v>Obtener Bajo Pedido (MTO)</v>
      </c>
      <c r="R77" s="68" t="str">
        <f aca="false">VLOOKUP(A77,BD_ORDENES!A:BE,25,FALSE())</f>
        <v>BOGOTA. D.C.</v>
      </c>
      <c r="S77" s="68" t="str">
        <f aca="false">VLOOKUP(A77,BD_ORDENES!A:BE,22,FALSE())</f>
        <v>HOMECENTER</v>
      </c>
      <c r="T77" s="65" t="n">
        <f aca="false">VLOOKUP(A77,BD_ORDENES!A:BE,55,FALSE())</f>
        <v>0</v>
      </c>
      <c r="U77" s="68" t="str">
        <f aca="false">VLOOKUP(A77,BD_ORDENES!A:BE,57,FALSE())</f>
        <v>1 ENVIA</v>
      </c>
      <c r="V77" s="70"/>
      <c r="W77" s="71"/>
    </row>
    <row r="78" s="72" customFormat="true" ht="98.25" hidden="false" customHeight="true" outlineLevel="0" collapsed="false">
      <c r="A78" s="62" t="n">
        <f aca="false">A77+1</f>
        <v>71</v>
      </c>
      <c r="B78" s="63" t="str">
        <f aca="false">VLOOKUP(A78,BD_ORDENES!A:BG,12,FALSE())</f>
        <v>__export__.product_product_162986_3b8f01ab</v>
      </c>
      <c r="C78" s="64" t="n">
        <v>71</v>
      </c>
      <c r="D78" s="65" t="str">
        <f aca="false">VLOOKUP(A78,BD_ORDENES!A:BE,10,0)</f>
        <v>HOME</v>
      </c>
      <c r="E78" s="66" t="n">
        <f aca="false">VLOOKUP(A78,BD_ORDENES!A:BG,4,FALSE())</f>
        <v>13937014</v>
      </c>
      <c r="F78" s="66" t="str">
        <f aca="false">VLOOKUP(A78,BD_ORDENES!A:BE,56,FALSE())</f>
        <v>S270533</v>
      </c>
      <c r="G78" s="67" t="str">
        <f aca="false">VLOOKUP(A78,BD_ORDENES!A:BE,13,FALSE())</f>
        <v>BUTACO TEXAS DUSTER CHOCOLATE (NEGRO)</v>
      </c>
      <c r="H78" s="68" t="str">
        <f aca="false">VLOOKUP(A78,BD_ORDENES!A:BE,17,FALSE())</f>
        <v>BUTACO</v>
      </c>
      <c r="I78" s="68" t="str">
        <f aca="false">VLOOKUP(A78,BD_ORDENES!A:BE,18,FALSE())</f>
        <v>TEXAS</v>
      </c>
      <c r="J78" s="68" t="str">
        <f aca="false">VLOOKUP(A78,BD_ORDENES!A:BE,19,FALSE())</f>
        <v>DUSTER</v>
      </c>
      <c r="K78" s="68" t="str">
        <f aca="false">VLOOKUP(A78,BD_ORDENES!A:BE,20,FALSE())</f>
        <v>CHOCOLATE</v>
      </c>
      <c r="L78" s="68" t="str">
        <f aca="false">VLOOKUP(A78,BD_ORDENES!A:BE,21,FALSE())</f>
        <v>METALICO-NEGRO</v>
      </c>
      <c r="M78" s="69" t="n">
        <f aca="false">VLOOKUP(A78,BD_ORDENES!A:BE,14,FALSE())</f>
        <v>3</v>
      </c>
      <c r="N78" s="68" t="n">
        <f aca="false">VLOOKUP(A78,BD_ORDENES!A:BE,15,FALSE())</f>
        <v>0</v>
      </c>
      <c r="O78" s="68" t="str">
        <f aca="false">VLOOKUP(A78,BD_ORDENES!A:BE,33,FALSE())</f>
        <v>PROV. ALM. DOMICILIO</v>
      </c>
      <c r="P78" s="68" t="n">
        <f aca="false">VLOOKUP(A78,BD_ORDENES!A:BE,23,FALSE())</f>
        <v>0</v>
      </c>
      <c r="Q78" s="68" t="str">
        <f aca="false">VLOOKUP(A78,BD_ORDENES!A:BE,52,FALSE())</f>
        <v>Obtener Bajo Pedido (MTO)</v>
      </c>
      <c r="R78" s="68" t="str">
        <f aca="false">VLOOKUP(A78,BD_ORDENES!A:BE,25,FALSE())</f>
        <v>BOGOTA. D.C.</v>
      </c>
      <c r="S78" s="68" t="str">
        <f aca="false">VLOOKUP(A78,BD_ORDENES!A:BE,22,FALSE())</f>
        <v>MARLENY  VARGAS</v>
      </c>
      <c r="T78" s="65" t="n">
        <f aca="false">VLOOKUP(A78,BD_ORDENES!A:BE,55,FALSE())</f>
        <v>0</v>
      </c>
      <c r="U78" s="68" t="str">
        <f aca="false">VLOOKUP(A78,BD_ORDENES!A:BE,57,FALSE())</f>
        <v>1.1 ENVIA</v>
      </c>
      <c r="V78" s="70"/>
      <c r="W78" s="71"/>
    </row>
    <row r="79" s="72" customFormat="true" ht="98.25" hidden="false" customHeight="true" outlineLevel="0" collapsed="false">
      <c r="A79" s="62" t="n">
        <f aca="false">A78+1</f>
        <v>72</v>
      </c>
      <c r="B79" s="63" t="str">
        <f aca="false">VLOOKUP(A79,BD_ORDENES!A:BG,12,FALSE())</f>
        <v>__export__.product_product_326860_aeadbb65</v>
      </c>
      <c r="C79" s="64" t="n">
        <v>72</v>
      </c>
      <c r="D79" s="65" t="str">
        <f aca="false">VLOOKUP(A79,BD_ORDENES!A:BE,10,0)</f>
        <v>EXHIBICION TIENDA FABRICA</v>
      </c>
      <c r="E79" s="66" t="str">
        <f aca="false">VLOOKUP(A79,BD_ORDENES!A:BG,4,FALSE())</f>
        <v>TF072</v>
      </c>
      <c r="F79" s="66" t="str">
        <f aca="false">VLOOKUP(A79,BD_ORDENES!A:BE,56,FALSE())</f>
        <v>S269382</v>
      </c>
      <c r="G79" s="67" t="str">
        <f aca="false">VLOOKUP(A79,BD_ORDENES!A:BE,13,FALSE())</f>
        <v>SOFA VERGE SKY PLATA (MATIZ CAOBA)</v>
      </c>
      <c r="H79" s="68" t="str">
        <f aca="false">VLOOKUP(A79,BD_ORDENES!A:BE,17,FALSE())</f>
        <v>SOFA</v>
      </c>
      <c r="I79" s="68" t="str">
        <f aca="false">VLOOKUP(A79,BD_ORDENES!A:BE,18,FALSE())</f>
        <v>CASH</v>
      </c>
      <c r="J79" s="68" t="str">
        <f aca="false">VLOOKUP(A79,BD_ORDENES!A:BE,19,FALSE())</f>
        <v>SKY</v>
      </c>
      <c r="K79" s="68" t="str">
        <f aca="false">VLOOKUP(A79,BD_ORDENES!A:BE,20,FALSE())</f>
        <v>PLATA</v>
      </c>
      <c r="L79" s="68" t="str">
        <f aca="false">VLOOKUP(A79,BD_ORDENES!A:BE,21,FALSE())</f>
        <v>MATIZ-CAOBA</v>
      </c>
      <c r="M79" s="69" t="n">
        <f aca="false">VLOOKUP(A79,BD_ORDENES!A:BE,14,FALSE())</f>
        <v>1</v>
      </c>
      <c r="N79" s="68" t="n">
        <f aca="false">VLOOKUP(A79,BD_ORDENES!A:BE,15,FALSE())</f>
        <v>0</v>
      </c>
      <c r="O79" s="68" t="str">
        <f aca="false">VLOOKUP(A79,BD_ORDENES!A:BE,33,FALSE())</f>
        <v>RECOGE EN FABRICA</v>
      </c>
      <c r="P79" s="68" t="n">
        <f aca="false">VLOOKUP(A79,BD_ORDENES!A:BE,23,FALSE())</f>
        <v>0</v>
      </c>
      <c r="Q79" s="68" t="str">
        <f aca="false">VLOOKUP(A79,BD_ORDENES!A:BE,52,FALSE())</f>
        <v>Obtener Bajo Pedido (MTO)</v>
      </c>
      <c r="R79" s="68" t="str">
        <f aca="false">VLOOKUP(A79,BD_ORDENES!A:BE,25,FALSE())</f>
        <v>SORACA</v>
      </c>
      <c r="S79" s="68" t="str">
        <f aca="false">VLOOKUP(A79,BD_ORDENES!A:BE,22,FALSE())</f>
        <v>EXHIBICION TIENDA FABRICA</v>
      </c>
      <c r="T79" s="65" t="str">
        <f aca="false">VLOOKUP(A79,BD_ORDENES!A:BE,55,FALSE())</f>
        <v>PRODUCCION</v>
      </c>
      <c r="U79" s="68" t="str">
        <f aca="false">VLOOKUP(A79,BD_ORDENES!A:BE,57,FALSE())</f>
        <v>0 BODEGA</v>
      </c>
      <c r="V79" s="70"/>
      <c r="W79" s="71"/>
    </row>
    <row r="80" s="72" customFormat="true" ht="98.25" hidden="false" customHeight="true" outlineLevel="0" collapsed="false">
      <c r="A80" s="62" t="n">
        <f aca="false">A79+1</f>
        <v>73</v>
      </c>
      <c r="B80" s="63" t="str">
        <f aca="false">VLOOKUP(A80,BD_ORDENES!A:BG,12,FALSE())</f>
        <v>__export__.product_product_331135_f15f5c20</v>
      </c>
      <c r="C80" s="64" t="n">
        <v>73</v>
      </c>
      <c r="D80" s="65" t="str">
        <f aca="false">VLOOKUP(A80,BD_ORDENES!A:BE,10,0)</f>
        <v>EXHIBICION TIENDA FABRICA</v>
      </c>
      <c r="E80" s="66" t="str">
        <f aca="false">VLOOKUP(A80,BD_ORDENES!A:BG,4,FALSE())</f>
        <v>TF072</v>
      </c>
      <c r="F80" s="66" t="str">
        <f aca="false">VLOOKUP(A80,BD_ORDENES!A:BE,56,FALSE())</f>
        <v>S269382</v>
      </c>
      <c r="G80" s="67" t="str">
        <f aca="false">VLOOKUP(A80,BD_ORDENES!A:BE,13,FALSE())</f>
        <v>SOFA SUIZA DORSEY PLATA (MATIZ CAOBA)</v>
      </c>
      <c r="H80" s="68" t="str">
        <f aca="false">VLOOKUP(A80,BD_ORDENES!A:BE,17,FALSE())</f>
        <v>SOFA</v>
      </c>
      <c r="I80" s="68" t="str">
        <f aca="false">VLOOKUP(A80,BD_ORDENES!A:BE,18,FALSE())</f>
        <v>SUIZA</v>
      </c>
      <c r="J80" s="68" t="str">
        <f aca="false">VLOOKUP(A80,BD_ORDENES!A:BE,19,FALSE())</f>
        <v>DORSEY</v>
      </c>
      <c r="K80" s="68" t="str">
        <f aca="false">VLOOKUP(A80,BD_ORDENES!A:BE,20,FALSE())</f>
        <v>PLATA</v>
      </c>
      <c r="L80" s="68" t="str">
        <f aca="false">VLOOKUP(A80,BD_ORDENES!A:BE,21,FALSE())</f>
        <v>MATIZ-CAOBA</v>
      </c>
      <c r="M80" s="69" t="n">
        <f aca="false">VLOOKUP(A80,BD_ORDENES!A:BE,14,FALSE())</f>
        <v>1</v>
      </c>
      <c r="N80" s="68" t="n">
        <f aca="false">VLOOKUP(A80,BD_ORDENES!A:BE,15,FALSE())</f>
        <v>0</v>
      </c>
      <c r="O80" s="68" t="str">
        <f aca="false">VLOOKUP(A80,BD_ORDENES!A:BE,33,FALSE())</f>
        <v>RECOGE EN FABRICA</v>
      </c>
      <c r="P80" s="68" t="n">
        <f aca="false">VLOOKUP(A80,BD_ORDENES!A:BE,23,FALSE())</f>
        <v>0</v>
      </c>
      <c r="Q80" s="68" t="str">
        <f aca="false">VLOOKUP(A80,BD_ORDENES!A:BE,52,FALSE())</f>
        <v>Obtener Bajo Pedido (MTO)</v>
      </c>
      <c r="R80" s="68" t="str">
        <f aca="false">VLOOKUP(A80,BD_ORDENES!A:BE,25,FALSE())</f>
        <v>SORACA</v>
      </c>
      <c r="S80" s="68" t="str">
        <f aca="false">VLOOKUP(A80,BD_ORDENES!A:BE,22,FALSE())</f>
        <v>EXHIBICION TIENDA FABRICA</v>
      </c>
      <c r="T80" s="65" t="str">
        <f aca="false">VLOOKUP(A80,BD_ORDENES!A:BE,55,FALSE())</f>
        <v>PRODUCCION</v>
      </c>
      <c r="U80" s="68" t="str">
        <f aca="false">VLOOKUP(A80,BD_ORDENES!A:BE,57,FALSE())</f>
        <v>0 BODEGA</v>
      </c>
      <c r="V80" s="70"/>
      <c r="W80" s="71"/>
    </row>
    <row r="81" s="72" customFormat="true" ht="98.25" hidden="false" customHeight="true" outlineLevel="0" collapsed="false">
      <c r="A81" s="62" t="n">
        <f aca="false">A80+1</f>
        <v>74</v>
      </c>
      <c r="B81" s="63" t="str">
        <f aca="false">VLOOKUP(A81,BD_ORDENES!A:BG,12,FALSE())</f>
        <v>__export__.product_product_327122_68051710</v>
      </c>
      <c r="C81" s="64" t="n">
        <v>74</v>
      </c>
      <c r="D81" s="65" t="str">
        <f aca="false">VLOOKUP(A81,BD_ORDENES!A:BE,10,0)</f>
        <v>EXHIBICION TIENDA FABRICA</v>
      </c>
      <c r="E81" s="66" t="str">
        <f aca="false">VLOOKUP(A81,BD_ORDENES!A:BG,4,FALSE())</f>
        <v>TF072</v>
      </c>
      <c r="F81" s="66" t="str">
        <f aca="false">VLOOKUP(A81,BD_ORDENES!A:BE,56,FALSE())</f>
        <v>S269382</v>
      </c>
      <c r="G81" s="67" t="str">
        <f aca="false">VLOOKUP(A81,BD_ORDENES!A:BE,13,FALSE())</f>
        <v>POLTRONA CANNES SKY MOSTAZA (MATIZ CAOBA)</v>
      </c>
      <c r="H81" s="68" t="str">
        <f aca="false">VLOOKUP(A81,BD_ORDENES!A:BE,17,FALSE())</f>
        <v>POLTRONA</v>
      </c>
      <c r="I81" s="68" t="str">
        <f aca="false">VLOOKUP(A81,BD_ORDENES!A:BE,18,FALSE())</f>
        <v>CANNES</v>
      </c>
      <c r="J81" s="68" t="str">
        <f aca="false">VLOOKUP(A81,BD_ORDENES!A:BE,19,FALSE())</f>
        <v>SKY</v>
      </c>
      <c r="K81" s="68" t="str">
        <f aca="false">VLOOKUP(A81,BD_ORDENES!A:BE,20,FALSE())</f>
        <v>MOSTAZA</v>
      </c>
      <c r="L81" s="68" t="str">
        <f aca="false">VLOOKUP(A81,BD_ORDENES!A:BE,21,FALSE())</f>
        <v>MATIZ-CAOBA</v>
      </c>
      <c r="M81" s="69" t="n">
        <f aca="false">VLOOKUP(A81,BD_ORDENES!A:BE,14,FALSE())</f>
        <v>1</v>
      </c>
      <c r="N81" s="68" t="n">
        <f aca="false">VLOOKUP(A81,BD_ORDENES!A:BE,15,FALSE())</f>
        <v>0</v>
      </c>
      <c r="O81" s="68" t="str">
        <f aca="false">VLOOKUP(A81,BD_ORDENES!A:BE,33,FALSE())</f>
        <v>RECOGE EN FABRICA</v>
      </c>
      <c r="P81" s="68" t="n">
        <f aca="false">VLOOKUP(A81,BD_ORDENES!A:BE,23,FALSE())</f>
        <v>0</v>
      </c>
      <c r="Q81" s="68" t="str">
        <f aca="false">VLOOKUP(A81,BD_ORDENES!A:BE,52,FALSE())</f>
        <v>Obtener Bajo Pedido (MTO)</v>
      </c>
      <c r="R81" s="68" t="str">
        <f aca="false">VLOOKUP(A81,BD_ORDENES!A:BE,25,FALSE())</f>
        <v>SORACA</v>
      </c>
      <c r="S81" s="68" t="str">
        <f aca="false">VLOOKUP(A81,BD_ORDENES!A:BE,22,FALSE())</f>
        <v>EXHIBICION TIENDA FABRICA</v>
      </c>
      <c r="T81" s="65" t="str">
        <f aca="false">VLOOKUP(A81,BD_ORDENES!A:BE,55,FALSE())</f>
        <v>PRODUCCION</v>
      </c>
      <c r="U81" s="68" t="str">
        <f aca="false">VLOOKUP(A81,BD_ORDENES!A:BE,57,FALSE())</f>
        <v>0 BODEGA</v>
      </c>
      <c r="V81" s="70"/>
      <c r="W81" s="71"/>
    </row>
    <row r="82" s="72" customFormat="true" ht="98.25" hidden="false" customHeight="true" outlineLevel="0" collapsed="false">
      <c r="A82" s="62" t="n">
        <f aca="false">A81+1</f>
        <v>75</v>
      </c>
      <c r="B82" s="63" t="str">
        <f aca="false">VLOOKUP(A82,BD_ORDENES!A:BG,12,FALSE())</f>
        <v>__export__.product_product_325700_97410366</v>
      </c>
      <c r="C82" s="64" t="n">
        <v>75</v>
      </c>
      <c r="D82" s="65" t="str">
        <f aca="false">VLOOKUP(A82,BD_ORDENES!A:BE,10,0)</f>
        <v>EXHIBICION TIENDA FABRICA</v>
      </c>
      <c r="E82" s="66" t="str">
        <f aca="false">VLOOKUP(A82,BD_ORDENES!A:BG,4,FALSE())</f>
        <v>TF072</v>
      </c>
      <c r="F82" s="66" t="str">
        <f aca="false">VLOOKUP(A82,BD_ORDENES!A:BE,56,FALSE())</f>
        <v>S269382</v>
      </c>
      <c r="G82" s="67" t="str">
        <f aca="false">VLOOKUP(A82,BD_ORDENES!A:BE,13,FALSE())</f>
        <v>SOFA LOTUS DORSEY PETROLEO (MATIZ NATURAL)</v>
      </c>
      <c r="H82" s="68" t="str">
        <f aca="false">VLOOKUP(A82,BD_ORDENES!A:BE,17,FALSE())</f>
        <v>SOFA</v>
      </c>
      <c r="I82" s="68" t="str">
        <f aca="false">VLOOKUP(A82,BD_ORDENES!A:BE,18,FALSE())</f>
        <v>LOTUS</v>
      </c>
      <c r="J82" s="68" t="str">
        <f aca="false">VLOOKUP(A82,BD_ORDENES!A:BE,19,FALSE())</f>
        <v>DORSEY</v>
      </c>
      <c r="K82" s="68" t="str">
        <f aca="false">VLOOKUP(A82,BD_ORDENES!A:BE,20,FALSE())</f>
        <v>PETROLEO</v>
      </c>
      <c r="L82" s="68" t="str">
        <f aca="false">VLOOKUP(A82,BD_ORDENES!A:BE,21,FALSE())</f>
        <v>MATIZ-NATURAL</v>
      </c>
      <c r="M82" s="69" t="n">
        <f aca="false">VLOOKUP(A82,BD_ORDENES!A:BE,14,FALSE())</f>
        <v>1</v>
      </c>
      <c r="N82" s="68" t="n">
        <f aca="false">VLOOKUP(A82,BD_ORDENES!A:BE,15,FALSE())</f>
        <v>0</v>
      </c>
      <c r="O82" s="68" t="str">
        <f aca="false">VLOOKUP(A82,BD_ORDENES!A:BE,33,FALSE())</f>
        <v>RECOGE EN FABRICA</v>
      </c>
      <c r="P82" s="68" t="n">
        <f aca="false">VLOOKUP(A82,BD_ORDENES!A:BE,23,FALSE())</f>
        <v>0</v>
      </c>
      <c r="Q82" s="68" t="str">
        <f aca="false">VLOOKUP(A82,BD_ORDENES!A:BE,52,FALSE())</f>
        <v>Obtener Bajo Pedido (MTO)</v>
      </c>
      <c r="R82" s="68" t="str">
        <f aca="false">VLOOKUP(A82,BD_ORDENES!A:BE,25,FALSE())</f>
        <v>SORACA</v>
      </c>
      <c r="S82" s="68" t="str">
        <f aca="false">VLOOKUP(A82,BD_ORDENES!A:BE,22,FALSE())</f>
        <v>EXHIBICION TIENDA FABRICA</v>
      </c>
      <c r="T82" s="65" t="str">
        <f aca="false">VLOOKUP(A82,BD_ORDENES!A:BE,55,FALSE())</f>
        <v>PRODUCCION</v>
      </c>
      <c r="U82" s="68" t="str">
        <f aca="false">VLOOKUP(A82,BD_ORDENES!A:BE,57,FALSE())</f>
        <v>0 BODEGA</v>
      </c>
      <c r="V82" s="70"/>
      <c r="W82" s="71"/>
    </row>
    <row r="83" s="72" customFormat="true" ht="98.25" hidden="false" customHeight="true" outlineLevel="0" collapsed="false">
      <c r="A83" s="62" t="n">
        <f aca="false">A82+1</f>
        <v>76</v>
      </c>
      <c r="B83" s="63" t="str">
        <f aca="false">VLOOKUP(A83,BD_ORDENES!A:BG,12,FALSE())</f>
        <v>__export__.product_product_237173_087fa1cd</v>
      </c>
      <c r="C83" s="64" t="n">
        <v>76</v>
      </c>
      <c r="D83" s="65" t="str">
        <f aca="false">VLOOKUP(A83,BD_ORDENES!A:BE,10,0)</f>
        <v>EXHIBICION TIENDA FABRICA</v>
      </c>
      <c r="E83" s="66" t="str">
        <f aca="false">VLOOKUP(A83,BD_ORDENES!A:BG,4,FALSE())</f>
        <v>TF072</v>
      </c>
      <c r="F83" s="66" t="str">
        <f aca="false">VLOOKUP(A83,BD_ORDENES!A:BE,56,FALSE())</f>
        <v>S269382</v>
      </c>
      <c r="G83" s="67" t="str">
        <f aca="false">VLOOKUP(A83,BD_ORDENES!A:BE,13,FALSE())</f>
        <v>MESA ANDARA JG4 BLANCO (MATIZ NATURAL)</v>
      </c>
      <c r="H83" s="68" t="str">
        <f aca="false">VLOOKUP(A83,BD_ORDENES!A:BE,17,FALSE())</f>
        <v>MESA</v>
      </c>
      <c r="I83" s="68" t="str">
        <f aca="false">VLOOKUP(A83,BD_ORDENES!A:BE,18,FALSE())</f>
        <v>ANDARA-JG4</v>
      </c>
      <c r="J83" s="68" t="n">
        <f aca="false">VLOOKUP(A83,BD_ORDENES!A:BE,19,FALSE())</f>
        <v>0</v>
      </c>
      <c r="K83" s="68" t="str">
        <f aca="false">VLOOKUP(A83,BD_ORDENES!A:BE,20,FALSE())</f>
        <v>BLANCO</v>
      </c>
      <c r="L83" s="68" t="str">
        <f aca="false">VLOOKUP(A83,BD_ORDENES!A:BE,21,FALSE())</f>
        <v>MATIZ-NATURAL</v>
      </c>
      <c r="M83" s="69" t="n">
        <f aca="false">VLOOKUP(A83,BD_ORDENES!A:BE,14,FALSE())</f>
        <v>1</v>
      </c>
      <c r="N83" s="68" t="n">
        <f aca="false">VLOOKUP(A83,BD_ORDENES!A:BE,15,FALSE())</f>
        <v>0</v>
      </c>
      <c r="O83" s="68" t="str">
        <f aca="false">VLOOKUP(A83,BD_ORDENES!A:BE,33,FALSE())</f>
        <v>RECOGE EN FABRICA</v>
      </c>
      <c r="P83" s="68" t="n">
        <f aca="false">VLOOKUP(A83,BD_ORDENES!A:BE,23,FALSE())</f>
        <v>0</v>
      </c>
      <c r="Q83" s="68" t="str">
        <f aca="false">VLOOKUP(A83,BD_ORDENES!A:BE,52,FALSE())</f>
        <v>Obtener Bajo Pedido (MTO)</v>
      </c>
      <c r="R83" s="68" t="str">
        <f aca="false">VLOOKUP(A83,BD_ORDENES!A:BE,25,FALSE())</f>
        <v>SORACA</v>
      </c>
      <c r="S83" s="68" t="str">
        <f aca="false">VLOOKUP(A83,BD_ORDENES!A:BE,22,FALSE())</f>
        <v>EXHIBICION TIENDA FABRICA</v>
      </c>
      <c r="T83" s="65" t="str">
        <f aca="false">VLOOKUP(A83,BD_ORDENES!A:BE,55,FALSE())</f>
        <v>PRODUCCION</v>
      </c>
      <c r="U83" s="68" t="str">
        <f aca="false">VLOOKUP(A83,BD_ORDENES!A:BE,57,FALSE())</f>
        <v>0 BODEGA</v>
      </c>
      <c r="V83" s="70"/>
      <c r="W83" s="71"/>
    </row>
    <row r="84" s="72" customFormat="true" ht="98.25" hidden="false" customHeight="true" outlineLevel="0" collapsed="false">
      <c r="A84" s="62" t="n">
        <f aca="false">A83+1</f>
        <v>77</v>
      </c>
      <c r="B84" s="63" t="str">
        <f aca="false">VLOOKUP(A84,BD_ORDENES!A:BG,12,FALSE())</f>
        <v>__export__.product_product_328436_3f4c68de</v>
      </c>
      <c r="C84" s="64" t="n">
        <v>77</v>
      </c>
      <c r="D84" s="65" t="str">
        <f aca="false">VLOOKUP(A84,BD_ORDENES!A:BE,10,0)</f>
        <v>EXHIBICION TIENDA FABRICA</v>
      </c>
      <c r="E84" s="66" t="str">
        <f aca="false">VLOOKUP(A84,BD_ORDENES!A:BG,4,FALSE())</f>
        <v>TF072</v>
      </c>
      <c r="F84" s="66" t="str">
        <f aca="false">VLOOKUP(A84,BD_ORDENES!A:BE,56,FALSE())</f>
        <v>S269382</v>
      </c>
      <c r="G84" s="67" t="str">
        <f aca="false">VLOOKUP(A84,BD_ORDENES!A:BE,13,FALSE())</f>
        <v>SILLA SABINA SKY MOSTAZA (MATIZ CAOBA)</v>
      </c>
      <c r="H84" s="68" t="str">
        <f aca="false">VLOOKUP(A84,BD_ORDENES!A:BE,17,FALSE())</f>
        <v>SILLA</v>
      </c>
      <c r="I84" s="68" t="str">
        <f aca="false">VLOOKUP(A84,BD_ORDENES!A:BE,18,FALSE())</f>
        <v>SABINA</v>
      </c>
      <c r="J84" s="68" t="str">
        <f aca="false">VLOOKUP(A84,BD_ORDENES!A:BE,19,FALSE())</f>
        <v>SKY</v>
      </c>
      <c r="K84" s="68" t="str">
        <f aca="false">VLOOKUP(A84,BD_ORDENES!A:BE,20,FALSE())</f>
        <v>MOSTAZA</v>
      </c>
      <c r="L84" s="68" t="str">
        <f aca="false">VLOOKUP(A84,BD_ORDENES!A:BE,21,FALSE())</f>
        <v>MATIZ-CAOBA</v>
      </c>
      <c r="M84" s="69" t="n">
        <f aca="false">VLOOKUP(A84,BD_ORDENES!A:BE,14,FALSE())</f>
        <v>2</v>
      </c>
      <c r="N84" s="68" t="n">
        <f aca="false">VLOOKUP(A84,BD_ORDENES!A:BE,15,FALSE())</f>
        <v>0</v>
      </c>
      <c r="O84" s="68" t="str">
        <f aca="false">VLOOKUP(A84,BD_ORDENES!A:BE,33,FALSE())</f>
        <v>RECOGE EN FABRICA</v>
      </c>
      <c r="P84" s="68" t="n">
        <f aca="false">VLOOKUP(A84,BD_ORDENES!A:BE,23,FALSE())</f>
        <v>0</v>
      </c>
      <c r="Q84" s="68" t="str">
        <f aca="false">VLOOKUP(A84,BD_ORDENES!A:BE,52,FALSE())</f>
        <v>Obtener Bajo Pedido (MTO)</v>
      </c>
      <c r="R84" s="68" t="str">
        <f aca="false">VLOOKUP(A84,BD_ORDENES!A:BE,25,FALSE())</f>
        <v>SORACA</v>
      </c>
      <c r="S84" s="68" t="str">
        <f aca="false">VLOOKUP(A84,BD_ORDENES!A:BE,22,FALSE())</f>
        <v>EXHIBICION TIENDA FABRICA</v>
      </c>
      <c r="T84" s="65" t="str">
        <f aca="false">VLOOKUP(A84,BD_ORDENES!A:BE,55,FALSE())</f>
        <v>PRODUCCION</v>
      </c>
      <c r="U84" s="68" t="str">
        <f aca="false">VLOOKUP(A84,BD_ORDENES!A:BE,57,FALSE())</f>
        <v>0 BODEGA</v>
      </c>
      <c r="V84" s="70"/>
      <c r="W84" s="71"/>
    </row>
    <row r="85" s="72" customFormat="true" ht="98.25" hidden="false" customHeight="true" outlineLevel="0" collapsed="false">
      <c r="A85" s="62" t="n">
        <f aca="false">A84+1</f>
        <v>78</v>
      </c>
      <c r="B85" s="63" t="str">
        <f aca="false">VLOOKUP(A85,BD_ORDENES!A:BG,12,FALSE())</f>
        <v>__export__.product_product_330472_723b816d</v>
      </c>
      <c r="C85" s="64" t="n">
        <v>78</v>
      </c>
      <c r="D85" s="65" t="str">
        <f aca="false">VLOOKUP(A85,BD_ORDENES!A:BE,10,0)</f>
        <v>EXHIBICION TIENDA FABRICA</v>
      </c>
      <c r="E85" s="66" t="str">
        <f aca="false">VLOOKUP(A85,BD_ORDENES!A:BG,4,FALSE())</f>
        <v>TF072</v>
      </c>
      <c r="F85" s="66" t="str">
        <f aca="false">VLOOKUP(A85,BD_ORDENES!A:BE,56,FALSE())</f>
        <v>S269382</v>
      </c>
      <c r="G85" s="67" t="str">
        <f aca="false">VLOOKUP(A85,BD_ORDENES!A:BE,13,FALSE())</f>
        <v>BUTACO VIENA EUREKA PLATA (MATIZ NATURAL)</v>
      </c>
      <c r="H85" s="68" t="str">
        <f aca="false">VLOOKUP(A85,BD_ORDENES!A:BE,17,FALSE())</f>
        <v>BUTACO</v>
      </c>
      <c r="I85" s="68" t="str">
        <f aca="false">VLOOKUP(A85,BD_ORDENES!A:BE,18,FALSE())</f>
        <v>VIENA</v>
      </c>
      <c r="J85" s="68" t="str">
        <f aca="false">VLOOKUP(A85,BD_ORDENES!A:BE,19,FALSE())</f>
        <v>EUREKA</v>
      </c>
      <c r="K85" s="68" t="str">
        <f aca="false">VLOOKUP(A85,BD_ORDENES!A:BE,20,FALSE())</f>
        <v>PLATA</v>
      </c>
      <c r="L85" s="68" t="str">
        <f aca="false">VLOOKUP(A85,BD_ORDENES!A:BE,21,FALSE())</f>
        <v>MATIZ-NATURAL</v>
      </c>
      <c r="M85" s="69" t="n">
        <f aca="false">VLOOKUP(A85,BD_ORDENES!A:BE,14,FALSE())</f>
        <v>1</v>
      </c>
      <c r="N85" s="68" t="n">
        <f aca="false">VLOOKUP(A85,BD_ORDENES!A:BE,15,FALSE())</f>
        <v>0</v>
      </c>
      <c r="O85" s="68" t="str">
        <f aca="false">VLOOKUP(A85,BD_ORDENES!A:BE,33,FALSE())</f>
        <v>RECOGE EN FABRICA</v>
      </c>
      <c r="P85" s="68" t="n">
        <f aca="false">VLOOKUP(A85,BD_ORDENES!A:BE,23,FALSE())</f>
        <v>0</v>
      </c>
      <c r="Q85" s="68" t="str">
        <f aca="false">VLOOKUP(A85,BD_ORDENES!A:BE,52,FALSE())</f>
        <v>Obtener Bajo Pedido (MTO)</v>
      </c>
      <c r="R85" s="68" t="str">
        <f aca="false">VLOOKUP(A85,BD_ORDENES!A:BE,25,FALSE())</f>
        <v>SORACA</v>
      </c>
      <c r="S85" s="68" t="str">
        <f aca="false">VLOOKUP(A85,BD_ORDENES!A:BE,22,FALSE())</f>
        <v>EXHIBICION TIENDA FABRICA</v>
      </c>
      <c r="T85" s="65" t="str">
        <f aca="false">VLOOKUP(A85,BD_ORDENES!A:BE,55,FALSE())</f>
        <v>PRODUCCION</v>
      </c>
      <c r="U85" s="68" t="str">
        <f aca="false">VLOOKUP(A85,BD_ORDENES!A:BE,57,FALSE())</f>
        <v>0 BODEGA</v>
      </c>
      <c r="V85" s="70"/>
      <c r="W85" s="71"/>
    </row>
    <row r="86" s="72" customFormat="true" ht="98.25" hidden="false" customHeight="true" outlineLevel="0" collapsed="false">
      <c r="A86" s="62" t="n">
        <f aca="false">A85+1</f>
        <v>79</v>
      </c>
      <c r="B86" s="63" t="str">
        <f aca="false">VLOOKUP(A86,BD_ORDENES!A:BG,12,FALSE())</f>
        <v>__export__.product_product_326349_9882cf6d</v>
      </c>
      <c r="C86" s="64" t="n">
        <v>79</v>
      </c>
      <c r="D86" s="65" t="str">
        <f aca="false">VLOOKUP(A86,BD_ORDENES!A:BE,10,0)</f>
        <v>EXHIBICION TIENDA FABRICA</v>
      </c>
      <c r="E86" s="66" t="str">
        <f aca="false">VLOOKUP(A86,BD_ORDENES!A:BG,4,FALSE())</f>
        <v>TF072</v>
      </c>
      <c r="F86" s="66" t="str">
        <f aca="false">VLOOKUP(A86,BD_ORDENES!A:BE,56,FALSE())</f>
        <v>S269382</v>
      </c>
      <c r="G86" s="67" t="str">
        <f aca="false">VLOOKUP(A86,BD_ORDENES!A:BE,13,FALSE())</f>
        <v>MESA BRIXTON JG4 DUNA (MATIZ NEGRO)</v>
      </c>
      <c r="H86" s="68" t="str">
        <f aca="false">VLOOKUP(A86,BD_ORDENES!A:BE,17,FALSE())</f>
        <v>MESA</v>
      </c>
      <c r="I86" s="68" t="str">
        <f aca="false">VLOOKUP(A86,BD_ORDENES!A:BE,18,FALSE())</f>
        <v>BRIXTON-JG4</v>
      </c>
      <c r="J86" s="68" t="n">
        <f aca="false">VLOOKUP(A86,BD_ORDENES!A:BE,19,FALSE())</f>
        <v>0</v>
      </c>
      <c r="K86" s="68" t="str">
        <f aca="false">VLOOKUP(A86,BD_ORDENES!A:BE,20,FALSE())</f>
        <v>DUNA</v>
      </c>
      <c r="L86" s="68" t="str">
        <f aca="false">VLOOKUP(A86,BD_ORDENES!A:BE,21,FALSE())</f>
        <v>MATIZ-NEGRO</v>
      </c>
      <c r="M86" s="69" t="n">
        <f aca="false">VLOOKUP(A86,BD_ORDENES!A:BE,14,FALSE())</f>
        <v>1</v>
      </c>
      <c r="N86" s="68" t="n">
        <f aca="false">VLOOKUP(A86,BD_ORDENES!A:BE,15,FALSE())</f>
        <v>0</v>
      </c>
      <c r="O86" s="68" t="str">
        <f aca="false">VLOOKUP(A86,BD_ORDENES!A:BE,33,FALSE())</f>
        <v>RECOGE EN FABRICA</v>
      </c>
      <c r="P86" s="68" t="n">
        <f aca="false">VLOOKUP(A86,BD_ORDENES!A:BE,23,FALSE())</f>
        <v>0</v>
      </c>
      <c r="Q86" s="68" t="str">
        <f aca="false">VLOOKUP(A86,BD_ORDENES!A:BE,52,FALSE())</f>
        <v>Obtener Bajo Pedido (MTO)</v>
      </c>
      <c r="R86" s="68" t="str">
        <f aca="false">VLOOKUP(A86,BD_ORDENES!A:BE,25,FALSE())</f>
        <v>SORACA</v>
      </c>
      <c r="S86" s="68" t="str">
        <f aca="false">VLOOKUP(A86,BD_ORDENES!A:BE,22,FALSE())</f>
        <v>EXHIBICION TIENDA FABRICA</v>
      </c>
      <c r="T86" s="65" t="str">
        <f aca="false">VLOOKUP(A86,BD_ORDENES!A:BE,55,FALSE())</f>
        <v>PRODUCCION</v>
      </c>
      <c r="U86" s="68" t="str">
        <f aca="false">VLOOKUP(A86,BD_ORDENES!A:BE,57,FALSE())</f>
        <v>0 BODEGA</v>
      </c>
      <c r="V86" s="70"/>
      <c r="W86" s="71"/>
    </row>
    <row r="87" s="72" customFormat="true" ht="98.25" hidden="false" customHeight="true" outlineLevel="0" collapsed="false">
      <c r="A87" s="62" t="n">
        <f aca="false">A86+1</f>
        <v>80</v>
      </c>
      <c r="B87" s="63" t="str">
        <f aca="false">VLOOKUP(A87,BD_ORDENES!A:BG,12,FALSE())</f>
        <v>__export__.product_product_287514_b4e068d5</v>
      </c>
      <c r="C87" s="64" t="n">
        <v>80</v>
      </c>
      <c r="D87" s="65" t="str">
        <f aca="false">VLOOKUP(A87,BD_ORDENES!A:BE,10,0)</f>
        <v>EXHIBICION TIENDA FABRICA</v>
      </c>
      <c r="E87" s="66" t="str">
        <f aca="false">VLOOKUP(A87,BD_ORDENES!A:BG,4,FALSE())</f>
        <v>TF072</v>
      </c>
      <c r="F87" s="66" t="str">
        <f aca="false">VLOOKUP(A87,BD_ORDENES!A:BE,56,FALSE())</f>
        <v>S269382</v>
      </c>
      <c r="G87" s="67" t="str">
        <f aca="false">VLOOKUP(A87,BD_ORDENES!A:BE,13,FALSE())</f>
        <v>SOFA BARU DENVER GRIS (MATIZ NATURAL)</v>
      </c>
      <c r="H87" s="68" t="str">
        <f aca="false">VLOOKUP(A87,BD_ORDENES!A:BE,17,FALSE())</f>
        <v>SOFA</v>
      </c>
      <c r="I87" s="68" t="str">
        <f aca="false">VLOOKUP(A87,BD_ORDENES!A:BE,18,FALSE())</f>
        <v>BARU</v>
      </c>
      <c r="J87" s="68" t="str">
        <f aca="false">VLOOKUP(A87,BD_ORDENES!A:BE,19,FALSE())</f>
        <v>DENVER</v>
      </c>
      <c r="K87" s="68" t="str">
        <f aca="false">VLOOKUP(A87,BD_ORDENES!A:BE,20,FALSE())</f>
        <v>GRIS</v>
      </c>
      <c r="L87" s="68" t="str">
        <f aca="false">VLOOKUP(A87,BD_ORDENES!A:BE,21,FALSE())</f>
        <v>MATIZ-NATURAL</v>
      </c>
      <c r="M87" s="69" t="n">
        <f aca="false">VLOOKUP(A87,BD_ORDENES!A:BE,14,FALSE())</f>
        <v>1</v>
      </c>
      <c r="N87" s="68" t="n">
        <f aca="false">VLOOKUP(A87,BD_ORDENES!A:BE,15,FALSE())</f>
        <v>0</v>
      </c>
      <c r="O87" s="68" t="str">
        <f aca="false">VLOOKUP(A87,BD_ORDENES!A:BE,33,FALSE())</f>
        <v>RECOGE EN FABRICA</v>
      </c>
      <c r="P87" s="68" t="n">
        <f aca="false">VLOOKUP(A87,BD_ORDENES!A:BE,23,FALSE())</f>
        <v>0</v>
      </c>
      <c r="Q87" s="68" t="str">
        <f aca="false">VLOOKUP(A87,BD_ORDENES!A:BE,52,FALSE())</f>
        <v>Obtener Bajo Pedido (MTO)</v>
      </c>
      <c r="R87" s="68" t="str">
        <f aca="false">VLOOKUP(A87,BD_ORDENES!A:BE,25,FALSE())</f>
        <v>SORACA</v>
      </c>
      <c r="S87" s="68" t="str">
        <f aca="false">VLOOKUP(A87,BD_ORDENES!A:BE,22,FALSE())</f>
        <v>EXHIBICION TIENDA FABRICA</v>
      </c>
      <c r="T87" s="65" t="str">
        <f aca="false">VLOOKUP(A87,BD_ORDENES!A:BE,55,FALSE())</f>
        <v>PRODUCCION</v>
      </c>
      <c r="U87" s="68" t="str">
        <f aca="false">VLOOKUP(A87,BD_ORDENES!A:BE,57,FALSE())</f>
        <v>0 BODEGA</v>
      </c>
      <c r="V87" s="70"/>
      <c r="W87" s="71"/>
    </row>
    <row r="88" s="72" customFormat="true" ht="98.25" hidden="false" customHeight="true" outlineLevel="0" collapsed="false">
      <c r="A88" s="62" t="n">
        <f aca="false">A87+1</f>
        <v>81</v>
      </c>
      <c r="B88" s="63" t="str">
        <f aca="false">VLOOKUP(A88,BD_ORDENES!A:BG,12,FALSE())</f>
        <v>__export__.product_product_324104_37ec83e6</v>
      </c>
      <c r="C88" s="64" t="n">
        <v>81</v>
      </c>
      <c r="D88" s="65" t="str">
        <f aca="false">VLOOKUP(A88,BD_ORDENES!A:BE,10,0)</f>
        <v>EXHIBICION TIENDA FABRICA</v>
      </c>
      <c r="E88" s="66" t="str">
        <f aca="false">VLOOKUP(A88,BD_ORDENES!A:BG,4,FALSE())</f>
        <v>TF072</v>
      </c>
      <c r="F88" s="66" t="str">
        <f aca="false">VLOOKUP(A88,BD_ORDENES!A:BE,56,FALSE())</f>
        <v>S269382</v>
      </c>
      <c r="G88" s="67" t="str">
        <f aca="false">VLOOKUP(A88,BD_ORDENES!A:BE,13,FALSE())</f>
        <v>SOFA ROMA SKY BEIGE (MATIZ CAOBA)</v>
      </c>
      <c r="H88" s="68" t="str">
        <f aca="false">VLOOKUP(A88,BD_ORDENES!A:BE,17,FALSE())</f>
        <v>SOFA</v>
      </c>
      <c r="I88" s="68" t="str">
        <f aca="false">VLOOKUP(A88,BD_ORDENES!A:BE,18,FALSE())</f>
        <v>ROMA</v>
      </c>
      <c r="J88" s="68" t="str">
        <f aca="false">VLOOKUP(A88,BD_ORDENES!A:BE,19,FALSE())</f>
        <v>SKY</v>
      </c>
      <c r="K88" s="68" t="str">
        <f aca="false">VLOOKUP(A88,BD_ORDENES!A:BE,20,FALSE())</f>
        <v>BEIGE</v>
      </c>
      <c r="L88" s="68" t="str">
        <f aca="false">VLOOKUP(A88,BD_ORDENES!A:BE,21,FALSE())</f>
        <v>MATIZ-CAOBA</v>
      </c>
      <c r="M88" s="69" t="n">
        <f aca="false">VLOOKUP(A88,BD_ORDENES!A:BE,14,FALSE())</f>
        <v>1</v>
      </c>
      <c r="N88" s="68" t="n">
        <f aca="false">VLOOKUP(A88,BD_ORDENES!A:BE,15,FALSE())</f>
        <v>0</v>
      </c>
      <c r="O88" s="68" t="str">
        <f aca="false">VLOOKUP(A88,BD_ORDENES!A:BE,33,FALSE())</f>
        <v>RECOGE EN FABRICA</v>
      </c>
      <c r="P88" s="68" t="n">
        <f aca="false">VLOOKUP(A88,BD_ORDENES!A:BE,23,FALSE())</f>
        <v>0</v>
      </c>
      <c r="Q88" s="68" t="str">
        <f aca="false">VLOOKUP(A88,BD_ORDENES!A:BE,52,FALSE())</f>
        <v>Obtener Bajo Pedido (MTO)</v>
      </c>
      <c r="R88" s="68" t="str">
        <f aca="false">VLOOKUP(A88,BD_ORDENES!A:BE,25,FALSE())</f>
        <v>SORACA</v>
      </c>
      <c r="S88" s="68" t="str">
        <f aca="false">VLOOKUP(A88,BD_ORDENES!A:BE,22,FALSE())</f>
        <v>EXHIBICION TIENDA FABRICA</v>
      </c>
      <c r="T88" s="65" t="str">
        <f aca="false">VLOOKUP(A88,BD_ORDENES!A:BE,55,FALSE())</f>
        <v>PRODUCCION</v>
      </c>
      <c r="U88" s="68" t="str">
        <f aca="false">VLOOKUP(A88,BD_ORDENES!A:BE,57,FALSE())</f>
        <v>0 BODEGA</v>
      </c>
      <c r="V88" s="70"/>
      <c r="W88" s="71"/>
    </row>
    <row r="89" s="72" customFormat="true" ht="98.25" hidden="false" customHeight="true" outlineLevel="0" collapsed="false">
      <c r="A89" s="62" t="n">
        <f aca="false">A88+1</f>
        <v>82</v>
      </c>
      <c r="B89" s="63" t="str">
        <f aca="false">VLOOKUP(A89,BD_ORDENES!A:BG,12,FALSE())</f>
        <v>__export__.product_product_208446_ba10dd64</v>
      </c>
      <c r="C89" s="64" t="n">
        <v>82</v>
      </c>
      <c r="D89" s="65" t="str">
        <f aca="false">VLOOKUP(A89,BD_ORDENES!A:BE,10,0)</f>
        <v>EXHIBICION TIENDA FABRICA</v>
      </c>
      <c r="E89" s="66" t="str">
        <f aca="false">VLOOKUP(A89,BD_ORDENES!A:BG,4,FALSE())</f>
        <v>TF072</v>
      </c>
      <c r="F89" s="66" t="str">
        <f aca="false">VLOOKUP(A89,BD_ORDENES!A:BE,56,FALSE())</f>
        <v>S269382</v>
      </c>
      <c r="G89" s="67" t="str">
        <f aca="false">VLOOKUP(A89,BD_ORDENES!A:BE,13,FALSE())</f>
        <v>SILLA LIVERPOOL DENVER PLATA (MATIZ NATURAL)</v>
      </c>
      <c r="H89" s="68" t="str">
        <f aca="false">VLOOKUP(A89,BD_ORDENES!A:BE,17,FALSE())</f>
        <v>SILLA-MADERA</v>
      </c>
      <c r="I89" s="68" t="str">
        <f aca="false">VLOOKUP(A89,BD_ORDENES!A:BE,18,FALSE())</f>
        <v>LIVERPOOL</v>
      </c>
      <c r="J89" s="68" t="str">
        <f aca="false">VLOOKUP(A89,BD_ORDENES!A:BE,19,FALSE())</f>
        <v>DENVER</v>
      </c>
      <c r="K89" s="68" t="str">
        <f aca="false">VLOOKUP(A89,BD_ORDENES!A:BE,20,FALSE())</f>
        <v>PLATA</v>
      </c>
      <c r="L89" s="68" t="str">
        <f aca="false">VLOOKUP(A89,BD_ORDENES!A:BE,21,FALSE())</f>
        <v>MATIZ-NATURAL</v>
      </c>
      <c r="M89" s="69" t="n">
        <f aca="false">VLOOKUP(A89,BD_ORDENES!A:BE,14,FALSE())</f>
        <v>4</v>
      </c>
      <c r="N89" s="68" t="n">
        <f aca="false">VLOOKUP(A89,BD_ORDENES!A:BE,15,FALSE())</f>
        <v>0</v>
      </c>
      <c r="O89" s="68" t="str">
        <f aca="false">VLOOKUP(A89,BD_ORDENES!A:BE,33,FALSE())</f>
        <v>RECOGE EN FABRICA</v>
      </c>
      <c r="P89" s="68" t="n">
        <f aca="false">VLOOKUP(A89,BD_ORDENES!A:BE,23,FALSE())</f>
        <v>0</v>
      </c>
      <c r="Q89" s="68" t="str">
        <f aca="false">VLOOKUP(A89,BD_ORDENES!A:BE,52,FALSE())</f>
        <v>Retiro Inventario Bodega</v>
      </c>
      <c r="R89" s="68" t="str">
        <f aca="false">VLOOKUP(A89,BD_ORDENES!A:BE,25,FALSE())</f>
        <v>SORACA</v>
      </c>
      <c r="S89" s="68" t="str">
        <f aca="false">VLOOKUP(A89,BD_ORDENES!A:BE,22,FALSE())</f>
        <v>EXHIBICION TIENDA FABRICA</v>
      </c>
      <c r="T89" s="65" t="str">
        <f aca="false">VLOOKUP(A89,BD_ORDENES!A:BE,55,FALSE())</f>
        <v>PRODUCCION</v>
      </c>
      <c r="U89" s="68" t="str">
        <f aca="false">VLOOKUP(A89,BD_ORDENES!A:BE,57,FALSE())</f>
        <v>0 BODEGA</v>
      </c>
      <c r="V89" s="70"/>
      <c r="W89" s="71"/>
    </row>
    <row r="90" s="72" customFormat="true" ht="98.25" hidden="false" customHeight="true" outlineLevel="0" collapsed="false">
      <c r="A90" s="62" t="n">
        <f aca="false">A89+1</f>
        <v>83</v>
      </c>
      <c r="B90" s="63" t="str">
        <f aca="false">VLOOKUP(A90,BD_ORDENES!A:BG,12,FALSE())</f>
        <v>__export__.product_product_208362_e56a232f</v>
      </c>
      <c r="C90" s="64" t="n">
        <v>83</v>
      </c>
      <c r="D90" s="65" t="str">
        <f aca="false">VLOOKUP(A90,BD_ORDENES!A:BE,10,0)</f>
        <v>EXHIBICION TIENDA FABRICA</v>
      </c>
      <c r="E90" s="66" t="str">
        <f aca="false">VLOOKUP(A90,BD_ORDENES!A:BG,4,FALSE())</f>
        <v>TF072</v>
      </c>
      <c r="F90" s="66" t="str">
        <f aca="false">VLOOKUP(A90,BD_ORDENES!A:BE,56,FALSE())</f>
        <v>S269382</v>
      </c>
      <c r="G90" s="67" t="str">
        <f aca="false">VLOOKUP(A90,BD_ORDENES!A:BE,13,FALSE())</f>
        <v>BUTACO LIVERPOOL DENVER PLATA (MATIZ NATURAL)</v>
      </c>
      <c r="H90" s="68" t="str">
        <f aca="false">VLOOKUP(A90,BD_ORDENES!A:BE,17,FALSE())</f>
        <v>BUTACO</v>
      </c>
      <c r="I90" s="68" t="str">
        <f aca="false">VLOOKUP(A90,BD_ORDENES!A:BE,18,FALSE())</f>
        <v>LIVERPOOL</v>
      </c>
      <c r="J90" s="68" t="str">
        <f aca="false">VLOOKUP(A90,BD_ORDENES!A:BE,19,FALSE())</f>
        <v>DENVER</v>
      </c>
      <c r="K90" s="68" t="str">
        <f aca="false">VLOOKUP(A90,BD_ORDENES!A:BE,20,FALSE())</f>
        <v>PLATA</v>
      </c>
      <c r="L90" s="68" t="str">
        <f aca="false">VLOOKUP(A90,BD_ORDENES!A:BE,21,FALSE())</f>
        <v>MATIZ-NATURAL</v>
      </c>
      <c r="M90" s="69" t="n">
        <f aca="false">VLOOKUP(A90,BD_ORDENES!A:BE,14,FALSE())</f>
        <v>1</v>
      </c>
      <c r="N90" s="68" t="n">
        <f aca="false">VLOOKUP(A90,BD_ORDENES!A:BE,15,FALSE())</f>
        <v>0</v>
      </c>
      <c r="O90" s="68" t="str">
        <f aca="false">VLOOKUP(A90,BD_ORDENES!A:BE,33,FALSE())</f>
        <v>RECOGE EN FABRICA</v>
      </c>
      <c r="P90" s="68" t="n">
        <f aca="false">VLOOKUP(A90,BD_ORDENES!A:BE,23,FALSE())</f>
        <v>0</v>
      </c>
      <c r="Q90" s="68" t="str">
        <f aca="false">VLOOKUP(A90,BD_ORDENES!A:BE,52,FALSE())</f>
        <v>Retiro Inventario Bodega</v>
      </c>
      <c r="R90" s="68" t="str">
        <f aca="false">VLOOKUP(A90,BD_ORDENES!A:BE,25,FALSE())</f>
        <v>SORACA</v>
      </c>
      <c r="S90" s="68" t="str">
        <f aca="false">VLOOKUP(A90,BD_ORDENES!A:BE,22,FALSE())</f>
        <v>EXHIBICION TIENDA FABRICA</v>
      </c>
      <c r="T90" s="65" t="str">
        <f aca="false">VLOOKUP(A90,BD_ORDENES!A:BE,55,FALSE())</f>
        <v>PRODUCCION</v>
      </c>
      <c r="U90" s="68" t="str">
        <f aca="false">VLOOKUP(A90,BD_ORDENES!A:BE,57,FALSE())</f>
        <v>0 BODEGA</v>
      </c>
      <c r="V90" s="70"/>
      <c r="W90" s="71"/>
    </row>
    <row r="91" s="72" customFormat="true" ht="98.25" hidden="false" customHeight="true" outlineLevel="0" collapsed="false">
      <c r="A91" s="62" t="n">
        <f aca="false">A90+1</f>
        <v>84</v>
      </c>
      <c r="B91" s="63" t="str">
        <f aca="false">VLOOKUP(A91,BD_ORDENES!A:BG,12,FALSE())</f>
        <v>__export__.product_product_187450_25242268</v>
      </c>
      <c r="C91" s="64" t="n">
        <v>84</v>
      </c>
      <c r="D91" s="65" t="str">
        <f aca="false">VLOOKUP(A91,BD_ORDENES!A:BE,10,0)</f>
        <v>EXHIBICION TIENDA FABRICA</v>
      </c>
      <c r="E91" s="66" t="str">
        <f aca="false">VLOOKUP(A91,BD_ORDENES!A:BG,4,FALSE())</f>
        <v>TF072</v>
      </c>
      <c r="F91" s="66" t="str">
        <f aca="false">VLOOKUP(A91,BD_ORDENES!A:BE,56,FALSE())</f>
        <v>S269382</v>
      </c>
      <c r="G91" s="67" t="str">
        <f aca="false">VLOOKUP(A91,BD_ORDENES!A:BE,13,FALSE())</f>
        <v>MESA DE CENTRO VALENCIA GRANDE BLANCO (MATIZ NATURAL)</v>
      </c>
      <c r="H91" s="68" t="str">
        <f aca="false">VLOOKUP(A91,BD_ORDENES!A:BE,17,FALSE())</f>
        <v>MESA-AUXILIAR</v>
      </c>
      <c r="I91" s="68" t="str">
        <f aca="false">VLOOKUP(A91,BD_ORDENES!A:BE,18,FALSE())</f>
        <v>VALENCIA-GRANDE</v>
      </c>
      <c r="J91" s="68" t="n">
        <f aca="false">VLOOKUP(A91,BD_ORDENES!A:BE,19,FALSE())</f>
        <v>0</v>
      </c>
      <c r="K91" s="68" t="str">
        <f aca="false">VLOOKUP(A91,BD_ORDENES!A:BE,20,FALSE())</f>
        <v>BLANCO</v>
      </c>
      <c r="L91" s="68" t="str">
        <f aca="false">VLOOKUP(A91,BD_ORDENES!A:BE,21,FALSE())</f>
        <v>MATIZ-NATURAL</v>
      </c>
      <c r="M91" s="69" t="n">
        <f aca="false">VLOOKUP(A91,BD_ORDENES!A:BE,14,FALSE())</f>
        <v>1</v>
      </c>
      <c r="N91" s="68" t="n">
        <f aca="false">VLOOKUP(A91,BD_ORDENES!A:BE,15,FALSE())</f>
        <v>0</v>
      </c>
      <c r="O91" s="68" t="str">
        <f aca="false">VLOOKUP(A91,BD_ORDENES!A:BE,33,FALSE())</f>
        <v>RECOGE EN FABRICA</v>
      </c>
      <c r="P91" s="68" t="n">
        <f aca="false">VLOOKUP(A91,BD_ORDENES!A:BE,23,FALSE())</f>
        <v>0</v>
      </c>
      <c r="Q91" s="68" t="str">
        <f aca="false">VLOOKUP(A91,BD_ORDENES!A:BE,52,FALSE())</f>
        <v>Obtener Bajo Pedido (MTO)</v>
      </c>
      <c r="R91" s="68" t="str">
        <f aca="false">VLOOKUP(A91,BD_ORDENES!A:BE,25,FALSE())</f>
        <v>SORACA</v>
      </c>
      <c r="S91" s="68" t="str">
        <f aca="false">VLOOKUP(A91,BD_ORDENES!A:BE,22,FALSE())</f>
        <v>EXHIBICION TIENDA FABRICA</v>
      </c>
      <c r="T91" s="65" t="str">
        <f aca="false">VLOOKUP(A91,BD_ORDENES!A:BE,55,FALSE())</f>
        <v>PRODUCCION</v>
      </c>
      <c r="U91" s="68" t="str">
        <f aca="false">VLOOKUP(A91,BD_ORDENES!A:BE,57,FALSE())</f>
        <v>0 BODEGA</v>
      </c>
      <c r="V91" s="70"/>
      <c r="W91" s="71"/>
    </row>
    <row r="92" s="72" customFormat="true" ht="98.25" hidden="false" customHeight="true" outlineLevel="0" collapsed="false">
      <c r="A92" s="62" t="n">
        <f aca="false">A91+1</f>
        <v>85</v>
      </c>
      <c r="B92" s="63" t="str">
        <f aca="false">VLOOKUP(A92,BD_ORDENES!A:BG,12,FALSE())</f>
        <v>__export__.product_product_187477_08859d47</v>
      </c>
      <c r="C92" s="64" t="n">
        <v>85</v>
      </c>
      <c r="D92" s="65" t="str">
        <f aca="false">VLOOKUP(A92,BD_ORDENES!A:BE,10,0)</f>
        <v>EXHIBICION TIENDA FABRICA</v>
      </c>
      <c r="E92" s="66" t="str">
        <f aca="false">VLOOKUP(A92,BD_ORDENES!A:BG,4,FALSE())</f>
        <v>TF072</v>
      </c>
      <c r="F92" s="66" t="str">
        <f aca="false">VLOOKUP(A92,BD_ORDENES!A:BE,56,FALSE())</f>
        <v>S269382</v>
      </c>
      <c r="G92" s="67" t="str">
        <f aca="false">VLOOKUP(A92,BD_ORDENES!A:BE,13,FALSE())</f>
        <v>MESA DE CENTRO VALENCIA PEQUEÑA BLANCO (MATIZ NATURAL)</v>
      </c>
      <c r="H92" s="68" t="str">
        <f aca="false">VLOOKUP(A92,BD_ORDENES!A:BE,17,FALSE())</f>
        <v>MESA-AUXILIAR</v>
      </c>
      <c r="I92" s="68" t="str">
        <f aca="false">VLOOKUP(A92,BD_ORDENES!A:BE,18,FALSE())</f>
        <v>VALENCIA-PEQUEÑA</v>
      </c>
      <c r="J92" s="68" t="n">
        <f aca="false">VLOOKUP(A92,BD_ORDENES!A:BE,19,FALSE())</f>
        <v>0</v>
      </c>
      <c r="K92" s="68" t="str">
        <f aca="false">VLOOKUP(A92,BD_ORDENES!A:BE,20,FALSE())</f>
        <v>BLANCO</v>
      </c>
      <c r="L92" s="68" t="str">
        <f aca="false">VLOOKUP(A92,BD_ORDENES!A:BE,21,FALSE())</f>
        <v>MATIZ-NATURAL</v>
      </c>
      <c r="M92" s="69" t="n">
        <f aca="false">VLOOKUP(A92,BD_ORDENES!A:BE,14,FALSE())</f>
        <v>1</v>
      </c>
      <c r="N92" s="68" t="n">
        <f aca="false">VLOOKUP(A92,BD_ORDENES!A:BE,15,FALSE())</f>
        <v>0</v>
      </c>
      <c r="O92" s="68" t="str">
        <f aca="false">VLOOKUP(A92,BD_ORDENES!A:BE,33,FALSE())</f>
        <v>RECOGE EN FABRICA</v>
      </c>
      <c r="P92" s="68" t="n">
        <f aca="false">VLOOKUP(A92,BD_ORDENES!A:BE,23,FALSE())</f>
        <v>0</v>
      </c>
      <c r="Q92" s="68" t="str">
        <f aca="false">VLOOKUP(A92,BD_ORDENES!A:BE,52,FALSE())</f>
        <v>Obtener Bajo Pedido (MTO)</v>
      </c>
      <c r="R92" s="68" t="str">
        <f aca="false">VLOOKUP(A92,BD_ORDENES!A:BE,25,FALSE())</f>
        <v>SORACA</v>
      </c>
      <c r="S92" s="68" t="str">
        <f aca="false">VLOOKUP(A92,BD_ORDENES!A:BE,22,FALSE())</f>
        <v>EXHIBICION TIENDA FABRICA</v>
      </c>
      <c r="T92" s="65" t="str">
        <f aca="false">VLOOKUP(A92,BD_ORDENES!A:BE,55,FALSE())</f>
        <v>PRODUCCION</v>
      </c>
      <c r="U92" s="68" t="str">
        <f aca="false">VLOOKUP(A92,BD_ORDENES!A:BE,57,FALSE())</f>
        <v>0 BODEGA</v>
      </c>
      <c r="V92" s="70"/>
      <c r="W92" s="71"/>
    </row>
    <row r="93" s="72" customFormat="true" ht="98.25" hidden="false" customHeight="true" outlineLevel="0" collapsed="false">
      <c r="A93" s="62" t="n">
        <f aca="false">A92+1</f>
        <v>86</v>
      </c>
      <c r="B93" s="63" t="str">
        <f aca="false">VLOOKUP(A93,BD_ORDENES!A:BG,12,FALSE())</f>
        <v>__export__.product_product_186853_6831599b</v>
      </c>
      <c r="C93" s="64" t="n">
        <v>86</v>
      </c>
      <c r="D93" s="65" t="str">
        <f aca="false">VLOOKUP(A93,BD_ORDENES!A:BE,10,0)</f>
        <v>EXHIBICION TIENDA FABRICA</v>
      </c>
      <c r="E93" s="66" t="str">
        <f aca="false">VLOOKUP(A93,BD_ORDENES!A:BG,4,FALSE())</f>
        <v>TF072</v>
      </c>
      <c r="F93" s="66" t="str">
        <f aca="false">VLOOKUP(A93,BD_ORDENES!A:BE,56,FALSE())</f>
        <v>S269382</v>
      </c>
      <c r="G93" s="67" t="str">
        <f aca="false">VLOOKUP(A93,BD_ORDENES!A:BE,13,FALSE())</f>
        <v>MESA DE CENTRO BARZA BLANCO (MATIZ NATURAL)</v>
      </c>
      <c r="H93" s="68" t="str">
        <f aca="false">VLOOKUP(A93,BD_ORDENES!A:BE,17,FALSE())</f>
        <v>MESA-CENTRO</v>
      </c>
      <c r="I93" s="68" t="str">
        <f aca="false">VLOOKUP(A93,BD_ORDENES!A:BE,18,FALSE())</f>
        <v>BARZA</v>
      </c>
      <c r="J93" s="68" t="n">
        <f aca="false">VLOOKUP(A93,BD_ORDENES!A:BE,19,FALSE())</f>
        <v>0</v>
      </c>
      <c r="K93" s="68" t="str">
        <f aca="false">VLOOKUP(A93,BD_ORDENES!A:BE,20,FALSE())</f>
        <v>BLANCO</v>
      </c>
      <c r="L93" s="68" t="str">
        <f aca="false">VLOOKUP(A93,BD_ORDENES!A:BE,21,FALSE())</f>
        <v>MATIZ-NATURAL</v>
      </c>
      <c r="M93" s="69" t="n">
        <f aca="false">VLOOKUP(A93,BD_ORDENES!A:BE,14,FALSE())</f>
        <v>1</v>
      </c>
      <c r="N93" s="68" t="n">
        <f aca="false">VLOOKUP(A93,BD_ORDENES!A:BE,15,FALSE())</f>
        <v>0</v>
      </c>
      <c r="O93" s="68" t="str">
        <f aca="false">VLOOKUP(A93,BD_ORDENES!A:BE,33,FALSE())</f>
        <v>RECOGE EN FABRICA</v>
      </c>
      <c r="P93" s="68" t="n">
        <f aca="false">VLOOKUP(A93,BD_ORDENES!A:BE,23,FALSE())</f>
        <v>0</v>
      </c>
      <c r="Q93" s="68" t="str">
        <f aca="false">VLOOKUP(A93,BD_ORDENES!A:BE,52,FALSE())</f>
        <v>Obtener Bajo Pedido (MTO)</v>
      </c>
      <c r="R93" s="68" t="str">
        <f aca="false">VLOOKUP(A93,BD_ORDENES!A:BE,25,FALSE())</f>
        <v>SORACA</v>
      </c>
      <c r="S93" s="68" t="str">
        <f aca="false">VLOOKUP(A93,BD_ORDENES!A:BE,22,FALSE())</f>
        <v>EXHIBICION TIENDA FABRICA</v>
      </c>
      <c r="T93" s="65" t="str">
        <f aca="false">VLOOKUP(A93,BD_ORDENES!A:BE,55,FALSE())</f>
        <v>PRODUCCION</v>
      </c>
      <c r="U93" s="68" t="str">
        <f aca="false">VLOOKUP(A93,BD_ORDENES!A:BE,57,FALSE())</f>
        <v>0 BODEGA</v>
      </c>
      <c r="V93" s="70"/>
      <c r="W93" s="71"/>
    </row>
    <row r="94" s="72" customFormat="true" ht="98.25" hidden="false" customHeight="true" outlineLevel="0" collapsed="false">
      <c r="A94" s="62" t="n">
        <f aca="false">A93+1</f>
        <v>87</v>
      </c>
      <c r="B94" s="63" t="str">
        <f aca="false">VLOOKUP(A94,BD_ORDENES!A:BG,12,FALSE())</f>
        <v>__export__.product_product_315496_ed2edd0e</v>
      </c>
      <c r="C94" s="64" t="n">
        <v>87</v>
      </c>
      <c r="D94" s="65" t="str">
        <f aca="false">VLOOKUP(A94,BD_ORDENES!A:BE,10,0)</f>
        <v>EXHIBICION TIENDA FABRICA</v>
      </c>
      <c r="E94" s="66" t="str">
        <f aca="false">VLOOKUP(A94,BD_ORDENES!A:BG,4,FALSE())</f>
        <v>TF072</v>
      </c>
      <c r="F94" s="66" t="str">
        <f aca="false">VLOOKUP(A94,BD_ORDENES!A:BE,56,FALSE())</f>
        <v>S269382</v>
      </c>
      <c r="G94" s="67" t="str">
        <f aca="false">VLOOKUP(A94,BD_ORDENES!A:BE,13,FALSE())</f>
        <v>MESA DE CENTRO ESCOCIA L BLANCO (MATIZ NATURAL)</v>
      </c>
      <c r="H94" s="68" t="str">
        <f aca="false">VLOOKUP(A94,BD_ORDENES!A:BE,17,FALSE())</f>
        <v>MESA-CENTRO</v>
      </c>
      <c r="I94" s="68" t="str">
        <f aca="false">VLOOKUP(A94,BD_ORDENES!A:BE,18,FALSE())</f>
        <v>ESCOCIA-L</v>
      </c>
      <c r="J94" s="68" t="n">
        <f aca="false">VLOOKUP(A94,BD_ORDENES!A:BE,19,FALSE())</f>
        <v>0</v>
      </c>
      <c r="K94" s="68" t="str">
        <f aca="false">VLOOKUP(A94,BD_ORDENES!A:BE,20,FALSE())</f>
        <v>BLANCO</v>
      </c>
      <c r="L94" s="68" t="str">
        <f aca="false">VLOOKUP(A94,BD_ORDENES!A:BE,21,FALSE())</f>
        <v>MATIZ-NATURAL</v>
      </c>
      <c r="M94" s="69" t="n">
        <f aca="false">VLOOKUP(A94,BD_ORDENES!A:BE,14,FALSE())</f>
        <v>1</v>
      </c>
      <c r="N94" s="68" t="n">
        <f aca="false">VLOOKUP(A94,BD_ORDENES!A:BE,15,FALSE())</f>
        <v>0</v>
      </c>
      <c r="O94" s="68" t="str">
        <f aca="false">VLOOKUP(A94,BD_ORDENES!A:BE,33,FALSE())</f>
        <v>RECOGE EN FABRICA</v>
      </c>
      <c r="P94" s="68" t="n">
        <f aca="false">VLOOKUP(A94,BD_ORDENES!A:BE,23,FALSE())</f>
        <v>0</v>
      </c>
      <c r="Q94" s="68" t="str">
        <f aca="false">VLOOKUP(A94,BD_ORDENES!A:BE,52,FALSE())</f>
        <v>Obtener Bajo Pedido (MTO)</v>
      </c>
      <c r="R94" s="68" t="str">
        <f aca="false">VLOOKUP(A94,BD_ORDENES!A:BE,25,FALSE())</f>
        <v>SORACA</v>
      </c>
      <c r="S94" s="68" t="str">
        <f aca="false">VLOOKUP(A94,BD_ORDENES!A:BE,22,FALSE())</f>
        <v>EXHIBICION TIENDA FABRICA</v>
      </c>
      <c r="T94" s="65" t="str">
        <f aca="false">VLOOKUP(A94,BD_ORDENES!A:BE,55,FALSE())</f>
        <v>PRODUCCION</v>
      </c>
      <c r="U94" s="68" t="str">
        <f aca="false">VLOOKUP(A94,BD_ORDENES!A:BE,57,FALSE())</f>
        <v>0 BODEGA</v>
      </c>
      <c r="V94" s="70"/>
      <c r="W94" s="71"/>
    </row>
    <row r="95" s="72" customFormat="true" ht="98.25" hidden="false" customHeight="true" outlineLevel="0" collapsed="false">
      <c r="A95" s="62" t="n">
        <f aca="false">A94+1</f>
        <v>88</v>
      </c>
      <c r="B95" s="63" t="str">
        <f aca="false">VLOOKUP(A95,BD_ORDENES!A:BG,12,FALSE())</f>
        <v>__export__.product_product_315490_7a292c60</v>
      </c>
      <c r="C95" s="64" t="n">
        <v>88</v>
      </c>
      <c r="D95" s="65" t="str">
        <f aca="false">VLOOKUP(A95,BD_ORDENES!A:BE,10,0)</f>
        <v>EXHIBICION TIENDA FABRICA</v>
      </c>
      <c r="E95" s="66" t="str">
        <f aca="false">VLOOKUP(A95,BD_ORDENES!A:BG,4,FALSE())</f>
        <v>TF072</v>
      </c>
      <c r="F95" s="66" t="str">
        <f aca="false">VLOOKUP(A95,BD_ORDENES!A:BE,56,FALSE())</f>
        <v>S269382</v>
      </c>
      <c r="G95" s="67" t="str">
        <f aca="false">VLOOKUP(A95,BD_ORDENES!A:BE,13,FALSE())</f>
        <v>MESA DE CENTRO ESCOCIA S BLANCO (MATIZ NATURAL)</v>
      </c>
      <c r="H95" s="68" t="str">
        <f aca="false">VLOOKUP(A95,BD_ORDENES!A:BE,17,FALSE())</f>
        <v>MESA-CENTRO</v>
      </c>
      <c r="I95" s="68" t="str">
        <f aca="false">VLOOKUP(A95,BD_ORDENES!A:BE,18,FALSE())</f>
        <v>ESCOCIA-S</v>
      </c>
      <c r="J95" s="68" t="n">
        <f aca="false">VLOOKUP(A95,BD_ORDENES!A:BE,19,FALSE())</f>
        <v>0</v>
      </c>
      <c r="K95" s="68" t="str">
        <f aca="false">VLOOKUP(A95,BD_ORDENES!A:BE,20,FALSE())</f>
        <v>BLANCO</v>
      </c>
      <c r="L95" s="68" t="str">
        <f aca="false">VLOOKUP(A95,BD_ORDENES!A:BE,21,FALSE())</f>
        <v>MATIZ-NATURAL</v>
      </c>
      <c r="M95" s="69" t="n">
        <f aca="false">VLOOKUP(A95,BD_ORDENES!A:BE,14,FALSE())</f>
        <v>1</v>
      </c>
      <c r="N95" s="68" t="n">
        <f aca="false">VLOOKUP(A95,BD_ORDENES!A:BE,15,FALSE())</f>
        <v>0</v>
      </c>
      <c r="O95" s="68" t="str">
        <f aca="false">VLOOKUP(A95,BD_ORDENES!A:BE,33,FALSE())</f>
        <v>RECOGE EN FABRICA</v>
      </c>
      <c r="P95" s="68" t="n">
        <f aca="false">VLOOKUP(A95,BD_ORDENES!A:BE,23,FALSE())</f>
        <v>0</v>
      </c>
      <c r="Q95" s="68" t="str">
        <f aca="false">VLOOKUP(A95,BD_ORDENES!A:BE,52,FALSE())</f>
        <v>Obtener Bajo Pedido (MTO)</v>
      </c>
      <c r="R95" s="68" t="str">
        <f aca="false">VLOOKUP(A95,BD_ORDENES!A:BE,25,FALSE())</f>
        <v>SORACA</v>
      </c>
      <c r="S95" s="68" t="str">
        <f aca="false">VLOOKUP(A95,BD_ORDENES!A:BE,22,FALSE())</f>
        <v>EXHIBICION TIENDA FABRICA</v>
      </c>
      <c r="T95" s="65" t="str">
        <f aca="false">VLOOKUP(A95,BD_ORDENES!A:BE,55,FALSE())</f>
        <v>PRODUCCION</v>
      </c>
      <c r="U95" s="68" t="str">
        <f aca="false">VLOOKUP(A95,BD_ORDENES!A:BE,57,FALSE())</f>
        <v>0 BODEGA</v>
      </c>
      <c r="V95" s="70"/>
      <c r="W95" s="71"/>
    </row>
    <row r="96" s="72" customFormat="true" ht="98.25" hidden="false" customHeight="true" outlineLevel="0" collapsed="false">
      <c r="A96" s="62" t="n">
        <f aca="false">A95+1</f>
        <v>89</v>
      </c>
      <c r="B96" s="63" t="str">
        <f aca="false">VLOOKUP(A96,BD_ORDENES!A:BG,12,FALSE())</f>
        <v>__export__.product_product_327342_538c0d3e</v>
      </c>
      <c r="C96" s="64" t="n">
        <v>89</v>
      </c>
      <c r="D96" s="65" t="str">
        <f aca="false">VLOOKUP(A96,BD_ORDENES!A:BE,10,0)</f>
        <v>EXHIBICION TIENDA FABRICA</v>
      </c>
      <c r="E96" s="66" t="str">
        <f aca="false">VLOOKUP(A96,BD_ORDENES!A:BG,4,FALSE())</f>
        <v>TF072</v>
      </c>
      <c r="F96" s="66" t="str">
        <f aca="false">VLOOKUP(A96,BD_ORDENES!A:BE,56,FALSE())</f>
        <v>S269382</v>
      </c>
      <c r="G96" s="67" t="str">
        <f aca="false">VLOOKUP(A96,BD_ORDENES!A:BE,13,FALSE())</f>
        <v>SILLA TOKYO SKY PLATA (METALICA LISO NEGRO)</v>
      </c>
      <c r="H96" s="68" t="str">
        <f aca="false">VLOOKUP(A96,BD_ORDENES!A:BE,17,FALSE())</f>
        <v>SILLA</v>
      </c>
      <c r="I96" s="68" t="str">
        <f aca="false">VLOOKUP(A96,BD_ORDENES!A:BE,18,FALSE())</f>
        <v>TOKYO</v>
      </c>
      <c r="J96" s="68" t="str">
        <f aca="false">VLOOKUP(A96,BD_ORDENES!A:BE,19,FALSE())</f>
        <v>SKY</v>
      </c>
      <c r="K96" s="68" t="str">
        <f aca="false">VLOOKUP(A96,BD_ORDENES!A:BE,20,FALSE())</f>
        <v>PLATA</v>
      </c>
      <c r="L96" s="68" t="str">
        <f aca="false">VLOOKUP(A96,BD_ORDENES!A:BE,21,FALSE())</f>
        <v>METALICO-NEGRO</v>
      </c>
      <c r="M96" s="69" t="n">
        <f aca="false">VLOOKUP(A96,BD_ORDENES!A:BE,14,FALSE())</f>
        <v>2</v>
      </c>
      <c r="N96" s="68" t="n">
        <f aca="false">VLOOKUP(A96,BD_ORDENES!A:BE,15,FALSE())</f>
        <v>0</v>
      </c>
      <c r="O96" s="68" t="str">
        <f aca="false">VLOOKUP(A96,BD_ORDENES!A:BE,33,FALSE())</f>
        <v>RECOGE EN FABRICA</v>
      </c>
      <c r="P96" s="68" t="n">
        <f aca="false">VLOOKUP(A96,BD_ORDENES!A:BE,23,FALSE())</f>
        <v>0</v>
      </c>
      <c r="Q96" s="68" t="str">
        <f aca="false">VLOOKUP(A96,BD_ORDENES!A:BE,52,FALSE())</f>
        <v>Obtener Bajo Pedido (MTO)</v>
      </c>
      <c r="R96" s="68" t="str">
        <f aca="false">VLOOKUP(A96,BD_ORDENES!A:BE,25,FALSE())</f>
        <v>SORACA</v>
      </c>
      <c r="S96" s="68" t="str">
        <f aca="false">VLOOKUP(A96,BD_ORDENES!A:BE,22,FALSE())</f>
        <v>EXHIBICION TIENDA FABRICA</v>
      </c>
      <c r="T96" s="65" t="str">
        <f aca="false">VLOOKUP(A96,BD_ORDENES!A:BE,55,FALSE())</f>
        <v>PRODUCCION</v>
      </c>
      <c r="U96" s="68" t="str">
        <f aca="false">VLOOKUP(A96,BD_ORDENES!A:BE,57,FALSE())</f>
        <v>0 BODEGA</v>
      </c>
      <c r="V96" s="70"/>
      <c r="W96" s="71"/>
    </row>
    <row r="97" s="72" customFormat="true" ht="98.25" hidden="false" customHeight="true" outlineLevel="0" collapsed="false">
      <c r="A97" s="62" t="n">
        <f aca="false">A96+1</f>
        <v>90</v>
      </c>
      <c r="B97" s="63" t="str">
        <f aca="false">VLOOKUP(A97,BD_ORDENES!A:BG,12,FALSE())</f>
        <v>__export__.product_product_206463_3dc78ddb</v>
      </c>
      <c r="C97" s="64" t="n">
        <v>90</v>
      </c>
      <c r="D97" s="65" t="str">
        <f aca="false">VLOOKUP(A97,BD_ORDENES!A:BE,10,0)</f>
        <v>EXHIBICION TIENDA FABRICA</v>
      </c>
      <c r="E97" s="66" t="str">
        <f aca="false">VLOOKUP(A97,BD_ORDENES!A:BG,4,FALSE())</f>
        <v>TF072</v>
      </c>
      <c r="F97" s="66" t="str">
        <f aca="false">VLOOKUP(A97,BD_ORDENES!A:BE,56,FALSE())</f>
        <v>S269382</v>
      </c>
      <c r="G97" s="67" t="str">
        <f aca="false">VLOOKUP(A97,BD_ORDENES!A:BE,13,FALSE())</f>
        <v>MESA DE CENTRO DAMASCO S DUNA (NEGRO)</v>
      </c>
      <c r="H97" s="68" t="str">
        <f aca="false">VLOOKUP(A97,BD_ORDENES!A:BE,17,FALSE())</f>
        <v>MESA-CENTRO</v>
      </c>
      <c r="I97" s="68" t="str">
        <f aca="false">VLOOKUP(A97,BD_ORDENES!A:BE,18,FALSE())</f>
        <v>DAMASCO-S</v>
      </c>
      <c r="J97" s="68" t="n">
        <f aca="false">VLOOKUP(A97,BD_ORDENES!A:BE,19,FALSE())</f>
        <v>0</v>
      </c>
      <c r="K97" s="68" t="str">
        <f aca="false">VLOOKUP(A97,BD_ORDENES!A:BE,20,FALSE())</f>
        <v>DUNA</v>
      </c>
      <c r="L97" s="68" t="str">
        <f aca="false">VLOOKUP(A97,BD_ORDENES!A:BE,21,FALSE())</f>
        <v>METALICO-NEGRO</v>
      </c>
      <c r="M97" s="69" t="n">
        <f aca="false">VLOOKUP(A97,BD_ORDENES!A:BE,14,FALSE())</f>
        <v>1</v>
      </c>
      <c r="N97" s="68" t="n">
        <f aca="false">VLOOKUP(A97,BD_ORDENES!A:BE,15,FALSE())</f>
        <v>0</v>
      </c>
      <c r="O97" s="68" t="str">
        <f aca="false">VLOOKUP(A97,BD_ORDENES!A:BE,33,FALSE())</f>
        <v>RECOGE EN FABRICA</v>
      </c>
      <c r="P97" s="68" t="n">
        <f aca="false">VLOOKUP(A97,BD_ORDENES!A:BE,23,FALSE())</f>
        <v>0</v>
      </c>
      <c r="Q97" s="68" t="str">
        <f aca="false">VLOOKUP(A97,BD_ORDENES!A:BE,52,FALSE())</f>
        <v>Obtener Bajo Pedido (MTO)</v>
      </c>
      <c r="R97" s="68" t="str">
        <f aca="false">VLOOKUP(A97,BD_ORDENES!A:BE,25,FALSE())</f>
        <v>SORACA</v>
      </c>
      <c r="S97" s="68" t="str">
        <f aca="false">VLOOKUP(A97,BD_ORDENES!A:BE,22,FALSE())</f>
        <v>EXHIBICION TIENDA FABRICA</v>
      </c>
      <c r="T97" s="65" t="str">
        <f aca="false">VLOOKUP(A97,BD_ORDENES!A:BE,55,FALSE())</f>
        <v>PRODUCCION</v>
      </c>
      <c r="U97" s="68" t="str">
        <f aca="false">VLOOKUP(A97,BD_ORDENES!A:BE,57,FALSE())</f>
        <v>0 BODEGA</v>
      </c>
      <c r="V97" s="70"/>
      <c r="W97" s="71"/>
    </row>
    <row r="98" s="72" customFormat="true" ht="98.25" hidden="false" customHeight="true" outlineLevel="0" collapsed="false">
      <c r="A98" s="62" t="n">
        <f aca="false">A97+1</f>
        <v>91</v>
      </c>
      <c r="B98" s="63" t="str">
        <f aca="false">VLOOKUP(A98,BD_ORDENES!A:BG,12,FALSE())</f>
        <v>__export__.product_product_326272_5c63a50d</v>
      </c>
      <c r="C98" s="64" t="n">
        <v>91</v>
      </c>
      <c r="D98" s="65" t="str">
        <f aca="false">VLOOKUP(A98,BD_ORDENES!A:BE,10,0)</f>
        <v>EXHIBICION TIENDA FABRICA</v>
      </c>
      <c r="E98" s="66" t="str">
        <f aca="false">VLOOKUP(A98,BD_ORDENES!A:BG,4,FALSE())</f>
        <v>TF072</v>
      </c>
      <c r="F98" s="66" t="str">
        <f aca="false">VLOOKUP(A98,BD_ORDENES!A:BE,56,FALSE())</f>
        <v>S269382</v>
      </c>
      <c r="G98" s="67" t="str">
        <f aca="false">VLOOKUP(A98,BD_ORDENES!A:BE,13,FALSE())</f>
        <v>MESA DE CENTRO PIERRE BLANCO-MACULA</v>
      </c>
      <c r="H98" s="68" t="str">
        <f aca="false">VLOOKUP(A98,BD_ORDENES!A:BE,17,FALSE())</f>
        <v>MESA-CENTRO</v>
      </c>
      <c r="I98" s="68" t="str">
        <f aca="false">VLOOKUP(A98,BD_ORDENES!A:BE,18,FALSE())</f>
        <v>PIERRE</v>
      </c>
      <c r="J98" s="68" t="n">
        <f aca="false">VLOOKUP(A98,BD_ORDENES!A:BE,19,FALSE())</f>
        <v>0</v>
      </c>
      <c r="K98" s="68" t="str">
        <f aca="false">VLOOKUP(A98,BD_ORDENES!A:BE,20,FALSE())</f>
        <v>BLANCO-MACULA</v>
      </c>
      <c r="L98" s="68" t="n">
        <f aca="false">VLOOKUP(A98,BD_ORDENES!A:BE,21,FALSE())</f>
        <v>0</v>
      </c>
      <c r="M98" s="69" t="n">
        <f aca="false">VLOOKUP(A98,BD_ORDENES!A:BE,14,FALSE())</f>
        <v>1</v>
      </c>
      <c r="N98" s="68" t="n">
        <f aca="false">VLOOKUP(A98,BD_ORDENES!A:BE,15,FALSE())</f>
        <v>0</v>
      </c>
      <c r="O98" s="68" t="str">
        <f aca="false">VLOOKUP(A98,BD_ORDENES!A:BE,33,FALSE())</f>
        <v>RECOGE EN FABRICA</v>
      </c>
      <c r="P98" s="68" t="n">
        <f aca="false">VLOOKUP(A98,BD_ORDENES!A:BE,23,FALSE())</f>
        <v>0</v>
      </c>
      <c r="Q98" s="68" t="str">
        <f aca="false">VLOOKUP(A98,BD_ORDENES!A:BE,52,FALSE())</f>
        <v>Obtener Bajo Pedido (MTO)</v>
      </c>
      <c r="R98" s="68" t="str">
        <f aca="false">VLOOKUP(A98,BD_ORDENES!A:BE,25,FALSE())</f>
        <v>SORACA</v>
      </c>
      <c r="S98" s="68" t="str">
        <f aca="false">VLOOKUP(A98,BD_ORDENES!A:BE,22,FALSE())</f>
        <v>EXHIBICION TIENDA FABRICA</v>
      </c>
      <c r="T98" s="65" t="str">
        <f aca="false">VLOOKUP(A98,BD_ORDENES!A:BE,55,FALSE())</f>
        <v>PRODUCCION</v>
      </c>
      <c r="U98" s="68" t="str">
        <f aca="false">VLOOKUP(A98,BD_ORDENES!A:BE,57,FALSE())</f>
        <v>0 BODEGA</v>
      </c>
      <c r="V98" s="70"/>
      <c r="W98" s="71"/>
    </row>
    <row r="99" s="72" customFormat="true" ht="98.25" hidden="false" customHeight="true" outlineLevel="0" collapsed="false">
      <c r="A99" s="62" t="n">
        <f aca="false">A98+1</f>
        <v>92</v>
      </c>
      <c r="B99" s="63" t="str">
        <f aca="false">VLOOKUP(A99,BD_ORDENES!A:BG,12,FALSE())</f>
        <v>__export__.product_product_321402_f0fa4c47</v>
      </c>
      <c r="C99" s="64" t="n">
        <v>92</v>
      </c>
      <c r="D99" s="65" t="str">
        <f aca="false">VLOOKUP(A99,BD_ORDENES!A:BE,10,0)</f>
        <v>EXHIBICION TIENDA FABRICA</v>
      </c>
      <c r="E99" s="66" t="str">
        <f aca="false">VLOOKUP(A99,BD_ORDENES!A:BG,4,FALSE())</f>
        <v>TF072</v>
      </c>
      <c r="F99" s="66" t="str">
        <f aca="false">VLOOKUP(A99,BD_ORDENES!A:BE,56,FALSE())</f>
        <v>S269382</v>
      </c>
      <c r="G99" s="67" t="str">
        <f aca="false">VLOOKUP(A99,BD_ORDENES!A:BE,13,FALSE())</f>
        <v>MESA DE CENTRO MONTREAL GRANDE BLANCO</v>
      </c>
      <c r="H99" s="68" t="str">
        <f aca="false">VLOOKUP(A99,BD_ORDENES!A:BE,17,FALSE())</f>
        <v>MESA-CENTRO</v>
      </c>
      <c r="I99" s="68" t="str">
        <f aca="false">VLOOKUP(A99,BD_ORDENES!A:BE,18,FALSE())</f>
        <v>MONTREAL-GRANDE</v>
      </c>
      <c r="J99" s="68" t="n">
        <f aca="false">VLOOKUP(A99,BD_ORDENES!A:BE,19,FALSE())</f>
        <v>0</v>
      </c>
      <c r="K99" s="68" t="str">
        <f aca="false">VLOOKUP(A99,BD_ORDENES!A:BE,20,FALSE())</f>
        <v>BLANCO</v>
      </c>
      <c r="L99" s="68" t="n">
        <f aca="false">VLOOKUP(A99,BD_ORDENES!A:BE,21,FALSE())</f>
        <v>0</v>
      </c>
      <c r="M99" s="69" t="n">
        <f aca="false">VLOOKUP(A99,BD_ORDENES!A:BE,14,FALSE())</f>
        <v>1</v>
      </c>
      <c r="N99" s="68" t="n">
        <f aca="false">VLOOKUP(A99,BD_ORDENES!A:BE,15,FALSE())</f>
        <v>0</v>
      </c>
      <c r="O99" s="68" t="str">
        <f aca="false">VLOOKUP(A99,BD_ORDENES!A:BE,33,FALSE())</f>
        <v>RECOGE EN FABRICA</v>
      </c>
      <c r="P99" s="68" t="n">
        <f aca="false">VLOOKUP(A99,BD_ORDENES!A:BE,23,FALSE())</f>
        <v>0</v>
      </c>
      <c r="Q99" s="68" t="str">
        <f aca="false">VLOOKUP(A99,BD_ORDENES!A:BE,52,FALSE())</f>
        <v>Obtener Bajo Pedido (MTO)</v>
      </c>
      <c r="R99" s="68" t="str">
        <f aca="false">VLOOKUP(A99,BD_ORDENES!A:BE,25,FALSE())</f>
        <v>SORACA</v>
      </c>
      <c r="S99" s="68" t="str">
        <f aca="false">VLOOKUP(A99,BD_ORDENES!A:BE,22,FALSE())</f>
        <v>EXHIBICION TIENDA FABRICA</v>
      </c>
      <c r="T99" s="65" t="str">
        <f aca="false">VLOOKUP(A99,BD_ORDENES!A:BE,55,FALSE())</f>
        <v>PRODUCCION</v>
      </c>
      <c r="U99" s="68" t="str">
        <f aca="false">VLOOKUP(A99,BD_ORDENES!A:BE,57,FALSE())</f>
        <v>0 BODEGA</v>
      </c>
      <c r="V99" s="70"/>
      <c r="W99" s="71"/>
    </row>
    <row r="100" s="72" customFormat="true" ht="98.25" hidden="false" customHeight="true" outlineLevel="0" collapsed="false">
      <c r="A100" s="62" t="n">
        <f aca="false">A99+1</f>
        <v>93</v>
      </c>
      <c r="B100" s="63" t="str">
        <f aca="false">VLOOKUP(A100,BD_ORDENES!A:BG,12,FALSE())</f>
        <v>__export__.product_product_188046_6388469c</v>
      </c>
      <c r="C100" s="64" t="n">
        <v>93</v>
      </c>
      <c r="D100" s="65" t="str">
        <f aca="false">VLOOKUP(A100,BD_ORDENES!A:BE,10,0)</f>
        <v>EXHIBICION TIENDA FABRICA</v>
      </c>
      <c r="E100" s="66" t="str">
        <f aca="false">VLOOKUP(A100,BD_ORDENES!A:BG,4,FALSE())</f>
        <v>TF072</v>
      </c>
      <c r="F100" s="66" t="str">
        <f aca="false">VLOOKUP(A100,BD_ORDENES!A:BE,56,FALSE())</f>
        <v>S269382</v>
      </c>
      <c r="G100" s="67" t="str">
        <f aca="false">VLOOKUP(A100,BD_ORDENES!A:BE,13,FALSE())</f>
        <v>MESA DE CENTRO MONTREAL PEQUEÑA DUNA</v>
      </c>
      <c r="H100" s="68" t="str">
        <f aca="false">VLOOKUP(A100,BD_ORDENES!A:BE,17,FALSE())</f>
        <v>MESA-CENTRO</v>
      </c>
      <c r="I100" s="68" t="str">
        <f aca="false">VLOOKUP(A100,BD_ORDENES!A:BE,18,FALSE())</f>
        <v>MONTREAL-PEQUEÑA</v>
      </c>
      <c r="J100" s="68" t="n">
        <f aca="false">VLOOKUP(A100,BD_ORDENES!A:BE,19,FALSE())</f>
        <v>0</v>
      </c>
      <c r="K100" s="68" t="str">
        <f aca="false">VLOOKUP(A100,BD_ORDENES!A:BE,20,FALSE())</f>
        <v>DUNA</v>
      </c>
      <c r="L100" s="68" t="n">
        <f aca="false">VLOOKUP(A100,BD_ORDENES!A:BE,21,FALSE())</f>
        <v>0</v>
      </c>
      <c r="M100" s="69" t="n">
        <f aca="false">VLOOKUP(A100,BD_ORDENES!A:BE,14,FALSE())</f>
        <v>1</v>
      </c>
      <c r="N100" s="68" t="n">
        <f aca="false">VLOOKUP(A100,BD_ORDENES!A:BE,15,FALSE())</f>
        <v>0</v>
      </c>
      <c r="O100" s="68" t="str">
        <f aca="false">VLOOKUP(A100,BD_ORDENES!A:BE,33,FALSE())</f>
        <v>RECOGE EN FABRICA</v>
      </c>
      <c r="P100" s="68" t="n">
        <f aca="false">VLOOKUP(A100,BD_ORDENES!A:BE,23,FALSE())</f>
        <v>0</v>
      </c>
      <c r="Q100" s="68" t="str">
        <f aca="false">VLOOKUP(A100,BD_ORDENES!A:BE,52,FALSE())</f>
        <v>Obtener Bajo Pedido (MTO)</v>
      </c>
      <c r="R100" s="68" t="str">
        <f aca="false">VLOOKUP(A100,BD_ORDENES!A:BE,25,FALSE())</f>
        <v>SORACA</v>
      </c>
      <c r="S100" s="68" t="str">
        <f aca="false">VLOOKUP(A100,BD_ORDENES!A:BE,22,FALSE())</f>
        <v>EXHIBICION TIENDA FABRICA</v>
      </c>
      <c r="T100" s="65" t="str">
        <f aca="false">VLOOKUP(A100,BD_ORDENES!A:BE,55,FALSE())</f>
        <v>PRODUCCION</v>
      </c>
      <c r="U100" s="68" t="str">
        <f aca="false">VLOOKUP(A100,BD_ORDENES!A:BE,57,FALSE())</f>
        <v>0 BODEGA</v>
      </c>
      <c r="V100" s="70"/>
      <c r="W100" s="71"/>
    </row>
    <row r="101" s="72" customFormat="true" ht="98.25" hidden="false" customHeight="true" outlineLevel="0" collapsed="false">
      <c r="A101" s="62" t="n">
        <f aca="false">A100+1</f>
        <v>94</v>
      </c>
      <c r="B101" s="63" t="str">
        <f aca="false">VLOOKUP(A101,BD_ORDENES!A:BG,12,FALSE())</f>
        <v>__export__.product_product_327472_f7c688df</v>
      </c>
      <c r="C101" s="64" t="n">
        <v>94</v>
      </c>
      <c r="D101" s="65" t="str">
        <f aca="false">VLOOKUP(A101,BD_ORDENES!A:BE,10,0)</f>
        <v>EXHIBICION TIENDA FABRICA</v>
      </c>
      <c r="E101" s="66" t="str">
        <f aca="false">VLOOKUP(A101,BD_ORDENES!A:BG,4,FALSE())</f>
        <v>TF072</v>
      </c>
      <c r="F101" s="66" t="str">
        <f aca="false">VLOOKUP(A101,BD_ORDENES!A:BE,56,FALSE())</f>
        <v>S269382</v>
      </c>
      <c r="G101" s="67" t="str">
        <f aca="false">VLOOKUP(A101,BD_ORDENES!A:BE,13,FALSE())</f>
        <v>MESA NARA JG4 MACULA (MATIZ CAOBA)</v>
      </c>
      <c r="H101" s="68" t="str">
        <f aca="false">VLOOKUP(A101,BD_ORDENES!A:BE,17,FALSE())</f>
        <v>MESA</v>
      </c>
      <c r="I101" s="68" t="str">
        <f aca="false">VLOOKUP(A101,BD_ORDENES!A:BE,18,FALSE())</f>
        <v>NARA-JG4</v>
      </c>
      <c r="J101" s="68" t="n">
        <f aca="false">VLOOKUP(A101,BD_ORDENES!A:BE,19,FALSE())</f>
        <v>0</v>
      </c>
      <c r="K101" s="68" t="str">
        <f aca="false">VLOOKUP(A101,BD_ORDENES!A:BE,20,FALSE())</f>
        <v>MACULA</v>
      </c>
      <c r="L101" s="68" t="str">
        <f aca="false">VLOOKUP(A101,BD_ORDENES!A:BE,21,FALSE())</f>
        <v>MATIZ-CAOBA</v>
      </c>
      <c r="M101" s="69" t="n">
        <f aca="false">VLOOKUP(A101,BD_ORDENES!A:BE,14,FALSE())</f>
        <v>1</v>
      </c>
      <c r="N101" s="68" t="n">
        <f aca="false">VLOOKUP(A101,BD_ORDENES!A:BE,15,FALSE())</f>
        <v>0</v>
      </c>
      <c r="O101" s="68" t="str">
        <f aca="false">VLOOKUP(A101,BD_ORDENES!A:BE,33,FALSE())</f>
        <v>RECOGE EN FABRICA</v>
      </c>
      <c r="P101" s="68" t="n">
        <f aca="false">VLOOKUP(A101,BD_ORDENES!A:BE,23,FALSE())</f>
        <v>0</v>
      </c>
      <c r="Q101" s="68" t="str">
        <f aca="false">VLOOKUP(A101,BD_ORDENES!A:BE,52,FALSE())</f>
        <v>Obtener Bajo Pedido (MTO)</v>
      </c>
      <c r="R101" s="68" t="str">
        <f aca="false">VLOOKUP(A101,BD_ORDENES!A:BE,25,FALSE())</f>
        <v>SORACA</v>
      </c>
      <c r="S101" s="68" t="str">
        <f aca="false">VLOOKUP(A101,BD_ORDENES!A:BE,22,FALSE())</f>
        <v>EXHIBICION TIENDA FABRICA</v>
      </c>
      <c r="T101" s="65" t="str">
        <f aca="false">VLOOKUP(A101,BD_ORDENES!A:BE,55,FALSE())</f>
        <v>PRODUCCION</v>
      </c>
      <c r="U101" s="68" t="str">
        <f aca="false">VLOOKUP(A101,BD_ORDENES!A:BE,57,FALSE())</f>
        <v>0 BODEGA</v>
      </c>
      <c r="V101" s="70"/>
      <c r="W101" s="71"/>
    </row>
    <row r="102" s="72" customFormat="true" ht="98.25" hidden="false" customHeight="true" outlineLevel="0" collapsed="false">
      <c r="A102" s="62" t="n">
        <f aca="false">A101+1</f>
        <v>95</v>
      </c>
      <c r="B102" s="63" t="str">
        <f aca="false">VLOOKUP(A102,BD_ORDENES!A:BG,12,FALSE())</f>
        <v>__export__.product_product_327023_e9c45b6b</v>
      </c>
      <c r="C102" s="64" t="n">
        <v>95</v>
      </c>
      <c r="D102" s="65" t="str">
        <f aca="false">VLOOKUP(A102,BD_ORDENES!A:BE,10,0)</f>
        <v>EXHIBICION TIENDA FABRICA</v>
      </c>
      <c r="E102" s="66" t="str">
        <f aca="false">VLOOKUP(A102,BD_ORDENES!A:BG,4,FALSE())</f>
        <v>TF072</v>
      </c>
      <c r="F102" s="66" t="str">
        <f aca="false">VLOOKUP(A102,BD_ORDENES!A:BE,56,FALSE())</f>
        <v>S269382</v>
      </c>
      <c r="G102" s="67" t="str">
        <f aca="false">VLOOKUP(A102,BD_ORDENES!A:BE,13,FALSE())</f>
        <v>SILLA NOTO DENVER GRIS (MATIZ CAOBA)</v>
      </c>
      <c r="H102" s="68" t="str">
        <f aca="false">VLOOKUP(A102,BD_ORDENES!A:BE,17,FALSE())</f>
        <v>SILLA</v>
      </c>
      <c r="I102" s="68" t="str">
        <f aca="false">VLOOKUP(A102,BD_ORDENES!A:BE,18,FALSE())</f>
        <v>NOTO</v>
      </c>
      <c r="J102" s="68" t="str">
        <f aca="false">VLOOKUP(A102,BD_ORDENES!A:BE,19,FALSE())</f>
        <v>DENVER</v>
      </c>
      <c r="K102" s="68" t="str">
        <f aca="false">VLOOKUP(A102,BD_ORDENES!A:BE,20,FALSE())</f>
        <v>GRIS</v>
      </c>
      <c r="L102" s="68" t="str">
        <f aca="false">VLOOKUP(A102,BD_ORDENES!A:BE,21,FALSE())</f>
        <v>MATIZ-CAOBA</v>
      </c>
      <c r="M102" s="69" t="n">
        <f aca="false">VLOOKUP(A102,BD_ORDENES!A:BE,14,FALSE())</f>
        <v>2</v>
      </c>
      <c r="N102" s="68" t="n">
        <f aca="false">VLOOKUP(A102,BD_ORDENES!A:BE,15,FALSE())</f>
        <v>0</v>
      </c>
      <c r="O102" s="68" t="str">
        <f aca="false">VLOOKUP(A102,BD_ORDENES!A:BE,33,FALSE())</f>
        <v>RECOGE EN FABRICA</v>
      </c>
      <c r="P102" s="68" t="n">
        <f aca="false">VLOOKUP(A102,BD_ORDENES!A:BE,23,FALSE())</f>
        <v>0</v>
      </c>
      <c r="Q102" s="68" t="str">
        <f aca="false">VLOOKUP(A102,BD_ORDENES!A:BE,52,FALSE())</f>
        <v>Obtener Bajo Pedido (MTO)</v>
      </c>
      <c r="R102" s="68" t="str">
        <f aca="false">VLOOKUP(A102,BD_ORDENES!A:BE,25,FALSE())</f>
        <v>SORACA</v>
      </c>
      <c r="S102" s="68" t="str">
        <f aca="false">VLOOKUP(A102,BD_ORDENES!A:BE,22,FALSE())</f>
        <v>EXHIBICION TIENDA FABRICA</v>
      </c>
      <c r="T102" s="65" t="str">
        <f aca="false">VLOOKUP(A102,BD_ORDENES!A:BE,55,FALSE())</f>
        <v>PRODUCCION</v>
      </c>
      <c r="U102" s="68" t="str">
        <f aca="false">VLOOKUP(A102,BD_ORDENES!A:BE,57,FALSE())</f>
        <v>0 BODEGA</v>
      </c>
      <c r="V102" s="70"/>
      <c r="W102" s="71"/>
    </row>
    <row r="103" s="72" customFormat="true" ht="98.25" hidden="false" customHeight="true" outlineLevel="0" collapsed="false">
      <c r="A103" s="62" t="n">
        <f aca="false">A102+1</f>
        <v>96</v>
      </c>
      <c r="B103" s="63" t="str">
        <f aca="false">VLOOKUP(A103,BD_ORDENES!A:BG,12,FALSE())</f>
        <v>__export__.product_product_318954_ff1c2dbc</v>
      </c>
      <c r="C103" s="64" t="n">
        <v>96</v>
      </c>
      <c r="D103" s="65" t="str">
        <f aca="false">VLOOKUP(A103,BD_ORDENES!A:BE,10,0)</f>
        <v>EXHIBICION TIENDA FABRICA</v>
      </c>
      <c r="E103" s="66" t="str">
        <f aca="false">VLOOKUP(A103,BD_ORDENES!A:BG,4,FALSE())</f>
        <v>TF072</v>
      </c>
      <c r="F103" s="66" t="str">
        <f aca="false">VLOOKUP(A103,BD_ORDENES!A:BE,56,FALSE())</f>
        <v>S269382</v>
      </c>
      <c r="G103" s="67" t="str">
        <f aca="false">VLOOKUP(A103,BD_ORDENES!A:BE,13,FALSE())</f>
        <v>BUTACO LIVERPOOL DENVER MOSTAZA (MATIZ CAOBA)</v>
      </c>
      <c r="H103" s="68" t="str">
        <f aca="false">VLOOKUP(A103,BD_ORDENES!A:BE,17,FALSE())</f>
        <v>BUTACO</v>
      </c>
      <c r="I103" s="68" t="str">
        <f aca="false">VLOOKUP(A103,BD_ORDENES!A:BE,18,FALSE())</f>
        <v>LIVERPOOL</v>
      </c>
      <c r="J103" s="68" t="str">
        <f aca="false">VLOOKUP(A103,BD_ORDENES!A:BE,19,FALSE())</f>
        <v>DENVER</v>
      </c>
      <c r="K103" s="68" t="str">
        <f aca="false">VLOOKUP(A103,BD_ORDENES!A:BE,20,FALSE())</f>
        <v>MOSTAZA</v>
      </c>
      <c r="L103" s="68" t="str">
        <f aca="false">VLOOKUP(A103,BD_ORDENES!A:BE,21,FALSE())</f>
        <v>MATIZ-CAOBA</v>
      </c>
      <c r="M103" s="69" t="n">
        <f aca="false">VLOOKUP(A103,BD_ORDENES!A:BE,14,FALSE())</f>
        <v>1</v>
      </c>
      <c r="N103" s="68" t="n">
        <f aca="false">VLOOKUP(A103,BD_ORDENES!A:BE,15,FALSE())</f>
        <v>0</v>
      </c>
      <c r="O103" s="68" t="str">
        <f aca="false">VLOOKUP(A103,BD_ORDENES!A:BE,33,FALSE())</f>
        <v>RECOGE EN FABRICA</v>
      </c>
      <c r="P103" s="68" t="n">
        <f aca="false">VLOOKUP(A103,BD_ORDENES!A:BE,23,FALSE())</f>
        <v>0</v>
      </c>
      <c r="Q103" s="68" t="str">
        <f aca="false">VLOOKUP(A103,BD_ORDENES!A:BE,52,FALSE())</f>
        <v>Obtener Bajo Pedido (MTO)</v>
      </c>
      <c r="R103" s="68" t="str">
        <f aca="false">VLOOKUP(A103,BD_ORDENES!A:BE,25,FALSE())</f>
        <v>SORACA</v>
      </c>
      <c r="S103" s="68" t="str">
        <f aca="false">VLOOKUP(A103,BD_ORDENES!A:BE,22,FALSE())</f>
        <v>EXHIBICION TIENDA FABRICA</v>
      </c>
      <c r="T103" s="65" t="str">
        <f aca="false">VLOOKUP(A103,BD_ORDENES!A:BE,55,FALSE())</f>
        <v>PRODUCCION</v>
      </c>
      <c r="U103" s="68" t="str">
        <f aca="false">VLOOKUP(A103,BD_ORDENES!A:BE,57,FALSE())</f>
        <v>0 BODEGA</v>
      </c>
      <c r="V103" s="70"/>
      <c r="W103" s="71"/>
    </row>
    <row r="104" s="72" customFormat="true" ht="98.25" hidden="false" customHeight="true" outlineLevel="0" collapsed="false">
      <c r="A104" s="62" t="n">
        <f aca="false">A103+1</f>
        <v>97</v>
      </c>
      <c r="B104" s="63" t="str">
        <f aca="false">VLOOKUP(A104,BD_ORDENES!A:BG,12,FALSE())</f>
        <v>__export__.product_product_299568_45c19dca</v>
      </c>
      <c r="C104" s="64" t="n">
        <v>97</v>
      </c>
      <c r="D104" s="65" t="str">
        <f aca="false">VLOOKUP(A104,BD_ORDENES!A:BE,10,0)</f>
        <v>EXHIBICION TIENDA FABRICA</v>
      </c>
      <c r="E104" s="66" t="str">
        <f aca="false">VLOOKUP(A104,BD_ORDENES!A:BG,4,FALSE())</f>
        <v>TF072</v>
      </c>
      <c r="F104" s="66" t="str">
        <f aca="false">VLOOKUP(A104,BD_ORDENES!A:BE,56,FALSE())</f>
        <v>S269382</v>
      </c>
      <c r="G104" s="67" t="str">
        <f aca="false">VLOOKUP(A104,BD_ORDENES!A:BE,13,FALSE())</f>
        <v>SILLA SIDNEY BLANCO (MATIZ NATURAL)</v>
      </c>
      <c r="H104" s="68" t="str">
        <f aca="false">VLOOKUP(A104,BD_ORDENES!A:BE,17,FALSE())</f>
        <v>SILLA-MADERA</v>
      </c>
      <c r="I104" s="68" t="str">
        <f aca="false">VLOOKUP(A104,BD_ORDENES!A:BE,18,FALSE())</f>
        <v>SIDNEY</v>
      </c>
      <c r="J104" s="68" t="n">
        <f aca="false">VLOOKUP(A104,BD_ORDENES!A:BE,19,FALSE())</f>
        <v>0</v>
      </c>
      <c r="K104" s="68" t="str">
        <f aca="false">VLOOKUP(A104,BD_ORDENES!A:BE,20,FALSE())</f>
        <v>BLANCO</v>
      </c>
      <c r="L104" s="68" t="str">
        <f aca="false">VLOOKUP(A104,BD_ORDENES!A:BE,21,FALSE())</f>
        <v>MATIZ-NATURAL</v>
      </c>
      <c r="M104" s="69" t="n">
        <f aca="false">VLOOKUP(A104,BD_ORDENES!A:BE,14,FALSE())</f>
        <v>1</v>
      </c>
      <c r="N104" s="68" t="n">
        <f aca="false">VLOOKUP(A104,BD_ORDENES!A:BE,15,FALSE())</f>
        <v>0</v>
      </c>
      <c r="O104" s="68" t="str">
        <f aca="false">VLOOKUP(A104,BD_ORDENES!A:BE,33,FALSE())</f>
        <v>RECOGE EN FABRICA</v>
      </c>
      <c r="P104" s="68" t="n">
        <f aca="false">VLOOKUP(A104,BD_ORDENES!A:BE,23,FALSE())</f>
        <v>0</v>
      </c>
      <c r="Q104" s="68" t="str">
        <f aca="false">VLOOKUP(A104,BD_ORDENES!A:BE,52,FALSE())</f>
        <v>Obtener Bajo Pedido (MTO)</v>
      </c>
      <c r="R104" s="68" t="str">
        <f aca="false">VLOOKUP(A104,BD_ORDENES!A:BE,25,FALSE())</f>
        <v>SORACA</v>
      </c>
      <c r="S104" s="68" t="str">
        <f aca="false">VLOOKUP(A104,BD_ORDENES!A:BE,22,FALSE())</f>
        <v>EXHIBICION TIENDA FABRICA</v>
      </c>
      <c r="T104" s="65" t="str">
        <f aca="false">VLOOKUP(A104,BD_ORDENES!A:BE,55,FALSE())</f>
        <v>PRODUCCION</v>
      </c>
      <c r="U104" s="68" t="str">
        <f aca="false">VLOOKUP(A104,BD_ORDENES!A:BE,57,FALSE())</f>
        <v>0 BODEGA</v>
      </c>
      <c r="V104" s="70"/>
      <c r="W104" s="71"/>
    </row>
    <row r="105" s="72" customFormat="true" ht="98.25" hidden="false" customHeight="true" outlineLevel="0" collapsed="false">
      <c r="A105" s="62" t="n">
        <f aca="false">A104+1</f>
        <v>98</v>
      </c>
      <c r="B105" s="63" t="str">
        <f aca="false">VLOOKUP(A105,BD_ORDENES!A:BG,12,FALSE())</f>
        <v>__export__.product_product_177470_3df9c58f</v>
      </c>
      <c r="C105" s="64" t="n">
        <v>98</v>
      </c>
      <c r="D105" s="65" t="str">
        <f aca="false">VLOOKUP(A105,BD_ORDENES!A:BE,10,0)</f>
        <v>EXHIBICION TIENDA FABRICA</v>
      </c>
      <c r="E105" s="66" t="str">
        <f aca="false">VLOOKUP(A105,BD_ORDENES!A:BG,4,FALSE())</f>
        <v>TF072</v>
      </c>
      <c r="F105" s="66" t="str">
        <f aca="false">VLOOKUP(A105,BD_ORDENES!A:BE,56,FALSE())</f>
        <v>S269382</v>
      </c>
      <c r="G105" s="67" t="str">
        <f aca="false">VLOOKUP(A105,BD_ORDENES!A:BE,13,FALSE())</f>
        <v>POLTRONA LISBOA DICOSTA SALMON (MATIZ NATURAL)</v>
      </c>
      <c r="H105" s="68" t="str">
        <f aca="false">VLOOKUP(A105,BD_ORDENES!A:BE,17,FALSE())</f>
        <v>POLTRONA</v>
      </c>
      <c r="I105" s="68" t="str">
        <f aca="false">VLOOKUP(A105,BD_ORDENES!A:BE,18,FALSE())</f>
        <v>LISBOA</v>
      </c>
      <c r="J105" s="68" t="str">
        <f aca="false">VLOOKUP(A105,BD_ORDENES!A:BE,19,FALSE())</f>
        <v>DICOSTA</v>
      </c>
      <c r="K105" s="68" t="str">
        <f aca="false">VLOOKUP(A105,BD_ORDENES!A:BE,20,FALSE())</f>
        <v>SALMON</v>
      </c>
      <c r="L105" s="68" t="str">
        <f aca="false">VLOOKUP(A105,BD_ORDENES!A:BE,21,FALSE())</f>
        <v>MATIZ-NATURAL</v>
      </c>
      <c r="M105" s="69" t="n">
        <f aca="false">VLOOKUP(A105,BD_ORDENES!A:BE,14,FALSE())</f>
        <v>1</v>
      </c>
      <c r="N105" s="68" t="n">
        <f aca="false">VLOOKUP(A105,BD_ORDENES!A:BE,15,FALSE())</f>
        <v>0</v>
      </c>
      <c r="O105" s="68" t="str">
        <f aca="false">VLOOKUP(A105,BD_ORDENES!A:BE,33,FALSE())</f>
        <v>RECOGE EN FABRICA</v>
      </c>
      <c r="P105" s="68" t="n">
        <f aca="false">VLOOKUP(A105,BD_ORDENES!A:BE,23,FALSE())</f>
        <v>0</v>
      </c>
      <c r="Q105" s="68" t="str">
        <f aca="false">VLOOKUP(A105,BD_ORDENES!A:BE,52,FALSE())</f>
        <v>Obtener Bajo Pedido (MTO)</v>
      </c>
      <c r="R105" s="68" t="str">
        <f aca="false">VLOOKUP(A105,BD_ORDENES!A:BE,25,FALSE())</f>
        <v>SORACA</v>
      </c>
      <c r="S105" s="68" t="str">
        <f aca="false">VLOOKUP(A105,BD_ORDENES!A:BE,22,FALSE())</f>
        <v>EXHIBICION TIENDA FABRICA</v>
      </c>
      <c r="T105" s="65" t="str">
        <f aca="false">VLOOKUP(A105,BD_ORDENES!A:BE,55,FALSE())</f>
        <v>PRODUCCION</v>
      </c>
      <c r="U105" s="68" t="str">
        <f aca="false">VLOOKUP(A105,BD_ORDENES!A:BE,57,FALSE())</f>
        <v>0 BODEGA</v>
      </c>
      <c r="V105" s="70"/>
      <c r="W105" s="71"/>
    </row>
    <row r="106" s="72" customFormat="true" ht="98.25" hidden="false" customHeight="true" outlineLevel="0" collapsed="false">
      <c r="A106" s="62" t="n">
        <f aca="false">A105+1</f>
        <v>99</v>
      </c>
      <c r="B106" s="63" t="str">
        <f aca="false">VLOOKUP(A106,BD_ORDENES!A:BG,12,FALSE())</f>
        <v>__export__.product_product_323401_681fea84</v>
      </c>
      <c r="C106" s="64" t="n">
        <v>99</v>
      </c>
      <c r="D106" s="65" t="str">
        <f aca="false">VLOOKUP(A106,BD_ORDENES!A:BE,10,0)</f>
        <v>EXHIBICION TIENDA FABRICA</v>
      </c>
      <c r="E106" s="66" t="str">
        <f aca="false">VLOOKUP(A106,BD_ORDENES!A:BG,4,FALSE())</f>
        <v>TF072</v>
      </c>
      <c r="F106" s="66" t="str">
        <f aca="false">VLOOKUP(A106,BD_ORDENES!A:BE,56,FALSE())</f>
        <v>S269382</v>
      </c>
      <c r="G106" s="67" t="str">
        <f aca="false">VLOOKUP(A106,BD_ORDENES!A:BE,13,FALSE())</f>
        <v>SOFA DAYTONA 3P SKY GRIS (MATIZ CAOBA)</v>
      </c>
      <c r="H106" s="68" t="str">
        <f aca="false">VLOOKUP(A106,BD_ORDENES!A:BE,17,FALSE())</f>
        <v>SOFA</v>
      </c>
      <c r="I106" s="68" t="str">
        <f aca="false">VLOOKUP(A106,BD_ORDENES!A:BE,18,FALSE())</f>
        <v>DAYTONA-3P</v>
      </c>
      <c r="J106" s="68" t="str">
        <f aca="false">VLOOKUP(A106,BD_ORDENES!A:BE,19,FALSE())</f>
        <v>SKY</v>
      </c>
      <c r="K106" s="68" t="str">
        <f aca="false">VLOOKUP(A106,BD_ORDENES!A:BE,20,FALSE())</f>
        <v>GRIS</v>
      </c>
      <c r="L106" s="68" t="str">
        <f aca="false">VLOOKUP(A106,BD_ORDENES!A:BE,21,FALSE())</f>
        <v>MATIZ-CAOBA</v>
      </c>
      <c r="M106" s="69" t="n">
        <f aca="false">VLOOKUP(A106,BD_ORDENES!A:BE,14,FALSE())</f>
        <v>1</v>
      </c>
      <c r="N106" s="68" t="n">
        <f aca="false">VLOOKUP(A106,BD_ORDENES!A:BE,15,FALSE())</f>
        <v>0</v>
      </c>
      <c r="O106" s="68" t="str">
        <f aca="false">VLOOKUP(A106,BD_ORDENES!A:BE,33,FALSE())</f>
        <v>RECOGE EN FABRICA</v>
      </c>
      <c r="P106" s="68" t="n">
        <f aca="false">VLOOKUP(A106,BD_ORDENES!A:BE,23,FALSE())</f>
        <v>0</v>
      </c>
      <c r="Q106" s="68" t="str">
        <f aca="false">VLOOKUP(A106,BD_ORDENES!A:BE,52,FALSE())</f>
        <v>Obtener Bajo Pedido (MTO)</v>
      </c>
      <c r="R106" s="68" t="str">
        <f aca="false">VLOOKUP(A106,BD_ORDENES!A:BE,25,FALSE())</f>
        <v>SORACA</v>
      </c>
      <c r="S106" s="68" t="str">
        <f aca="false">VLOOKUP(A106,BD_ORDENES!A:BE,22,FALSE())</f>
        <v>EXHIBICION TIENDA FABRICA</v>
      </c>
      <c r="T106" s="65" t="str">
        <f aca="false">VLOOKUP(A106,BD_ORDENES!A:BE,55,FALSE())</f>
        <v>PRODUCCION</v>
      </c>
      <c r="U106" s="68" t="str">
        <f aca="false">VLOOKUP(A106,BD_ORDENES!A:BE,57,FALSE())</f>
        <v>0 BODEGA</v>
      </c>
      <c r="V106" s="70"/>
      <c r="W106" s="71"/>
    </row>
    <row r="107" s="72" customFormat="true" ht="98.25" hidden="false" customHeight="true" outlineLevel="0" collapsed="false">
      <c r="A107" s="62" t="n">
        <f aca="false">A106+1</f>
        <v>100</v>
      </c>
      <c r="B107" s="63" t="str">
        <f aca="false">VLOOKUP(A107,BD_ORDENES!A:BG,12,FALSE())</f>
        <v>__export__.product_product_331707_88193fe6</v>
      </c>
      <c r="C107" s="64" t="n">
        <v>100</v>
      </c>
      <c r="D107" s="65" t="str">
        <f aca="false">VLOOKUP(A107,BD_ORDENES!A:BE,10,0)</f>
        <v>EXHIBICION TIENDA FABRICA</v>
      </c>
      <c r="E107" s="66" t="str">
        <f aca="false">VLOOKUP(A107,BD_ORDENES!A:BG,4,FALSE())</f>
        <v>TF072</v>
      </c>
      <c r="F107" s="66" t="str">
        <f aca="false">VLOOKUP(A107,BD_ORDENES!A:BE,56,FALSE())</f>
        <v>S269382</v>
      </c>
      <c r="G107" s="67" t="str">
        <f aca="false">VLOOKUP(A107,BD_ORDENES!A:BE,13,FALSE())</f>
        <v>POLTRONA DAYTONA SKY GRIS (MATIZ CAOBA)</v>
      </c>
      <c r="H107" s="68" t="str">
        <f aca="false">VLOOKUP(A107,BD_ORDENES!A:BE,17,FALSE())</f>
        <v>POLTRONA</v>
      </c>
      <c r="I107" s="68" t="str">
        <f aca="false">VLOOKUP(A107,BD_ORDENES!A:BE,18,FALSE())</f>
        <v>DAYTONA</v>
      </c>
      <c r="J107" s="68" t="str">
        <f aca="false">VLOOKUP(A107,BD_ORDENES!A:BE,19,FALSE())</f>
        <v>SKY</v>
      </c>
      <c r="K107" s="68" t="str">
        <f aca="false">VLOOKUP(A107,BD_ORDENES!A:BE,20,FALSE())</f>
        <v>GRIS</v>
      </c>
      <c r="L107" s="68" t="str">
        <f aca="false">VLOOKUP(A107,BD_ORDENES!A:BE,21,FALSE())</f>
        <v>MATIZ-CAOBA</v>
      </c>
      <c r="M107" s="69" t="n">
        <f aca="false">VLOOKUP(A107,BD_ORDENES!A:BE,14,FALSE())</f>
        <v>1</v>
      </c>
      <c r="N107" s="68" t="n">
        <f aca="false">VLOOKUP(A107,BD_ORDENES!A:BE,15,FALSE())</f>
        <v>0</v>
      </c>
      <c r="O107" s="68" t="str">
        <f aca="false">VLOOKUP(A107,BD_ORDENES!A:BE,33,FALSE())</f>
        <v>RECOGE EN FABRICA</v>
      </c>
      <c r="P107" s="68" t="n">
        <f aca="false">VLOOKUP(A107,BD_ORDENES!A:BE,23,FALSE())</f>
        <v>0</v>
      </c>
      <c r="Q107" s="68" t="str">
        <f aca="false">VLOOKUP(A107,BD_ORDENES!A:BE,52,FALSE())</f>
        <v>Obtener Bajo Pedido (MTO)</v>
      </c>
      <c r="R107" s="68" t="str">
        <f aca="false">VLOOKUP(A107,BD_ORDENES!A:BE,25,FALSE())</f>
        <v>SORACA</v>
      </c>
      <c r="S107" s="68" t="str">
        <f aca="false">VLOOKUP(A107,BD_ORDENES!A:BE,22,FALSE())</f>
        <v>EXHIBICION TIENDA FABRICA</v>
      </c>
      <c r="T107" s="65" t="str">
        <f aca="false">VLOOKUP(A107,BD_ORDENES!A:BE,55,FALSE())</f>
        <v>PRODUCCION</v>
      </c>
      <c r="U107" s="68" t="str">
        <f aca="false">VLOOKUP(A107,BD_ORDENES!A:BE,57,FALSE())</f>
        <v>0 BODEGA</v>
      </c>
      <c r="V107" s="70"/>
      <c r="W107" s="71"/>
    </row>
    <row r="108" s="72" customFormat="true" ht="98.25" hidden="false" customHeight="true" outlineLevel="0" collapsed="false">
      <c r="A108" s="62" t="n">
        <f aca="false">A107+1</f>
        <v>101</v>
      </c>
      <c r="B108" s="63" t="str">
        <f aca="false">VLOOKUP(A108,BD_ORDENES!A:BG,12,FALSE())</f>
        <v>__export__.product_product_334630_90eeefe0</v>
      </c>
      <c r="C108" s="64" t="n">
        <v>101</v>
      </c>
      <c r="D108" s="65" t="str">
        <f aca="false">VLOOKUP(A108,BD_ORDENES!A:BE,10,0)</f>
        <v>EXHIBICION TIENDA FABRICA</v>
      </c>
      <c r="E108" s="66" t="str">
        <f aca="false">VLOOKUP(A108,BD_ORDENES!A:BG,4,FALSE())</f>
        <v>TF072</v>
      </c>
      <c r="F108" s="66" t="str">
        <f aca="false">VLOOKUP(A108,BD_ORDENES!A:BE,56,FALSE())</f>
        <v>S269382</v>
      </c>
      <c r="G108" s="67" t="str">
        <f aca="false">VLOOKUP(A108,BD_ORDENES!A:BE,13,FALSE())</f>
        <v>SOFA HANNOVER 2P DORSEY GRIS (MATIZ NATURAL)</v>
      </c>
      <c r="H108" s="68" t="str">
        <f aca="false">VLOOKUP(A108,BD_ORDENES!A:BE,17,FALSE())</f>
        <v>SOFA</v>
      </c>
      <c r="I108" s="68" t="str">
        <f aca="false">VLOOKUP(A108,BD_ORDENES!A:BE,18,FALSE())</f>
        <v>HANNOVER-2P</v>
      </c>
      <c r="J108" s="68" t="str">
        <f aca="false">VLOOKUP(A108,BD_ORDENES!A:BE,19,FALSE())</f>
        <v>DORSEY</v>
      </c>
      <c r="K108" s="68" t="str">
        <f aca="false">VLOOKUP(A108,BD_ORDENES!A:BE,20,FALSE())</f>
        <v>GRIS</v>
      </c>
      <c r="L108" s="68" t="str">
        <f aca="false">VLOOKUP(A108,BD_ORDENES!A:BE,21,FALSE())</f>
        <v>MATIZ-NATURAL</v>
      </c>
      <c r="M108" s="69" t="n">
        <f aca="false">VLOOKUP(A108,BD_ORDENES!A:BE,14,FALSE())</f>
        <v>1</v>
      </c>
      <c r="N108" s="68" t="n">
        <f aca="false">VLOOKUP(A108,BD_ORDENES!A:BE,15,FALSE())</f>
        <v>0</v>
      </c>
      <c r="O108" s="68" t="str">
        <f aca="false">VLOOKUP(A108,BD_ORDENES!A:BE,33,FALSE())</f>
        <v>RECOGE EN FABRICA</v>
      </c>
      <c r="P108" s="68" t="n">
        <f aca="false">VLOOKUP(A108,BD_ORDENES!A:BE,23,FALSE())</f>
        <v>0</v>
      </c>
      <c r="Q108" s="68" t="str">
        <f aca="false">VLOOKUP(A108,BD_ORDENES!A:BE,52,FALSE())</f>
        <v>Obtener Bajo Pedido (MTO)</v>
      </c>
      <c r="R108" s="68" t="str">
        <f aca="false">VLOOKUP(A108,BD_ORDENES!A:BE,25,FALSE())</f>
        <v>SORACA</v>
      </c>
      <c r="S108" s="68" t="str">
        <f aca="false">VLOOKUP(A108,BD_ORDENES!A:BE,22,FALSE())</f>
        <v>EXHIBICION TIENDA FABRICA</v>
      </c>
      <c r="T108" s="65" t="str">
        <f aca="false">VLOOKUP(A108,BD_ORDENES!A:BE,55,FALSE())</f>
        <v>PRODUCCION</v>
      </c>
      <c r="U108" s="68" t="str">
        <f aca="false">VLOOKUP(A108,BD_ORDENES!A:BE,57,FALSE())</f>
        <v>0 BODEGA</v>
      </c>
      <c r="V108" s="70"/>
      <c r="W108" s="71"/>
    </row>
    <row r="109" s="72" customFormat="true" ht="98.25" hidden="false" customHeight="true" outlineLevel="0" collapsed="false">
      <c r="A109" s="62" t="n">
        <f aca="false">A108+1</f>
        <v>102</v>
      </c>
      <c r="B109" s="63" t="str">
        <f aca="false">VLOOKUP(A109,BD_ORDENES!A:BG,12,FALSE())</f>
        <v>__export__.product_product_334634_5f16aac0</v>
      </c>
      <c r="C109" s="64" t="n">
        <v>102</v>
      </c>
      <c r="D109" s="65" t="str">
        <f aca="false">VLOOKUP(A109,BD_ORDENES!A:BE,10,0)</f>
        <v>EXHIBICION TIENDA FABRICA</v>
      </c>
      <c r="E109" s="66" t="str">
        <f aca="false">VLOOKUP(A109,BD_ORDENES!A:BG,4,FALSE())</f>
        <v>TF072</v>
      </c>
      <c r="F109" s="66" t="str">
        <f aca="false">VLOOKUP(A109,BD_ORDENES!A:BE,56,FALSE())</f>
        <v>S269382</v>
      </c>
      <c r="G109" s="67" t="str">
        <f aca="false">VLOOKUP(A109,BD_ORDENES!A:BE,13,FALSE())</f>
        <v>MESA LIVERPOOL JG6 OASIS (MATIZ BLANCO)</v>
      </c>
      <c r="H109" s="68" t="str">
        <f aca="false">VLOOKUP(A109,BD_ORDENES!A:BE,17,FALSE())</f>
        <v>MESA</v>
      </c>
      <c r="I109" s="68" t="str">
        <f aca="false">VLOOKUP(A109,BD_ORDENES!A:BE,18,FALSE())</f>
        <v>LIVERPOOL-JG6</v>
      </c>
      <c r="J109" s="68" t="n">
        <f aca="false">VLOOKUP(A109,BD_ORDENES!A:BE,19,FALSE())</f>
        <v>0</v>
      </c>
      <c r="K109" s="68" t="str">
        <f aca="false">VLOOKUP(A109,BD_ORDENES!A:BE,20,FALSE())</f>
        <v>OASIS</v>
      </c>
      <c r="L109" s="68" t="str">
        <f aca="false">VLOOKUP(A109,BD_ORDENES!A:BE,21,FALSE())</f>
        <v>MATIZ-BLANCO</v>
      </c>
      <c r="M109" s="69" t="n">
        <f aca="false">VLOOKUP(A109,BD_ORDENES!A:BE,14,FALSE())</f>
        <v>1</v>
      </c>
      <c r="N109" s="68" t="n">
        <f aca="false">VLOOKUP(A109,BD_ORDENES!A:BE,15,FALSE())</f>
        <v>0</v>
      </c>
      <c r="O109" s="68" t="str">
        <f aca="false">VLOOKUP(A109,BD_ORDENES!A:BE,33,FALSE())</f>
        <v>RECOGE EN FABRICA</v>
      </c>
      <c r="P109" s="68" t="n">
        <f aca="false">VLOOKUP(A109,BD_ORDENES!A:BE,23,FALSE())</f>
        <v>0</v>
      </c>
      <c r="Q109" s="68" t="str">
        <f aca="false">VLOOKUP(A109,BD_ORDENES!A:BE,52,FALSE())</f>
        <v>Obtener Bajo Pedido (MTO)</v>
      </c>
      <c r="R109" s="68" t="str">
        <f aca="false">VLOOKUP(A109,BD_ORDENES!A:BE,25,FALSE())</f>
        <v>SORACA</v>
      </c>
      <c r="S109" s="68" t="str">
        <f aca="false">VLOOKUP(A109,BD_ORDENES!A:BE,22,FALSE())</f>
        <v>EXHIBICION TIENDA FABRICA</v>
      </c>
      <c r="T109" s="65" t="str">
        <f aca="false">VLOOKUP(A109,BD_ORDENES!A:BE,55,FALSE())</f>
        <v>PRODUCCION</v>
      </c>
      <c r="U109" s="68" t="str">
        <f aca="false">VLOOKUP(A109,BD_ORDENES!A:BE,57,FALSE())</f>
        <v>0 BODEGA</v>
      </c>
      <c r="V109" s="70"/>
      <c r="W109" s="71"/>
    </row>
    <row r="110" s="72" customFormat="true" ht="98.25" hidden="false" customHeight="true" outlineLevel="0" collapsed="false">
      <c r="A110" s="62" t="n">
        <f aca="false">A109+1</f>
        <v>103</v>
      </c>
      <c r="B110" s="63" t="str">
        <f aca="false">VLOOKUP(A110,BD_ORDENES!A:BG,12,FALSE())</f>
        <v>__export__.product_product_334638_201d0a3f</v>
      </c>
      <c r="C110" s="64" t="n">
        <v>103</v>
      </c>
      <c r="D110" s="65" t="str">
        <f aca="false">VLOOKUP(A110,BD_ORDENES!A:BE,10,0)</f>
        <v>EXHIBICION TIENDA FABRICA</v>
      </c>
      <c r="E110" s="66" t="str">
        <f aca="false">VLOOKUP(A110,BD_ORDENES!A:BG,4,FALSE())</f>
        <v>TF072</v>
      </c>
      <c r="F110" s="66" t="str">
        <f aca="false">VLOOKUP(A110,BD_ORDENES!A:BE,56,FALSE())</f>
        <v>S269382</v>
      </c>
      <c r="G110" s="67" t="str">
        <f aca="false">VLOOKUP(A110,BD_ORDENES!A:BE,13,FALSE())</f>
        <v>POLTRONA BARCELONA DORSEY ROSA (MATIZ NATURAL)</v>
      </c>
      <c r="H110" s="68" t="str">
        <f aca="false">VLOOKUP(A110,BD_ORDENES!A:BE,17,FALSE())</f>
        <v>POLTRONA</v>
      </c>
      <c r="I110" s="68" t="str">
        <f aca="false">VLOOKUP(A110,BD_ORDENES!A:BE,18,FALSE())</f>
        <v>BARCELONA</v>
      </c>
      <c r="J110" s="68" t="str">
        <f aca="false">VLOOKUP(A110,BD_ORDENES!A:BE,19,FALSE())</f>
        <v>DORSEY</v>
      </c>
      <c r="K110" s="68" t="str">
        <f aca="false">VLOOKUP(A110,BD_ORDENES!A:BE,20,FALSE())</f>
        <v>ROSA</v>
      </c>
      <c r="L110" s="68" t="str">
        <f aca="false">VLOOKUP(A110,BD_ORDENES!A:BE,21,FALSE())</f>
        <v>MATIZ-NATURAL</v>
      </c>
      <c r="M110" s="69" t="n">
        <f aca="false">VLOOKUP(A110,BD_ORDENES!A:BE,14,FALSE())</f>
        <v>1</v>
      </c>
      <c r="N110" s="68" t="n">
        <f aca="false">VLOOKUP(A110,BD_ORDENES!A:BE,15,FALSE())</f>
        <v>0</v>
      </c>
      <c r="O110" s="68" t="str">
        <f aca="false">VLOOKUP(A110,BD_ORDENES!A:BE,33,FALSE())</f>
        <v>RECOGE EN FABRICA</v>
      </c>
      <c r="P110" s="68" t="n">
        <f aca="false">VLOOKUP(A110,BD_ORDENES!A:BE,23,FALSE())</f>
        <v>0</v>
      </c>
      <c r="Q110" s="68" t="str">
        <f aca="false">VLOOKUP(A110,BD_ORDENES!A:BE,52,FALSE())</f>
        <v>Obtener Bajo Pedido (MTO)</v>
      </c>
      <c r="R110" s="68" t="str">
        <f aca="false">VLOOKUP(A110,BD_ORDENES!A:BE,25,FALSE())</f>
        <v>SORACA</v>
      </c>
      <c r="S110" s="68" t="str">
        <f aca="false">VLOOKUP(A110,BD_ORDENES!A:BE,22,FALSE())</f>
        <v>EXHIBICION TIENDA FABRICA</v>
      </c>
      <c r="T110" s="65" t="str">
        <f aca="false">VLOOKUP(A110,BD_ORDENES!A:BE,55,FALSE())</f>
        <v>PRODUCCION</v>
      </c>
      <c r="U110" s="68" t="str">
        <f aca="false">VLOOKUP(A110,BD_ORDENES!A:BE,57,FALSE())</f>
        <v>0 BODEGA</v>
      </c>
      <c r="V110" s="70"/>
      <c r="W110" s="71"/>
    </row>
    <row r="111" s="72" customFormat="true" ht="98.25" hidden="false" customHeight="true" outlineLevel="0" collapsed="false">
      <c r="A111" s="62" t="n">
        <f aca="false">A110+1</f>
        <v>104</v>
      </c>
      <c r="B111" s="63" t="str">
        <f aca="false">VLOOKUP(A111,BD_ORDENES!A:BG,12,FALSE())</f>
        <v>__export__.product_product_334637_1ea072a1</v>
      </c>
      <c r="C111" s="64" t="n">
        <v>104</v>
      </c>
      <c r="D111" s="65" t="str">
        <f aca="false">VLOOKUP(A111,BD_ORDENES!A:BE,10,0)</f>
        <v>EXHIBICION TIENDA FABRICA</v>
      </c>
      <c r="E111" s="66" t="str">
        <f aca="false">VLOOKUP(A111,BD_ORDENES!A:BG,4,FALSE())</f>
        <v>TF072</v>
      </c>
      <c r="F111" s="66" t="str">
        <f aca="false">VLOOKUP(A111,BD_ORDENES!A:BE,56,FALSE())</f>
        <v>S269382</v>
      </c>
      <c r="G111" s="67" t="str">
        <f aca="false">VLOOKUP(A111,BD_ORDENES!A:BE,13,FALSE())</f>
        <v>SILLA MURCIA SKY TURQUESA (MATIZ NEGRO)</v>
      </c>
      <c r="H111" s="68" t="str">
        <f aca="false">VLOOKUP(A111,BD_ORDENES!A:BE,17,FALSE())</f>
        <v>SILLA</v>
      </c>
      <c r="I111" s="68" t="str">
        <f aca="false">VLOOKUP(A111,BD_ORDENES!A:BE,18,FALSE())</f>
        <v>MURCIA</v>
      </c>
      <c r="J111" s="68" t="str">
        <f aca="false">VLOOKUP(A111,BD_ORDENES!A:BE,19,FALSE())</f>
        <v>SKY</v>
      </c>
      <c r="K111" s="68" t="str">
        <f aca="false">VLOOKUP(A111,BD_ORDENES!A:BE,20,FALSE())</f>
        <v>TURQUESA</v>
      </c>
      <c r="L111" s="68" t="str">
        <f aca="false">VLOOKUP(A111,BD_ORDENES!A:BE,21,FALSE())</f>
        <v>MATIZ-NEGRO</v>
      </c>
      <c r="M111" s="69" t="n">
        <f aca="false">VLOOKUP(A111,BD_ORDENES!A:BE,14,FALSE())</f>
        <v>2</v>
      </c>
      <c r="N111" s="68" t="n">
        <f aca="false">VLOOKUP(A111,BD_ORDENES!A:BE,15,FALSE())</f>
        <v>0</v>
      </c>
      <c r="O111" s="68" t="str">
        <f aca="false">VLOOKUP(A111,BD_ORDENES!A:BE,33,FALSE())</f>
        <v>RECOGE EN FABRICA</v>
      </c>
      <c r="P111" s="68" t="n">
        <f aca="false">VLOOKUP(A111,BD_ORDENES!A:BE,23,FALSE())</f>
        <v>0</v>
      </c>
      <c r="Q111" s="68" t="str">
        <f aca="false">VLOOKUP(A111,BD_ORDENES!A:BE,52,FALSE())</f>
        <v>Obtener Bajo Pedido (MTO)</v>
      </c>
      <c r="R111" s="68" t="str">
        <f aca="false">VLOOKUP(A111,BD_ORDENES!A:BE,25,FALSE())</f>
        <v>SORACA</v>
      </c>
      <c r="S111" s="68" t="str">
        <f aca="false">VLOOKUP(A111,BD_ORDENES!A:BE,22,FALSE())</f>
        <v>EXHIBICION TIENDA FABRICA</v>
      </c>
      <c r="T111" s="65" t="str">
        <f aca="false">VLOOKUP(A111,BD_ORDENES!A:BE,55,FALSE())</f>
        <v>PRODUCCION</v>
      </c>
      <c r="U111" s="68" t="str">
        <f aca="false">VLOOKUP(A111,BD_ORDENES!A:BE,57,FALSE())</f>
        <v>0 BODEGA</v>
      </c>
      <c r="V111" s="70"/>
      <c r="W111" s="71"/>
    </row>
    <row r="112" s="72" customFormat="true" ht="98.25" hidden="false" customHeight="true" outlineLevel="0" collapsed="false">
      <c r="A112" s="62" t="n">
        <f aca="false">A111+1</f>
        <v>105</v>
      </c>
      <c r="B112" s="63" t="str">
        <f aca="false">VLOOKUP(A112,BD_ORDENES!A:BG,12,FALSE())</f>
        <v>__export__.product_product_325724_37935b90</v>
      </c>
      <c r="C112" s="64" t="n">
        <v>105</v>
      </c>
      <c r="D112" s="65" t="str">
        <f aca="false">VLOOKUP(A112,BD_ORDENES!A:BE,10,0)</f>
        <v>EXHIBICION TIENDA FABRICA</v>
      </c>
      <c r="E112" s="66" t="str">
        <f aca="false">VLOOKUP(A112,BD_ORDENES!A:BG,4,FALSE())</f>
        <v>TF072</v>
      </c>
      <c r="F112" s="66" t="str">
        <f aca="false">VLOOKUP(A112,BD_ORDENES!A:BE,56,FALSE())</f>
        <v>S269382</v>
      </c>
      <c r="G112" s="67" t="str">
        <f aca="false">VLOOKUP(A112,BD_ORDENES!A:BE,13,FALSE())</f>
        <v>SILLA AURORA DENVER AZUL (METALICA LISO NEGRO)</v>
      </c>
      <c r="H112" s="68" t="str">
        <f aca="false">VLOOKUP(A112,BD_ORDENES!A:BE,17,FALSE())</f>
        <v>SILLA</v>
      </c>
      <c r="I112" s="68" t="str">
        <f aca="false">VLOOKUP(A112,BD_ORDENES!A:BE,18,FALSE())</f>
        <v>AURORA</v>
      </c>
      <c r="J112" s="68" t="str">
        <f aca="false">VLOOKUP(A112,BD_ORDENES!A:BE,19,FALSE())</f>
        <v>DENVER</v>
      </c>
      <c r="K112" s="68" t="str">
        <f aca="false">VLOOKUP(A112,BD_ORDENES!A:BE,20,FALSE())</f>
        <v>AZUL</v>
      </c>
      <c r="L112" s="68" t="str">
        <f aca="false">VLOOKUP(A112,BD_ORDENES!A:BE,21,FALSE())</f>
        <v>METALICO-NEGRO</v>
      </c>
      <c r="M112" s="69" t="n">
        <f aca="false">VLOOKUP(A112,BD_ORDENES!A:BE,14,FALSE())</f>
        <v>2</v>
      </c>
      <c r="N112" s="68" t="n">
        <f aca="false">VLOOKUP(A112,BD_ORDENES!A:BE,15,FALSE())</f>
        <v>0</v>
      </c>
      <c r="O112" s="68" t="str">
        <f aca="false">VLOOKUP(A112,BD_ORDENES!A:BE,33,FALSE())</f>
        <v>RECOGE EN FABRICA</v>
      </c>
      <c r="P112" s="68" t="n">
        <f aca="false">VLOOKUP(A112,BD_ORDENES!A:BE,23,FALSE())</f>
        <v>0</v>
      </c>
      <c r="Q112" s="68" t="str">
        <f aca="false">VLOOKUP(A112,BD_ORDENES!A:BE,52,FALSE())</f>
        <v>Obtener Bajo Pedido (MTO)</v>
      </c>
      <c r="R112" s="68" t="str">
        <f aca="false">VLOOKUP(A112,BD_ORDENES!A:BE,25,FALSE())</f>
        <v>SORACA</v>
      </c>
      <c r="S112" s="68" t="str">
        <f aca="false">VLOOKUP(A112,BD_ORDENES!A:BE,22,FALSE())</f>
        <v>EXHIBICION TIENDA FABRICA</v>
      </c>
      <c r="T112" s="65" t="str">
        <f aca="false">VLOOKUP(A112,BD_ORDENES!A:BE,55,FALSE())</f>
        <v>PRODUCCION</v>
      </c>
      <c r="U112" s="68" t="str">
        <f aca="false">VLOOKUP(A112,BD_ORDENES!A:BE,57,FALSE())</f>
        <v>0 BODEGA</v>
      </c>
      <c r="V112" s="70"/>
      <c r="W112" s="71"/>
    </row>
    <row r="113" s="72" customFormat="true" ht="98.25" hidden="false" customHeight="true" outlineLevel="0" collapsed="false">
      <c r="A113" s="62" t="n">
        <f aca="false">A112+1</f>
        <v>106</v>
      </c>
      <c r="B113" s="63" t="str">
        <f aca="false">VLOOKUP(A113,BD_ORDENES!A:BG,12,FALSE())</f>
        <v>__export__.product_product_309078_381cef8b</v>
      </c>
      <c r="C113" s="64" t="n">
        <v>106</v>
      </c>
      <c r="D113" s="65" t="str">
        <f aca="false">VLOOKUP(A113,BD_ORDENES!A:BE,10,0)</f>
        <v>EXHIBICION TIENDA FABRICA</v>
      </c>
      <c r="E113" s="66" t="str">
        <f aca="false">VLOOKUP(A113,BD_ORDENES!A:BG,4,FALSE())</f>
        <v>TF072</v>
      </c>
      <c r="F113" s="66" t="str">
        <f aca="false">VLOOKUP(A113,BD_ORDENES!A:BE,56,FALSE())</f>
        <v>S269382</v>
      </c>
      <c r="G113" s="67" t="str">
        <f aca="false">VLOOKUP(A113,BD_ORDENES!A:BE,13,FALSE())</f>
        <v>SOFA HAMBURGO 2P DENVER GRIS (MATIZ CARAMELO)</v>
      </c>
      <c r="H113" s="68" t="str">
        <f aca="false">VLOOKUP(A113,BD_ORDENES!A:BE,17,FALSE())</f>
        <v>SOFA</v>
      </c>
      <c r="I113" s="68" t="str">
        <f aca="false">VLOOKUP(A113,BD_ORDENES!A:BE,18,FALSE())</f>
        <v>HAMBURGO-2P</v>
      </c>
      <c r="J113" s="68" t="str">
        <f aca="false">VLOOKUP(A113,BD_ORDENES!A:BE,19,FALSE())</f>
        <v>DENVER</v>
      </c>
      <c r="K113" s="68" t="str">
        <f aca="false">VLOOKUP(A113,BD_ORDENES!A:BE,20,FALSE())</f>
        <v>GRIS</v>
      </c>
      <c r="L113" s="68" t="str">
        <f aca="false">VLOOKUP(A113,BD_ORDENES!A:BE,21,FALSE())</f>
        <v>MATIZ-CARAMELO</v>
      </c>
      <c r="M113" s="69" t="n">
        <f aca="false">VLOOKUP(A113,BD_ORDENES!A:BE,14,FALSE())</f>
        <v>1</v>
      </c>
      <c r="N113" s="68" t="n">
        <f aca="false">VLOOKUP(A113,BD_ORDENES!A:BE,15,FALSE())</f>
        <v>0</v>
      </c>
      <c r="O113" s="68" t="str">
        <f aca="false">VLOOKUP(A113,BD_ORDENES!A:BE,33,FALSE())</f>
        <v>RECOGE EN FABRICA</v>
      </c>
      <c r="P113" s="68" t="n">
        <f aca="false">VLOOKUP(A113,BD_ORDENES!A:BE,23,FALSE())</f>
        <v>0</v>
      </c>
      <c r="Q113" s="68" t="str">
        <f aca="false">VLOOKUP(A113,BD_ORDENES!A:BE,52,FALSE())</f>
        <v>Obtener Bajo Pedido (MTO)</v>
      </c>
      <c r="R113" s="68" t="str">
        <f aca="false">VLOOKUP(A113,BD_ORDENES!A:BE,25,FALSE())</f>
        <v>SORACA</v>
      </c>
      <c r="S113" s="68" t="str">
        <f aca="false">VLOOKUP(A113,BD_ORDENES!A:BE,22,FALSE())</f>
        <v>EXHIBICION TIENDA FABRICA</v>
      </c>
      <c r="T113" s="65" t="str">
        <f aca="false">VLOOKUP(A113,BD_ORDENES!A:BE,55,FALSE())</f>
        <v>PRODUCCION</v>
      </c>
      <c r="U113" s="68" t="str">
        <f aca="false">VLOOKUP(A113,BD_ORDENES!A:BE,57,FALSE())</f>
        <v>0 BODEGA</v>
      </c>
      <c r="V113" s="70"/>
      <c r="W113" s="71"/>
    </row>
    <row r="114" s="72" customFormat="true" ht="98.25" hidden="false" customHeight="true" outlineLevel="0" collapsed="false">
      <c r="A114" s="62" t="n">
        <f aca="false">A113+1</f>
        <v>107</v>
      </c>
      <c r="B114" s="63" t="str">
        <f aca="false">VLOOKUP(A114,BD_ORDENES!A:BG,12,FALSE())</f>
        <v>__export__.product_product_225914_ce0bebf9</v>
      </c>
      <c r="C114" s="64" t="n">
        <v>107</v>
      </c>
      <c r="D114" s="65" t="str">
        <f aca="false">VLOOKUP(A114,BD_ORDENES!A:BE,10,0)</f>
        <v>HOME</v>
      </c>
      <c r="E114" s="66" t="n">
        <f aca="false">VLOOKUP(A114,BD_ORDENES!A:BG,4,FALSE())</f>
        <v>13935211</v>
      </c>
      <c r="F114" s="66" t="str">
        <f aca="false">VLOOKUP(A114,BD_ORDENES!A:BE,56,FALSE())</f>
        <v>S270390</v>
      </c>
      <c r="G114" s="67" t="str">
        <f aca="false">VLOOKUP(A114,BD_ORDENES!A:BE,13,FALSE())</f>
        <v>MESA LUXOR JG4 BLANCO (MATIZ NATURAL)</v>
      </c>
      <c r="H114" s="68" t="str">
        <f aca="false">VLOOKUP(A114,BD_ORDENES!A:BE,17,FALSE())</f>
        <v>MESA</v>
      </c>
      <c r="I114" s="68" t="str">
        <f aca="false">VLOOKUP(A114,BD_ORDENES!A:BE,18,FALSE())</f>
        <v>LUXOR-JG4</v>
      </c>
      <c r="J114" s="68" t="n">
        <f aca="false">VLOOKUP(A114,BD_ORDENES!A:BE,19,FALSE())</f>
        <v>0</v>
      </c>
      <c r="K114" s="68" t="str">
        <f aca="false">VLOOKUP(A114,BD_ORDENES!A:BE,20,FALSE())</f>
        <v>BLANCO</v>
      </c>
      <c r="L114" s="68" t="str">
        <f aca="false">VLOOKUP(A114,BD_ORDENES!A:BE,21,FALSE())</f>
        <v>MATIZ-NATURAL</v>
      </c>
      <c r="M114" s="69" t="n">
        <f aca="false">VLOOKUP(A114,BD_ORDENES!A:BE,14,FALSE())</f>
        <v>1</v>
      </c>
      <c r="N114" s="68" t="n">
        <f aca="false">VLOOKUP(A114,BD_ORDENES!A:BE,15,FALSE())</f>
        <v>0</v>
      </c>
      <c r="O114" s="68" t="str">
        <f aca="false">VLOOKUP(A114,BD_ORDENES!A:BE,33,FALSE())</f>
        <v>PROV. ALM. DOMICILIO</v>
      </c>
      <c r="P114" s="68" t="n">
        <f aca="false">VLOOKUP(A114,BD_ORDENES!A:BE,23,FALSE())</f>
        <v>0</v>
      </c>
      <c r="Q114" s="68" t="str">
        <f aca="false">VLOOKUP(A114,BD_ORDENES!A:BE,52,FALSE())</f>
        <v>Obtener Bajo Pedido (MTO)</v>
      </c>
      <c r="R114" s="68" t="str">
        <f aca="false">VLOOKUP(A114,BD_ORDENES!A:BE,25,FALSE())</f>
        <v>BOGOTA. D.C.</v>
      </c>
      <c r="S114" s="68" t="str">
        <f aca="false">VLOOKUP(A114,BD_ORDENES!A:BE,22,FALSE())</f>
        <v>JUAN SEBASTIAN VAQUIRO OSPINA</v>
      </c>
      <c r="T114" s="65" t="n">
        <f aca="false">VLOOKUP(A114,BD_ORDENES!A:BE,55,FALSE())</f>
        <v>0</v>
      </c>
      <c r="U114" s="68" t="str">
        <f aca="false">VLOOKUP(A114,BD_ORDENES!A:BE,57,FALSE())</f>
        <v>1.1 ENVIA</v>
      </c>
      <c r="V114" s="70"/>
      <c r="W114" s="71"/>
    </row>
    <row r="115" s="72" customFormat="true" ht="98.25" hidden="false" customHeight="true" outlineLevel="0" collapsed="false">
      <c r="A115" s="62" t="n">
        <f aca="false">A114+1</f>
        <v>108</v>
      </c>
      <c r="B115" s="63" t="str">
        <f aca="false">VLOOKUP(A115,BD_ORDENES!A:BG,12,FALSE())</f>
        <v>__export__.product_product_333396_ce713bec</v>
      </c>
      <c r="C115" s="64" t="n">
        <v>108</v>
      </c>
      <c r="D115" s="65" t="str">
        <f aca="false">VLOOKUP(A115,BD_ORDENES!A:BE,10,0)</f>
        <v>HOME</v>
      </c>
      <c r="E115" s="66" t="n">
        <f aca="false">VLOOKUP(A115,BD_ORDENES!A:BG,4,FALSE())</f>
        <v>13935155</v>
      </c>
      <c r="F115" s="66" t="str">
        <f aca="false">VLOOKUP(A115,BD_ORDENES!A:BE,56,FALSE())</f>
        <v>S270389</v>
      </c>
      <c r="G115" s="67" t="str">
        <f aca="false">VLOOKUP(A115,BD_ORDENES!A:BE,13,FALSE())</f>
        <v>PUFF BEAN SKY GRIS</v>
      </c>
      <c r="H115" s="68" t="str">
        <f aca="false">VLOOKUP(A115,BD_ORDENES!A:BE,17,FALSE())</f>
        <v>PUFF</v>
      </c>
      <c r="I115" s="68" t="str">
        <f aca="false">VLOOKUP(A115,BD_ORDENES!A:BE,18,FALSE())</f>
        <v>BEAN</v>
      </c>
      <c r="J115" s="68" t="str">
        <f aca="false">VLOOKUP(A115,BD_ORDENES!A:BE,19,FALSE())</f>
        <v>SKY</v>
      </c>
      <c r="K115" s="68" t="str">
        <f aca="false">VLOOKUP(A115,BD_ORDENES!A:BE,20,FALSE())</f>
        <v>GRIS</v>
      </c>
      <c r="L115" s="68" t="n">
        <f aca="false">VLOOKUP(A115,BD_ORDENES!A:BE,21,FALSE())</f>
        <v>0</v>
      </c>
      <c r="M115" s="69" t="n">
        <f aca="false">VLOOKUP(A115,BD_ORDENES!A:BE,14,FALSE())</f>
        <v>1</v>
      </c>
      <c r="N115" s="68" t="n">
        <f aca="false">VLOOKUP(A115,BD_ORDENES!A:BE,15,FALSE())</f>
        <v>0</v>
      </c>
      <c r="O115" s="68" t="str">
        <f aca="false">VLOOKUP(A115,BD_ORDENES!A:BE,33,FALSE())</f>
        <v>PROV. ALM. DOMICILIO</v>
      </c>
      <c r="P115" s="68" t="n">
        <f aca="false">VLOOKUP(A115,BD_ORDENES!A:BE,23,FALSE())</f>
        <v>0</v>
      </c>
      <c r="Q115" s="68" t="str">
        <f aca="false">VLOOKUP(A115,BD_ORDENES!A:BE,52,FALSE())</f>
        <v>Obtener Bajo Pedido (MTO)</v>
      </c>
      <c r="R115" s="68" t="str">
        <f aca="false">VLOOKUP(A115,BD_ORDENES!A:BE,25,FALSE())</f>
        <v>BOGOTA. D.C.</v>
      </c>
      <c r="S115" s="68" t="str">
        <f aca="false">VLOOKUP(A115,BD_ORDENES!A:BE,22,FALSE())</f>
        <v>IVÁN ORESTES GÓMEZ GÓMEZ</v>
      </c>
      <c r="T115" s="65" t="n">
        <f aca="false">VLOOKUP(A115,BD_ORDENES!A:BE,55,FALSE())</f>
        <v>0</v>
      </c>
      <c r="U115" s="68" t="str">
        <f aca="false">VLOOKUP(A115,BD_ORDENES!A:BE,57,FALSE())</f>
        <v>1.1 ENVIA</v>
      </c>
      <c r="V115" s="70"/>
      <c r="W115" s="71"/>
    </row>
    <row r="116" s="72" customFormat="true" ht="98.25" hidden="false" customHeight="true" outlineLevel="0" collapsed="false">
      <c r="A116" s="62" t="n">
        <f aca="false">A115+1</f>
        <v>109</v>
      </c>
      <c r="B116" s="63" t="str">
        <f aca="false">VLOOKUP(A116,BD_ORDENES!A:BG,12,FALSE())</f>
        <v>__export__.product_product_225914_ce0bebf9</v>
      </c>
      <c r="C116" s="64" t="n">
        <v>109</v>
      </c>
      <c r="D116" s="65" t="str">
        <f aca="false">VLOOKUP(A116,BD_ORDENES!A:BE,10,0)</f>
        <v>HOME</v>
      </c>
      <c r="E116" s="66" t="n">
        <f aca="false">VLOOKUP(A116,BD_ORDENES!A:BG,4,FALSE())</f>
        <v>13935108</v>
      </c>
      <c r="F116" s="66" t="str">
        <f aca="false">VLOOKUP(A116,BD_ORDENES!A:BE,56,FALSE())</f>
        <v>S270388</v>
      </c>
      <c r="G116" s="67" t="str">
        <f aca="false">VLOOKUP(A116,BD_ORDENES!A:BE,13,FALSE())</f>
        <v>MESA LUXOR JG4 BLANCO (MATIZ NATURAL)</v>
      </c>
      <c r="H116" s="68" t="str">
        <f aca="false">VLOOKUP(A116,BD_ORDENES!A:BE,17,FALSE())</f>
        <v>MESA</v>
      </c>
      <c r="I116" s="68" t="str">
        <f aca="false">VLOOKUP(A116,BD_ORDENES!A:BE,18,FALSE())</f>
        <v>LUXOR-JG4</v>
      </c>
      <c r="J116" s="68" t="n">
        <f aca="false">VLOOKUP(A116,BD_ORDENES!A:BE,19,FALSE())</f>
        <v>0</v>
      </c>
      <c r="K116" s="68" t="str">
        <f aca="false">VLOOKUP(A116,BD_ORDENES!A:BE,20,FALSE())</f>
        <v>BLANCO</v>
      </c>
      <c r="L116" s="68" t="str">
        <f aca="false">VLOOKUP(A116,BD_ORDENES!A:BE,21,FALSE())</f>
        <v>MATIZ-NATURAL</v>
      </c>
      <c r="M116" s="69" t="n">
        <f aca="false">VLOOKUP(A116,BD_ORDENES!A:BE,14,FALSE())</f>
        <v>1</v>
      </c>
      <c r="N116" s="68" t="n">
        <f aca="false">VLOOKUP(A116,BD_ORDENES!A:BE,15,FALSE())</f>
        <v>0</v>
      </c>
      <c r="O116" s="68" t="str">
        <f aca="false">VLOOKUP(A116,BD_ORDENES!A:BE,33,FALSE())</f>
        <v>PROV. ALM. DOMICILIO</v>
      </c>
      <c r="P116" s="68" t="n">
        <f aca="false">VLOOKUP(A116,BD_ORDENES!A:BE,23,FALSE())</f>
        <v>0</v>
      </c>
      <c r="Q116" s="68" t="str">
        <f aca="false">VLOOKUP(A116,BD_ORDENES!A:BE,52,FALSE())</f>
        <v>Obtener Bajo Pedido (MTO)</v>
      </c>
      <c r="R116" s="68" t="str">
        <f aca="false">VLOOKUP(A116,BD_ORDENES!A:BE,25,FALSE())</f>
        <v>BOGOTA. D.C.</v>
      </c>
      <c r="S116" s="68" t="str">
        <f aca="false">VLOOKUP(A116,BD_ORDENES!A:BE,22,FALSE())</f>
        <v>JUAN PABLO MORENO</v>
      </c>
      <c r="T116" s="65" t="n">
        <f aca="false">VLOOKUP(A116,BD_ORDENES!A:BE,55,FALSE())</f>
        <v>0</v>
      </c>
      <c r="U116" s="68" t="str">
        <f aca="false">VLOOKUP(A116,BD_ORDENES!A:BE,57,FALSE())</f>
        <v>1.1 ENVIA</v>
      </c>
      <c r="V116" s="70"/>
      <c r="W116" s="71"/>
    </row>
    <row r="117" s="72" customFormat="true" ht="98.25" hidden="false" customHeight="true" outlineLevel="0" collapsed="false">
      <c r="A117" s="62" t="n">
        <f aca="false">A116+1</f>
        <v>110</v>
      </c>
      <c r="B117" s="63" t="str">
        <f aca="false">VLOOKUP(A117,BD_ORDENES!A:BG,12,FALSE())</f>
        <v>__export__.product_product_164329_c407382b</v>
      </c>
      <c r="C117" s="64" t="n">
        <v>110</v>
      </c>
      <c r="D117" s="65" t="str">
        <f aca="false">VLOOKUP(A117,BD_ORDENES!A:BE,10,0)</f>
        <v>HOME</v>
      </c>
      <c r="E117" s="66" t="n">
        <f aca="false">VLOOKUP(A117,BD_ORDENES!A:BG,4,FALSE())</f>
        <v>13935108</v>
      </c>
      <c r="F117" s="66" t="str">
        <f aca="false">VLOOKUP(A117,BD_ORDENES!A:BE,56,FALSE())</f>
        <v>S270388</v>
      </c>
      <c r="G117" s="67" t="str">
        <f aca="false">VLOOKUP(A117,BD_ORDENES!A:BE,13,FALSE())</f>
        <v>SILLA MATIZ DUSTER AZUL (METALICA NATURAL)</v>
      </c>
      <c r="H117" s="68" t="str">
        <f aca="false">VLOOKUP(A117,BD_ORDENES!A:BE,17,FALSE())</f>
        <v>SILLA</v>
      </c>
      <c r="I117" s="68" t="str">
        <f aca="false">VLOOKUP(A117,BD_ORDENES!A:BE,18,FALSE())</f>
        <v>MATIZ</v>
      </c>
      <c r="J117" s="68" t="str">
        <f aca="false">VLOOKUP(A117,BD_ORDENES!A:BE,19,FALSE())</f>
        <v>DUSTER</v>
      </c>
      <c r="K117" s="68" t="str">
        <f aca="false">VLOOKUP(A117,BD_ORDENES!A:BE,20,FALSE())</f>
        <v>AZUL</v>
      </c>
      <c r="L117" s="68" t="str">
        <f aca="false">VLOOKUP(A117,BD_ORDENES!A:BE,21,FALSE())</f>
        <v>METALICO-MATIZ-NATURAL</v>
      </c>
      <c r="M117" s="69" t="n">
        <f aca="false">VLOOKUP(A117,BD_ORDENES!A:BE,14,FALSE())</f>
        <v>4</v>
      </c>
      <c r="N117" s="68" t="n">
        <f aca="false">VLOOKUP(A117,BD_ORDENES!A:BE,15,FALSE())</f>
        <v>0</v>
      </c>
      <c r="O117" s="68" t="str">
        <f aca="false">VLOOKUP(A117,BD_ORDENES!A:BE,33,FALSE())</f>
        <v>PROV. ALM. DOMICILIO</v>
      </c>
      <c r="P117" s="68" t="n">
        <f aca="false">VLOOKUP(A117,BD_ORDENES!A:BE,23,FALSE())</f>
        <v>0</v>
      </c>
      <c r="Q117" s="68" t="str">
        <f aca="false">VLOOKUP(A117,BD_ORDENES!A:BE,52,FALSE())</f>
        <v>Obtener Bajo Pedido (MTO)</v>
      </c>
      <c r="R117" s="68" t="str">
        <f aca="false">VLOOKUP(A117,BD_ORDENES!A:BE,25,FALSE())</f>
        <v>BOGOTA. D.C.</v>
      </c>
      <c r="S117" s="68" t="str">
        <f aca="false">VLOOKUP(A117,BD_ORDENES!A:BE,22,FALSE())</f>
        <v>JUAN PABLO MORENO</v>
      </c>
      <c r="T117" s="65" t="n">
        <f aca="false">VLOOKUP(A117,BD_ORDENES!A:BE,55,FALSE())</f>
        <v>0</v>
      </c>
      <c r="U117" s="68" t="str">
        <f aca="false">VLOOKUP(A117,BD_ORDENES!A:BE,57,FALSE())</f>
        <v>1.1 ENVIA</v>
      </c>
      <c r="V117" s="70"/>
      <c r="W117" s="71"/>
    </row>
    <row r="118" s="72" customFormat="true" ht="98.25" hidden="false" customHeight="true" outlineLevel="0" collapsed="false">
      <c r="A118" s="62" t="n">
        <f aca="false">A117+1</f>
        <v>111</v>
      </c>
      <c r="B118" s="63" t="str">
        <f aca="false">VLOOKUP(A118,BD_ORDENES!A:BG,12,FALSE())</f>
        <v>__export__.product_product_191479_f7af5c80</v>
      </c>
      <c r="C118" s="64" t="n">
        <v>111</v>
      </c>
      <c r="D118" s="65" t="str">
        <f aca="false">VLOOKUP(A118,BD_ORDENES!A:BE,10,0)</f>
        <v>HOME</v>
      </c>
      <c r="E118" s="66" t="n">
        <f aca="false">VLOOKUP(A118,BD_ORDENES!A:BG,4,FALSE())</f>
        <v>13935108</v>
      </c>
      <c r="F118" s="66" t="str">
        <f aca="false">VLOOKUP(A118,BD_ORDENES!A:BE,56,FALSE())</f>
        <v>S270388</v>
      </c>
      <c r="G118" s="67" t="str">
        <f aca="false">VLOOKUP(A118,BD_ORDENES!A:BE,13,FALSE())</f>
        <v>SOFA TOULOUSE DUSTER AZUL (MATIZ NATURAL)</v>
      </c>
      <c r="H118" s="68" t="str">
        <f aca="false">VLOOKUP(A118,BD_ORDENES!A:BE,17,FALSE())</f>
        <v>SOFA</v>
      </c>
      <c r="I118" s="68" t="str">
        <f aca="false">VLOOKUP(A118,BD_ORDENES!A:BE,18,FALSE())</f>
        <v>TOULOUSE</v>
      </c>
      <c r="J118" s="68" t="str">
        <f aca="false">VLOOKUP(A118,BD_ORDENES!A:BE,19,FALSE())</f>
        <v>DUSTER</v>
      </c>
      <c r="K118" s="68" t="str">
        <f aca="false">VLOOKUP(A118,BD_ORDENES!A:BE,20,FALSE())</f>
        <v>AZUL</v>
      </c>
      <c r="L118" s="68" t="str">
        <f aca="false">VLOOKUP(A118,BD_ORDENES!A:BE,21,FALSE())</f>
        <v>MATIZ-NATURAL</v>
      </c>
      <c r="M118" s="69" t="n">
        <f aca="false">VLOOKUP(A118,BD_ORDENES!A:BE,14,FALSE())</f>
        <v>1</v>
      </c>
      <c r="N118" s="68" t="n">
        <f aca="false">VLOOKUP(A118,BD_ORDENES!A:BE,15,FALSE())</f>
        <v>0</v>
      </c>
      <c r="O118" s="68" t="str">
        <f aca="false">VLOOKUP(A118,BD_ORDENES!A:BE,33,FALSE())</f>
        <v>PROV. ALM. DOMICILIO</v>
      </c>
      <c r="P118" s="68" t="n">
        <f aca="false">VLOOKUP(A118,BD_ORDENES!A:BE,23,FALSE())</f>
        <v>0</v>
      </c>
      <c r="Q118" s="68" t="str">
        <f aca="false">VLOOKUP(A118,BD_ORDENES!A:BE,52,FALSE())</f>
        <v>Obtener Bajo Pedido (MTO)</v>
      </c>
      <c r="R118" s="68" t="str">
        <f aca="false">VLOOKUP(A118,BD_ORDENES!A:BE,25,FALSE())</f>
        <v>BOGOTA. D.C.</v>
      </c>
      <c r="S118" s="68" t="str">
        <f aca="false">VLOOKUP(A118,BD_ORDENES!A:BE,22,FALSE())</f>
        <v>JUAN PABLO MORENO</v>
      </c>
      <c r="T118" s="65" t="n">
        <f aca="false">VLOOKUP(A118,BD_ORDENES!A:BE,55,FALSE())</f>
        <v>0</v>
      </c>
      <c r="U118" s="68" t="str">
        <f aca="false">VLOOKUP(A118,BD_ORDENES!A:BE,57,FALSE())</f>
        <v>1.1 ENVIA</v>
      </c>
      <c r="V118" s="70"/>
      <c r="W118" s="71"/>
    </row>
    <row r="119" s="72" customFormat="true" ht="98.25" hidden="false" customHeight="true" outlineLevel="0" collapsed="false">
      <c r="A119" s="62" t="n">
        <f aca="false">A118+1</f>
        <v>112</v>
      </c>
      <c r="B119" s="63" t="str">
        <f aca="false">VLOOKUP(A119,BD_ORDENES!A:BG,12,FALSE())</f>
        <v>__export__.product_product_189805_8adf235e</v>
      </c>
      <c r="C119" s="64" t="n">
        <v>112</v>
      </c>
      <c r="D119" s="65" t="str">
        <f aca="false">VLOOKUP(A119,BD_ORDENES!A:BE,10,0)</f>
        <v>HOME</v>
      </c>
      <c r="E119" s="66" t="n">
        <f aca="false">VLOOKUP(A119,BD_ORDENES!A:BG,4,FALSE())</f>
        <v>13935108</v>
      </c>
      <c r="F119" s="66" t="str">
        <f aca="false">VLOOKUP(A119,BD_ORDENES!A:BE,56,FALSE())</f>
        <v>S270388</v>
      </c>
      <c r="G119" s="67" t="str">
        <f aca="false">VLOOKUP(A119,BD_ORDENES!A:BE,13,FALSE())</f>
        <v>POLTRONA TOULOUSE DUSTER AZUL (MATIZ NATURAL)</v>
      </c>
      <c r="H119" s="68" t="str">
        <f aca="false">VLOOKUP(A119,BD_ORDENES!A:BE,17,FALSE())</f>
        <v>POLTRONA</v>
      </c>
      <c r="I119" s="68" t="str">
        <f aca="false">VLOOKUP(A119,BD_ORDENES!A:BE,18,FALSE())</f>
        <v>TOULOUSE</v>
      </c>
      <c r="J119" s="68" t="str">
        <f aca="false">VLOOKUP(A119,BD_ORDENES!A:BE,19,FALSE())</f>
        <v>DUSTER</v>
      </c>
      <c r="K119" s="68" t="str">
        <f aca="false">VLOOKUP(A119,BD_ORDENES!A:BE,20,FALSE())</f>
        <v>AZUL</v>
      </c>
      <c r="L119" s="68" t="str">
        <f aca="false">VLOOKUP(A119,BD_ORDENES!A:BE,21,FALSE())</f>
        <v>MATIZ-NATURAL</v>
      </c>
      <c r="M119" s="69" t="n">
        <f aca="false">VLOOKUP(A119,BD_ORDENES!A:BE,14,FALSE())</f>
        <v>1</v>
      </c>
      <c r="N119" s="68" t="n">
        <f aca="false">VLOOKUP(A119,BD_ORDENES!A:BE,15,FALSE())</f>
        <v>0</v>
      </c>
      <c r="O119" s="68" t="str">
        <f aca="false">VLOOKUP(A119,BD_ORDENES!A:BE,33,FALSE())</f>
        <v>PROV. ALM. DOMICILIO</v>
      </c>
      <c r="P119" s="68" t="n">
        <f aca="false">VLOOKUP(A119,BD_ORDENES!A:BE,23,FALSE())</f>
        <v>0</v>
      </c>
      <c r="Q119" s="68" t="str">
        <f aca="false">VLOOKUP(A119,BD_ORDENES!A:BE,52,FALSE())</f>
        <v>Obtener Bajo Pedido (MTO)</v>
      </c>
      <c r="R119" s="68" t="str">
        <f aca="false">VLOOKUP(A119,BD_ORDENES!A:BE,25,FALSE())</f>
        <v>BOGOTA. D.C.</v>
      </c>
      <c r="S119" s="68" t="str">
        <f aca="false">VLOOKUP(A119,BD_ORDENES!A:BE,22,FALSE())</f>
        <v>JUAN PABLO MORENO</v>
      </c>
      <c r="T119" s="65" t="n">
        <f aca="false">VLOOKUP(A119,BD_ORDENES!A:BE,55,FALSE())</f>
        <v>0</v>
      </c>
      <c r="U119" s="68" t="str">
        <f aca="false">VLOOKUP(A119,BD_ORDENES!A:BE,57,FALSE())</f>
        <v>1.1 ENVIA</v>
      </c>
      <c r="V119" s="70"/>
      <c r="W119" s="71"/>
    </row>
    <row r="120" s="72" customFormat="true" ht="98.25" hidden="false" customHeight="true" outlineLevel="0" collapsed="false">
      <c r="A120" s="62" t="n">
        <f aca="false">A119+1</f>
        <v>113</v>
      </c>
      <c r="B120" s="63" t="str">
        <f aca="false">VLOOKUP(A120,BD_ORDENES!A:BG,12,FALSE())</f>
        <v>__export__.product_product_186898_2d403f30</v>
      </c>
      <c r="C120" s="64" t="n">
        <v>113</v>
      </c>
      <c r="D120" s="65" t="str">
        <f aca="false">VLOOKUP(A120,BD_ORDENES!A:BE,10,0)</f>
        <v>HOME</v>
      </c>
      <c r="E120" s="66" t="n">
        <f aca="false">VLOOKUP(A120,BD_ORDENES!A:BG,4,FALSE())</f>
        <v>13935108</v>
      </c>
      <c r="F120" s="66" t="str">
        <f aca="false">VLOOKUP(A120,BD_ORDENES!A:BE,56,FALSE())</f>
        <v>S270388</v>
      </c>
      <c r="G120" s="67" t="str">
        <f aca="false">VLOOKUP(A120,BD_ORDENES!A:BE,13,FALSE())</f>
        <v>MESA DE CENTRO CANNES M BLANCO (MATIZ NATURAL)</v>
      </c>
      <c r="H120" s="68" t="str">
        <f aca="false">VLOOKUP(A120,BD_ORDENES!A:BE,17,FALSE())</f>
        <v>MESA-CENTRO</v>
      </c>
      <c r="I120" s="68" t="str">
        <f aca="false">VLOOKUP(A120,BD_ORDENES!A:BE,18,FALSE())</f>
        <v>CANNES-M</v>
      </c>
      <c r="J120" s="68" t="n">
        <f aca="false">VLOOKUP(A120,BD_ORDENES!A:BE,19,FALSE())</f>
        <v>0</v>
      </c>
      <c r="K120" s="68" t="str">
        <f aca="false">VLOOKUP(A120,BD_ORDENES!A:BE,20,FALSE())</f>
        <v>BLANCO</v>
      </c>
      <c r="L120" s="68" t="str">
        <f aca="false">VLOOKUP(A120,BD_ORDENES!A:BE,21,FALSE())</f>
        <v>MATIZ-NATURAL</v>
      </c>
      <c r="M120" s="69" t="n">
        <f aca="false">VLOOKUP(A120,BD_ORDENES!A:BE,14,FALSE())</f>
        <v>1</v>
      </c>
      <c r="N120" s="68" t="n">
        <f aca="false">VLOOKUP(A120,BD_ORDENES!A:BE,15,FALSE())</f>
        <v>0</v>
      </c>
      <c r="O120" s="68" t="str">
        <f aca="false">VLOOKUP(A120,BD_ORDENES!A:BE,33,FALSE())</f>
        <v>PROV. ALM. DOMICILIO</v>
      </c>
      <c r="P120" s="68" t="n">
        <f aca="false">VLOOKUP(A120,BD_ORDENES!A:BE,23,FALSE())</f>
        <v>0</v>
      </c>
      <c r="Q120" s="68" t="str">
        <f aca="false">VLOOKUP(A120,BD_ORDENES!A:BE,52,FALSE())</f>
        <v>Obtener Bajo Pedido (MTO)</v>
      </c>
      <c r="R120" s="68" t="str">
        <f aca="false">VLOOKUP(A120,BD_ORDENES!A:BE,25,FALSE())</f>
        <v>BOGOTA. D.C.</v>
      </c>
      <c r="S120" s="68" t="str">
        <f aca="false">VLOOKUP(A120,BD_ORDENES!A:BE,22,FALSE())</f>
        <v>JUAN PABLO MORENO</v>
      </c>
      <c r="T120" s="65" t="n">
        <f aca="false">VLOOKUP(A120,BD_ORDENES!A:BE,55,FALSE())</f>
        <v>0</v>
      </c>
      <c r="U120" s="68" t="str">
        <f aca="false">VLOOKUP(A120,BD_ORDENES!A:BE,57,FALSE())</f>
        <v>1.1 ENVIA</v>
      </c>
      <c r="V120" s="70"/>
      <c r="W120" s="71"/>
    </row>
    <row r="121" s="72" customFormat="true" ht="98.25" hidden="false" customHeight="true" outlineLevel="0" collapsed="false">
      <c r="A121" s="62" t="n">
        <f aca="false">A120+1</f>
        <v>114</v>
      </c>
      <c r="B121" s="63" t="str">
        <f aca="false">VLOOKUP(A121,BD_ORDENES!A:BG,12,FALSE())</f>
        <v>__export__.product_product_185071_e5f8a42f</v>
      </c>
      <c r="C121" s="64" t="n">
        <v>114</v>
      </c>
      <c r="D121" s="65" t="str">
        <f aca="false">VLOOKUP(A121,BD_ORDENES!A:BE,10,0)</f>
        <v>HOME</v>
      </c>
      <c r="E121" s="66" t="n">
        <f aca="false">VLOOKUP(A121,BD_ORDENES!A:BG,4,FALSE())</f>
        <v>13934453</v>
      </c>
      <c r="F121" s="66" t="str">
        <f aca="false">VLOOKUP(A121,BD_ORDENES!A:BE,56,FALSE())</f>
        <v>S270387</v>
      </c>
      <c r="G121" s="67" t="str">
        <f aca="false">VLOOKUP(A121,BD_ORDENES!A:BE,13,FALSE())</f>
        <v>PUFF MONTECARLO DICOSTA TRIGO (MATIZ NATURAL)</v>
      </c>
      <c r="H121" s="68" t="str">
        <f aca="false">VLOOKUP(A121,BD_ORDENES!A:BE,17,FALSE())</f>
        <v>PUFF</v>
      </c>
      <c r="I121" s="68" t="str">
        <f aca="false">VLOOKUP(A121,BD_ORDENES!A:BE,18,FALSE())</f>
        <v>MONTECARLO</v>
      </c>
      <c r="J121" s="68" t="str">
        <f aca="false">VLOOKUP(A121,BD_ORDENES!A:BE,19,FALSE())</f>
        <v>DICOSTA</v>
      </c>
      <c r="K121" s="68" t="str">
        <f aca="false">VLOOKUP(A121,BD_ORDENES!A:BE,20,FALSE())</f>
        <v>TRIGO</v>
      </c>
      <c r="L121" s="68" t="str">
        <f aca="false">VLOOKUP(A121,BD_ORDENES!A:BE,21,FALSE())</f>
        <v>MATIZ-NATURAL</v>
      </c>
      <c r="M121" s="69" t="n">
        <f aca="false">VLOOKUP(A121,BD_ORDENES!A:BE,14,FALSE())</f>
        <v>1</v>
      </c>
      <c r="N121" s="68" t="n">
        <f aca="false">VLOOKUP(A121,BD_ORDENES!A:BE,15,FALSE())</f>
        <v>0</v>
      </c>
      <c r="O121" s="68" t="str">
        <f aca="false">VLOOKUP(A121,BD_ORDENES!A:BE,33,FALSE())</f>
        <v>PROV. CLIENTE</v>
      </c>
      <c r="P121" s="68" t="n">
        <f aca="false">VLOOKUP(A121,BD_ORDENES!A:BE,23,FALSE())</f>
        <v>0</v>
      </c>
      <c r="Q121" s="68" t="str">
        <f aca="false">VLOOKUP(A121,BD_ORDENES!A:BE,52,FALSE())</f>
        <v>Obtener Bajo Pedido (MTO)</v>
      </c>
      <c r="R121" s="68" t="str">
        <f aca="false">VLOOKUP(A121,BD_ORDENES!A:BE,25,FALSE())</f>
        <v>PASTO</v>
      </c>
      <c r="S121" s="68" t="str">
        <f aca="false">VLOOKUP(A121,BD_ORDENES!A:BE,22,FALSE())</f>
        <v>MARIA OLIVA</v>
      </c>
      <c r="T121" s="65" t="n">
        <f aca="false">VLOOKUP(A121,BD_ORDENES!A:BE,55,FALSE())</f>
        <v>0</v>
      </c>
      <c r="U121" s="68" t="str">
        <f aca="false">VLOOKUP(A121,BD_ORDENES!A:BE,57,FALSE())</f>
        <v>1.1 ENVIA</v>
      </c>
      <c r="V121" s="70"/>
      <c r="W121" s="71"/>
    </row>
    <row r="122" s="72" customFormat="true" ht="98.25" hidden="false" customHeight="true" outlineLevel="0" collapsed="false">
      <c r="A122" s="62" t="n">
        <f aca="false">A121+1</f>
        <v>115</v>
      </c>
      <c r="B122" s="63" t="str">
        <f aca="false">VLOOKUP(A122,BD_ORDENES!A:BG,12,FALSE())</f>
        <v>__export__.product_product_283905_01814933</v>
      </c>
      <c r="C122" s="64" t="n">
        <v>115</v>
      </c>
      <c r="D122" s="65" t="str">
        <f aca="false">VLOOKUP(A122,BD_ORDENES!A:BE,10,0)</f>
        <v>HOME</v>
      </c>
      <c r="E122" s="66" t="n">
        <f aca="false">VLOOKUP(A122,BD_ORDENES!A:BG,4,FALSE())</f>
        <v>13934382</v>
      </c>
      <c r="F122" s="66" t="str">
        <f aca="false">VLOOKUP(A122,BD_ORDENES!A:BE,56,FALSE())</f>
        <v>S270386</v>
      </c>
      <c r="G122" s="67" t="str">
        <f aca="false">VLOOKUP(A122,BD_ORDENES!A:BE,13,FALSE())</f>
        <v>SOFA HAMBURGO 3P DICOSTA GRIS (MATIZ NATURAL)</v>
      </c>
      <c r="H122" s="68" t="str">
        <f aca="false">VLOOKUP(A122,BD_ORDENES!A:BE,17,FALSE())</f>
        <v>SOFA</v>
      </c>
      <c r="I122" s="68" t="str">
        <f aca="false">VLOOKUP(A122,BD_ORDENES!A:BE,18,FALSE())</f>
        <v>HAMBURGO-3P</v>
      </c>
      <c r="J122" s="68" t="str">
        <f aca="false">VLOOKUP(A122,BD_ORDENES!A:BE,19,FALSE())</f>
        <v>DICOSTA</v>
      </c>
      <c r="K122" s="68" t="str">
        <f aca="false">VLOOKUP(A122,BD_ORDENES!A:BE,20,FALSE())</f>
        <v>GRIS</v>
      </c>
      <c r="L122" s="68" t="str">
        <f aca="false">VLOOKUP(A122,BD_ORDENES!A:BE,21,FALSE())</f>
        <v>MATIZ-NATURAL</v>
      </c>
      <c r="M122" s="69" t="n">
        <f aca="false">VLOOKUP(A122,BD_ORDENES!A:BE,14,FALSE())</f>
        <v>1</v>
      </c>
      <c r="N122" s="68" t="n">
        <f aca="false">VLOOKUP(A122,BD_ORDENES!A:BE,15,FALSE())</f>
        <v>0</v>
      </c>
      <c r="O122" s="68" t="str">
        <f aca="false">VLOOKUP(A122,BD_ORDENES!A:BE,33,FALSE())</f>
        <v>PROV. ALM. DOMICILIO</v>
      </c>
      <c r="P122" s="68" t="n">
        <f aca="false">VLOOKUP(A122,BD_ORDENES!A:BE,23,FALSE())</f>
        <v>0</v>
      </c>
      <c r="Q122" s="68" t="str">
        <f aca="false">VLOOKUP(A122,BD_ORDENES!A:BE,52,FALSE())</f>
        <v>Obtener Bajo Pedido (MTO)</v>
      </c>
      <c r="R122" s="68" t="str">
        <f aca="false">VLOOKUP(A122,BD_ORDENES!A:BE,25,FALSE())</f>
        <v>BOGOTA. D.C.</v>
      </c>
      <c r="S122" s="68" t="str">
        <f aca="false">VLOOKUP(A122,BD_ORDENES!A:BE,22,FALSE())</f>
        <v>MARIA ISABEL SANCHEZ</v>
      </c>
      <c r="T122" s="65" t="n">
        <f aca="false">VLOOKUP(A122,BD_ORDENES!A:BE,55,FALSE())</f>
        <v>0</v>
      </c>
      <c r="U122" s="68" t="str">
        <f aca="false">VLOOKUP(A122,BD_ORDENES!A:BE,57,FALSE())</f>
        <v>1.1 ENVIA</v>
      </c>
      <c r="V122" s="70"/>
      <c r="W122" s="71"/>
    </row>
    <row r="123" s="72" customFormat="true" ht="98.25" hidden="false" customHeight="true" outlineLevel="0" collapsed="false">
      <c r="A123" s="62" t="n">
        <f aca="false">A122+1</f>
        <v>116</v>
      </c>
      <c r="B123" s="63" t="str">
        <f aca="false">VLOOKUP(A123,BD_ORDENES!A:BG,12,FALSE())</f>
        <v>__export__.product_product_163247_71cf85fb</v>
      </c>
      <c r="C123" s="64" t="n">
        <v>116</v>
      </c>
      <c r="D123" s="65" t="str">
        <f aca="false">VLOOKUP(A123,BD_ORDENES!A:BE,10,0)</f>
        <v>HOME</v>
      </c>
      <c r="E123" s="66" t="n">
        <f aca="false">VLOOKUP(A123,BD_ORDENES!A:BG,4,FALSE())</f>
        <v>13934213</v>
      </c>
      <c r="F123" s="66" t="str">
        <f aca="false">VLOOKUP(A123,BD_ORDENES!A:BE,56,FALSE())</f>
        <v>S270384</v>
      </c>
      <c r="G123" s="67" t="str">
        <f aca="false">VLOOKUP(A123,BD_ORDENES!A:BE,13,FALSE())</f>
        <v>MESA LYON JG4 BLANCO (MATIZ NATURAL)</v>
      </c>
      <c r="H123" s="68" t="str">
        <f aca="false">VLOOKUP(A123,BD_ORDENES!A:BE,17,FALSE())</f>
        <v>MESA</v>
      </c>
      <c r="I123" s="68" t="str">
        <f aca="false">VLOOKUP(A123,BD_ORDENES!A:BE,18,FALSE())</f>
        <v>LYON-JG4</v>
      </c>
      <c r="J123" s="68" t="n">
        <f aca="false">VLOOKUP(A123,BD_ORDENES!A:BE,19,FALSE())</f>
        <v>0</v>
      </c>
      <c r="K123" s="68" t="str">
        <f aca="false">VLOOKUP(A123,BD_ORDENES!A:BE,20,FALSE())</f>
        <v>BLANCO</v>
      </c>
      <c r="L123" s="68" t="str">
        <f aca="false">VLOOKUP(A123,BD_ORDENES!A:BE,21,FALSE())</f>
        <v>MATIZ-NATURAL</v>
      </c>
      <c r="M123" s="69" t="n">
        <f aca="false">VLOOKUP(A123,BD_ORDENES!A:BE,14,FALSE())</f>
        <v>1</v>
      </c>
      <c r="N123" s="68" t="n">
        <f aca="false">VLOOKUP(A123,BD_ORDENES!A:BE,15,FALSE())</f>
        <v>0</v>
      </c>
      <c r="O123" s="68" t="str">
        <f aca="false">VLOOKUP(A123,BD_ORDENES!A:BE,33,FALSE())</f>
        <v>PROV. ALM. DOMICILIO</v>
      </c>
      <c r="P123" s="68" t="n">
        <f aca="false">VLOOKUP(A123,BD_ORDENES!A:BE,23,FALSE())</f>
        <v>0</v>
      </c>
      <c r="Q123" s="68" t="str">
        <f aca="false">VLOOKUP(A123,BD_ORDENES!A:BE,52,FALSE())</f>
        <v>Obtener Bajo Pedido (MTO)</v>
      </c>
      <c r="R123" s="68" t="str">
        <f aca="false">VLOOKUP(A123,BD_ORDENES!A:BE,25,FALSE())</f>
        <v>BOGOTA. D.C.</v>
      </c>
      <c r="S123" s="68" t="str">
        <f aca="false">VLOOKUP(A123,BD_ORDENES!A:BE,22,FALSE())</f>
        <v>JAMES RODRIGUEZ</v>
      </c>
      <c r="T123" s="65" t="n">
        <f aca="false">VLOOKUP(A123,BD_ORDENES!A:BE,55,FALSE())</f>
        <v>0</v>
      </c>
      <c r="U123" s="68" t="str">
        <f aca="false">VLOOKUP(A123,BD_ORDENES!A:BE,57,FALSE())</f>
        <v>1.1 ENVIA</v>
      </c>
      <c r="V123" s="70"/>
      <c r="W123" s="71"/>
    </row>
    <row r="124" s="72" customFormat="true" ht="98.25" hidden="false" customHeight="true" outlineLevel="0" collapsed="false">
      <c r="A124" s="62" t="n">
        <f aca="false">A123+1</f>
        <v>117</v>
      </c>
      <c r="B124" s="63" t="str">
        <f aca="false">VLOOKUP(A124,BD_ORDENES!A:BG,12,FALSE())</f>
        <v>__export__.product_product_309300_47de7f33</v>
      </c>
      <c r="C124" s="64" t="n">
        <v>117</v>
      </c>
      <c r="D124" s="65" t="str">
        <f aca="false">VLOOKUP(A124,BD_ORDENES!A:BE,10,0)</f>
        <v>HOME</v>
      </c>
      <c r="E124" s="66" t="n">
        <f aca="false">VLOOKUP(A124,BD_ORDENES!A:BG,4,FALSE())</f>
        <v>13934013</v>
      </c>
      <c r="F124" s="66" t="str">
        <f aca="false">VLOOKUP(A124,BD_ORDENES!A:BE,56,FALSE())</f>
        <v>S270383</v>
      </c>
      <c r="G124" s="67" t="str">
        <f aca="false">VLOOKUP(A124,BD_ORDENES!A:BE,13,FALSE())</f>
        <v>SOFA HAMBURGO 2P DUSTER BEIGE (MATIZ WENGUE)</v>
      </c>
      <c r="H124" s="68" t="str">
        <f aca="false">VLOOKUP(A124,BD_ORDENES!A:BE,17,FALSE())</f>
        <v>SOFA</v>
      </c>
      <c r="I124" s="68" t="str">
        <f aca="false">VLOOKUP(A124,BD_ORDENES!A:BE,18,FALSE())</f>
        <v>HAMBURGO-2P</v>
      </c>
      <c r="J124" s="68" t="str">
        <f aca="false">VLOOKUP(A124,BD_ORDENES!A:BE,19,FALSE())</f>
        <v>DUSTER</v>
      </c>
      <c r="K124" s="68" t="str">
        <f aca="false">VLOOKUP(A124,BD_ORDENES!A:BE,20,FALSE())</f>
        <v>BEIGE</v>
      </c>
      <c r="L124" s="68" t="str">
        <f aca="false">VLOOKUP(A124,BD_ORDENES!A:BE,21,FALSE())</f>
        <v>MATIZ-WENGUE</v>
      </c>
      <c r="M124" s="69" t="n">
        <f aca="false">VLOOKUP(A124,BD_ORDENES!A:BE,14,FALSE())</f>
        <v>1</v>
      </c>
      <c r="N124" s="68" t="n">
        <f aca="false">VLOOKUP(A124,BD_ORDENES!A:BE,15,FALSE())</f>
        <v>0</v>
      </c>
      <c r="O124" s="68" t="str">
        <f aca="false">VLOOKUP(A124,BD_ORDENES!A:BE,33,FALSE())</f>
        <v>PROV. ALM. DOMICILIO</v>
      </c>
      <c r="P124" s="68" t="n">
        <f aca="false">VLOOKUP(A124,BD_ORDENES!A:BE,23,FALSE())</f>
        <v>0</v>
      </c>
      <c r="Q124" s="68" t="str">
        <f aca="false">VLOOKUP(A124,BD_ORDENES!A:BE,52,FALSE())</f>
        <v>Obtener Bajo Pedido (MTO)</v>
      </c>
      <c r="R124" s="68" t="str">
        <f aca="false">VLOOKUP(A124,BD_ORDENES!A:BE,25,FALSE())</f>
        <v>BOGOTA. D.C.</v>
      </c>
      <c r="S124" s="68" t="str">
        <f aca="false">VLOOKUP(A124,BD_ORDENES!A:BE,22,FALSE())</f>
        <v>WILMAR TANGARIFE</v>
      </c>
      <c r="T124" s="65" t="n">
        <f aca="false">VLOOKUP(A124,BD_ORDENES!A:BE,55,FALSE())</f>
        <v>0</v>
      </c>
      <c r="U124" s="68" t="str">
        <f aca="false">VLOOKUP(A124,BD_ORDENES!A:BE,57,FALSE())</f>
        <v>1.1 ENVIA</v>
      </c>
      <c r="V124" s="70"/>
      <c r="W124" s="71"/>
    </row>
    <row r="125" s="72" customFormat="true" ht="98.25" hidden="false" customHeight="true" outlineLevel="0" collapsed="false">
      <c r="A125" s="62" t="n">
        <f aca="false">A124+1</f>
        <v>118</v>
      </c>
      <c r="B125" s="63" t="str">
        <f aca="false">VLOOKUP(A125,BD_ORDENES!A:BG,12,FALSE())</f>
        <v>__export__.product_product_309654_b36f8d78</v>
      </c>
      <c r="C125" s="64" t="n">
        <v>118</v>
      </c>
      <c r="D125" s="65" t="str">
        <f aca="false">VLOOKUP(A125,BD_ORDENES!A:BE,10,0)</f>
        <v>HOME</v>
      </c>
      <c r="E125" s="66" t="n">
        <f aca="false">VLOOKUP(A125,BD_ORDENES!A:BG,4,FALSE())</f>
        <v>13933978</v>
      </c>
      <c r="F125" s="66" t="str">
        <f aca="false">VLOOKUP(A125,BD_ORDENES!A:BE,56,FALSE())</f>
        <v>S270382</v>
      </c>
      <c r="G125" s="67" t="str">
        <f aca="false">VLOOKUP(A125,BD_ORDENES!A:BE,13,FALSE())</f>
        <v>MESA DE NOCHE MOSCU CAJON BLANCO-TABACO (MATIZ CARAMELO)</v>
      </c>
      <c r="H125" s="68" t="str">
        <f aca="false">VLOOKUP(A125,BD_ORDENES!A:BE,17,FALSE())</f>
        <v>MESA-NOCHE</v>
      </c>
      <c r="I125" s="68" t="str">
        <f aca="false">VLOOKUP(A125,BD_ORDENES!A:BE,18,FALSE())</f>
        <v>MOSCU-CAJON</v>
      </c>
      <c r="J125" s="68" t="n">
        <f aca="false">VLOOKUP(A125,BD_ORDENES!A:BE,19,FALSE())</f>
        <v>0</v>
      </c>
      <c r="K125" s="68" t="str">
        <f aca="false">VLOOKUP(A125,BD_ORDENES!A:BE,20,FALSE())</f>
        <v>BLANCO-TABACO</v>
      </c>
      <c r="L125" s="68" t="str">
        <f aca="false">VLOOKUP(A125,BD_ORDENES!A:BE,21,FALSE())</f>
        <v>MATIZ-CARAMELO</v>
      </c>
      <c r="M125" s="69" t="n">
        <f aca="false">VLOOKUP(A125,BD_ORDENES!A:BE,14,FALSE())</f>
        <v>1</v>
      </c>
      <c r="N125" s="68" t="n">
        <f aca="false">VLOOKUP(A125,BD_ORDENES!A:BE,15,FALSE())</f>
        <v>0</v>
      </c>
      <c r="O125" s="68" t="str">
        <f aca="false">VLOOKUP(A125,BD_ORDENES!A:BE,33,FALSE())</f>
        <v>PROV. ALM. DOMICILIO</v>
      </c>
      <c r="P125" s="68" t="n">
        <f aca="false">VLOOKUP(A125,BD_ORDENES!A:BE,23,FALSE())</f>
        <v>0</v>
      </c>
      <c r="Q125" s="68" t="str">
        <f aca="false">VLOOKUP(A125,BD_ORDENES!A:BE,52,FALSE())</f>
        <v>Obtener Bajo Pedido (MTO)</v>
      </c>
      <c r="R125" s="68" t="str">
        <f aca="false">VLOOKUP(A125,BD_ORDENES!A:BE,25,FALSE())</f>
        <v>BOGOTA. D.C.</v>
      </c>
      <c r="S125" s="68" t="str">
        <f aca="false">VLOOKUP(A125,BD_ORDENES!A:BE,22,FALSE())</f>
        <v>MARITZA  DE HERNANDEZ</v>
      </c>
      <c r="T125" s="65" t="n">
        <f aca="false">VLOOKUP(A125,BD_ORDENES!A:BE,55,FALSE())</f>
        <v>0</v>
      </c>
      <c r="U125" s="68" t="str">
        <f aca="false">VLOOKUP(A125,BD_ORDENES!A:BE,57,FALSE())</f>
        <v>1.1 ENVIA</v>
      </c>
      <c r="V125" s="70"/>
      <c r="W125" s="71"/>
    </row>
    <row r="126" s="72" customFormat="true" ht="98.25" hidden="false" customHeight="true" outlineLevel="0" collapsed="false">
      <c r="A126" s="62" t="n">
        <f aca="false">A125+1</f>
        <v>119</v>
      </c>
      <c r="B126" s="63" t="str">
        <f aca="false">VLOOKUP(A126,BD_ORDENES!A:BG,12,FALSE())</f>
        <v>__export__.product_product_187810_e7731583</v>
      </c>
      <c r="C126" s="64" t="n">
        <v>119</v>
      </c>
      <c r="D126" s="65" t="str">
        <f aca="false">VLOOKUP(A126,BD_ORDENES!A:BE,10,0)</f>
        <v>HOME</v>
      </c>
      <c r="E126" s="66" t="n">
        <f aca="false">VLOOKUP(A126,BD_ORDENES!A:BG,4,FALSE())</f>
        <v>13933631</v>
      </c>
      <c r="F126" s="66" t="str">
        <f aca="false">VLOOKUP(A126,BD_ORDENES!A:BE,56,FALSE())</f>
        <v>S270380</v>
      </c>
      <c r="G126" s="67" t="str">
        <f aca="false">VLOOKUP(A126,BD_ORDENES!A:BE,13,FALSE())</f>
        <v>ESCRITORIO TAIRE DUNA (NEGRO)</v>
      </c>
      <c r="H126" s="68" t="str">
        <f aca="false">VLOOKUP(A126,BD_ORDENES!A:BE,17,FALSE())</f>
        <v>ESCRITORIO</v>
      </c>
      <c r="I126" s="68" t="str">
        <f aca="false">VLOOKUP(A126,BD_ORDENES!A:BE,18,FALSE())</f>
        <v>TAIRE</v>
      </c>
      <c r="J126" s="68" t="n">
        <f aca="false">VLOOKUP(A126,BD_ORDENES!A:BE,19,FALSE())</f>
        <v>0</v>
      </c>
      <c r="K126" s="68" t="str">
        <f aca="false">VLOOKUP(A126,BD_ORDENES!A:BE,20,FALSE())</f>
        <v>DUNA</v>
      </c>
      <c r="L126" s="68" t="str">
        <f aca="false">VLOOKUP(A126,BD_ORDENES!A:BE,21,FALSE())</f>
        <v>METALICO-NEGRO</v>
      </c>
      <c r="M126" s="69" t="n">
        <f aca="false">VLOOKUP(A126,BD_ORDENES!A:BE,14,FALSE())</f>
        <v>1</v>
      </c>
      <c r="N126" s="68" t="n">
        <f aca="false">VLOOKUP(A126,BD_ORDENES!A:BE,15,FALSE())</f>
        <v>0</v>
      </c>
      <c r="O126" s="68" t="str">
        <f aca="false">VLOOKUP(A126,BD_ORDENES!A:BE,33,FALSE())</f>
        <v>PROV. ALM. DOMICILIO</v>
      </c>
      <c r="P126" s="68" t="n">
        <f aca="false">VLOOKUP(A126,BD_ORDENES!A:BE,23,FALSE())</f>
        <v>0</v>
      </c>
      <c r="Q126" s="68" t="str">
        <f aca="false">VLOOKUP(A126,BD_ORDENES!A:BE,52,FALSE())</f>
        <v>Obtener Bajo Pedido (MTO)</v>
      </c>
      <c r="R126" s="68" t="str">
        <f aca="false">VLOOKUP(A126,BD_ORDENES!A:BE,25,FALSE())</f>
        <v>BOGOTA. D.C.</v>
      </c>
      <c r="S126" s="68" t="str">
        <f aca="false">VLOOKUP(A126,BD_ORDENES!A:BE,22,FALSE())</f>
        <v>OTGLOBAL</v>
      </c>
      <c r="T126" s="65" t="n">
        <f aca="false">VLOOKUP(A126,BD_ORDENES!A:BE,55,FALSE())</f>
        <v>0</v>
      </c>
      <c r="U126" s="68" t="str">
        <f aca="false">VLOOKUP(A126,BD_ORDENES!A:BE,57,FALSE())</f>
        <v>1.1 ENVIA</v>
      </c>
      <c r="V126" s="70"/>
      <c r="W126" s="71"/>
    </row>
    <row r="127" s="72" customFormat="true" ht="98.25" hidden="false" customHeight="true" outlineLevel="0" collapsed="false">
      <c r="A127" s="62" t="n">
        <f aca="false">A126+1</f>
        <v>120</v>
      </c>
      <c r="B127" s="63" t="str">
        <f aca="false">VLOOKUP(A127,BD_ORDENES!A:BG,12,FALSE())</f>
        <v>__export__.product_product_278387_8e8b7b40</v>
      </c>
      <c r="C127" s="64" t="n">
        <v>120</v>
      </c>
      <c r="D127" s="65" t="str">
        <f aca="false">VLOOKUP(A127,BD_ORDENES!A:BE,10,0)</f>
        <v>HOME</v>
      </c>
      <c r="E127" s="66" t="n">
        <f aca="false">VLOOKUP(A127,BD_ORDENES!A:BG,4,FALSE())</f>
        <v>13933614</v>
      </c>
      <c r="F127" s="66" t="str">
        <f aca="false">VLOOKUP(A127,BD_ORDENES!A:BE,56,FALSE())</f>
        <v>S270379</v>
      </c>
      <c r="G127" s="67" t="str">
        <f aca="false">VLOOKUP(A127,BD_ORDENES!A:BE,13,FALSE())</f>
        <v>SOFA BARZA DORSEY TAUPE (MATIZ NATURAL)</v>
      </c>
      <c r="H127" s="68" t="str">
        <f aca="false">VLOOKUP(A127,BD_ORDENES!A:BE,17,FALSE())</f>
        <v>SOFA</v>
      </c>
      <c r="I127" s="68" t="str">
        <f aca="false">VLOOKUP(A127,BD_ORDENES!A:BE,18,FALSE())</f>
        <v>BARZA</v>
      </c>
      <c r="J127" s="68" t="str">
        <f aca="false">VLOOKUP(A127,BD_ORDENES!A:BE,19,FALSE())</f>
        <v>DORSEY</v>
      </c>
      <c r="K127" s="68" t="str">
        <f aca="false">VLOOKUP(A127,BD_ORDENES!A:BE,20,FALSE())</f>
        <v>TAUPE</v>
      </c>
      <c r="L127" s="68" t="str">
        <f aca="false">VLOOKUP(A127,BD_ORDENES!A:BE,21,FALSE())</f>
        <v>MATIZ-NATURAL</v>
      </c>
      <c r="M127" s="69" t="n">
        <f aca="false">VLOOKUP(A127,BD_ORDENES!A:BE,14,FALSE())</f>
        <v>1</v>
      </c>
      <c r="N127" s="68" t="n">
        <f aca="false">VLOOKUP(A127,BD_ORDENES!A:BE,15,FALSE())</f>
        <v>0</v>
      </c>
      <c r="O127" s="68" t="str">
        <f aca="false">VLOOKUP(A127,BD_ORDENES!A:BE,33,FALSE())</f>
        <v>PROV. CLIENTE</v>
      </c>
      <c r="P127" s="68" t="n">
        <f aca="false">VLOOKUP(A127,BD_ORDENES!A:BE,23,FALSE())</f>
        <v>0</v>
      </c>
      <c r="Q127" s="68" t="str">
        <f aca="false">VLOOKUP(A127,BD_ORDENES!A:BE,52,FALSE())</f>
        <v>Obtener Bajo Pedido (MTO)</v>
      </c>
      <c r="R127" s="68" t="str">
        <f aca="false">VLOOKUP(A127,BD_ORDENES!A:BE,25,FALSE())</f>
        <v>TUNJA</v>
      </c>
      <c r="S127" s="68" t="str">
        <f aca="false">VLOOKUP(A127,BD_ORDENES!A:BE,22,FALSE())</f>
        <v>JESSICA JOHANA  MONROY PEÃ¿A</v>
      </c>
      <c r="T127" s="65" t="n">
        <f aca="false">VLOOKUP(A127,BD_ORDENES!A:BE,55,FALSE())</f>
        <v>0</v>
      </c>
      <c r="U127" s="68" t="str">
        <f aca="false">VLOOKUP(A127,BD_ORDENES!A:BE,57,FALSE())</f>
        <v>0 BODEGA</v>
      </c>
      <c r="V127" s="70"/>
      <c r="W127" s="71"/>
    </row>
    <row r="128" s="72" customFormat="true" ht="98.25" hidden="false" customHeight="true" outlineLevel="0" collapsed="false">
      <c r="A128" s="62" t="n">
        <f aca="false">A127+1</f>
        <v>121</v>
      </c>
      <c r="B128" s="63" t="str">
        <f aca="false">VLOOKUP(A128,BD_ORDENES!A:BG,12,FALSE())</f>
        <v>__export__.product_product_278249_77db49f9</v>
      </c>
      <c r="C128" s="64" t="n">
        <v>121</v>
      </c>
      <c r="D128" s="65" t="str">
        <f aca="false">VLOOKUP(A128,BD_ORDENES!A:BE,10,0)</f>
        <v>HOME</v>
      </c>
      <c r="E128" s="66" t="n">
        <f aca="false">VLOOKUP(A128,BD_ORDENES!A:BG,4,FALSE())</f>
        <v>13933614</v>
      </c>
      <c r="F128" s="66" t="str">
        <f aca="false">VLOOKUP(A128,BD_ORDENES!A:BE,56,FALSE())</f>
        <v>S270379</v>
      </c>
      <c r="G128" s="67" t="str">
        <f aca="false">VLOOKUP(A128,BD_ORDENES!A:BE,13,FALSE())</f>
        <v>POLTRONA BARZA DORSEY TAUPE (MATIZ NATURAL)</v>
      </c>
      <c r="H128" s="68" t="str">
        <f aca="false">VLOOKUP(A128,BD_ORDENES!A:BE,17,FALSE())</f>
        <v>POLTRONA</v>
      </c>
      <c r="I128" s="68" t="str">
        <f aca="false">VLOOKUP(A128,BD_ORDENES!A:BE,18,FALSE())</f>
        <v>BARZA</v>
      </c>
      <c r="J128" s="68" t="str">
        <f aca="false">VLOOKUP(A128,BD_ORDENES!A:BE,19,FALSE())</f>
        <v>DORSEY</v>
      </c>
      <c r="K128" s="68" t="str">
        <f aca="false">VLOOKUP(A128,BD_ORDENES!A:BE,20,FALSE())</f>
        <v>TAUPE</v>
      </c>
      <c r="L128" s="68" t="str">
        <f aca="false">VLOOKUP(A128,BD_ORDENES!A:BE,21,FALSE())</f>
        <v>MATIZ-NATURAL</v>
      </c>
      <c r="M128" s="69" t="n">
        <f aca="false">VLOOKUP(A128,BD_ORDENES!A:BE,14,FALSE())</f>
        <v>2</v>
      </c>
      <c r="N128" s="68" t="n">
        <f aca="false">VLOOKUP(A128,BD_ORDENES!A:BE,15,FALSE())</f>
        <v>0</v>
      </c>
      <c r="O128" s="68" t="str">
        <f aca="false">VLOOKUP(A128,BD_ORDENES!A:BE,33,FALSE())</f>
        <v>PROV. CLIENTE</v>
      </c>
      <c r="P128" s="68" t="n">
        <f aca="false">VLOOKUP(A128,BD_ORDENES!A:BE,23,FALSE())</f>
        <v>0</v>
      </c>
      <c r="Q128" s="68" t="str">
        <f aca="false">VLOOKUP(A128,BD_ORDENES!A:BE,52,FALSE())</f>
        <v>Obtener Bajo Pedido (MTO)</v>
      </c>
      <c r="R128" s="68" t="str">
        <f aca="false">VLOOKUP(A128,BD_ORDENES!A:BE,25,FALSE())</f>
        <v>TUNJA</v>
      </c>
      <c r="S128" s="68" t="str">
        <f aca="false">VLOOKUP(A128,BD_ORDENES!A:BE,22,FALSE())</f>
        <v>JESSICA JOHANA  MONROY PEÃ¿A</v>
      </c>
      <c r="T128" s="65" t="n">
        <f aca="false">VLOOKUP(A128,BD_ORDENES!A:BE,55,FALSE())</f>
        <v>0</v>
      </c>
      <c r="U128" s="68" t="str">
        <f aca="false">VLOOKUP(A128,BD_ORDENES!A:BE,57,FALSE())</f>
        <v>0 BODEGA</v>
      </c>
      <c r="V128" s="70"/>
      <c r="W128" s="71"/>
    </row>
    <row r="129" s="72" customFormat="true" ht="98.25" hidden="false" customHeight="true" outlineLevel="0" collapsed="false">
      <c r="A129" s="62" t="n">
        <f aca="false">A128+1</f>
        <v>122</v>
      </c>
      <c r="B129" s="63" t="str">
        <f aca="false">VLOOKUP(A129,BD_ORDENES!A:BG,12,FALSE())</f>
        <v>__export__.product_product_186853_6831599b</v>
      </c>
      <c r="C129" s="64" t="n">
        <v>122</v>
      </c>
      <c r="D129" s="65" t="str">
        <f aca="false">VLOOKUP(A129,BD_ORDENES!A:BE,10,0)</f>
        <v>HOME</v>
      </c>
      <c r="E129" s="66" t="n">
        <f aca="false">VLOOKUP(A129,BD_ORDENES!A:BG,4,FALSE())</f>
        <v>13933614</v>
      </c>
      <c r="F129" s="66" t="str">
        <f aca="false">VLOOKUP(A129,BD_ORDENES!A:BE,56,FALSE())</f>
        <v>S270379</v>
      </c>
      <c r="G129" s="67" t="str">
        <f aca="false">VLOOKUP(A129,BD_ORDENES!A:BE,13,FALSE())</f>
        <v>MESA DE CENTRO BARZA BLANCO (MATIZ NATURAL)</v>
      </c>
      <c r="H129" s="68" t="str">
        <f aca="false">VLOOKUP(A129,BD_ORDENES!A:BE,17,FALSE())</f>
        <v>MESA-CENTRO</v>
      </c>
      <c r="I129" s="68" t="str">
        <f aca="false">VLOOKUP(A129,BD_ORDENES!A:BE,18,FALSE())</f>
        <v>BARZA</v>
      </c>
      <c r="J129" s="68" t="n">
        <f aca="false">VLOOKUP(A129,BD_ORDENES!A:BE,19,FALSE())</f>
        <v>0</v>
      </c>
      <c r="K129" s="68" t="str">
        <f aca="false">VLOOKUP(A129,BD_ORDENES!A:BE,20,FALSE())</f>
        <v>BLANCO</v>
      </c>
      <c r="L129" s="68" t="str">
        <f aca="false">VLOOKUP(A129,BD_ORDENES!A:BE,21,FALSE())</f>
        <v>MATIZ-NATURAL</v>
      </c>
      <c r="M129" s="69" t="n">
        <f aca="false">VLOOKUP(A129,BD_ORDENES!A:BE,14,FALSE())</f>
        <v>1</v>
      </c>
      <c r="N129" s="68" t="n">
        <f aca="false">VLOOKUP(A129,BD_ORDENES!A:BE,15,FALSE())</f>
        <v>0</v>
      </c>
      <c r="O129" s="68" t="str">
        <f aca="false">VLOOKUP(A129,BD_ORDENES!A:BE,33,FALSE())</f>
        <v>PROV. CLIENTE</v>
      </c>
      <c r="P129" s="68" t="n">
        <f aca="false">VLOOKUP(A129,BD_ORDENES!A:BE,23,FALSE())</f>
        <v>0</v>
      </c>
      <c r="Q129" s="68" t="str">
        <f aca="false">VLOOKUP(A129,BD_ORDENES!A:BE,52,FALSE())</f>
        <v>Obtener Bajo Pedido (MTO)</v>
      </c>
      <c r="R129" s="68" t="str">
        <f aca="false">VLOOKUP(A129,BD_ORDENES!A:BE,25,FALSE())</f>
        <v>TUNJA</v>
      </c>
      <c r="S129" s="68" t="str">
        <f aca="false">VLOOKUP(A129,BD_ORDENES!A:BE,22,FALSE())</f>
        <v>JESSICA JOHANA  MONROY PEÃ¿A</v>
      </c>
      <c r="T129" s="65" t="n">
        <f aca="false">VLOOKUP(A129,BD_ORDENES!A:BE,55,FALSE())</f>
        <v>0</v>
      </c>
      <c r="U129" s="68" t="str">
        <f aca="false">VLOOKUP(A129,BD_ORDENES!A:BE,57,FALSE())</f>
        <v>0 BODEGA</v>
      </c>
      <c r="V129" s="70"/>
      <c r="W129" s="71"/>
    </row>
    <row r="130" s="72" customFormat="true" ht="98.25" hidden="false" customHeight="true" outlineLevel="0" collapsed="false">
      <c r="A130" s="62" t="n">
        <f aca="false">A129+1</f>
        <v>123</v>
      </c>
      <c r="B130" s="63" t="str">
        <f aca="false">VLOOKUP(A130,BD_ORDENES!A:BG,12,FALSE())</f>
        <v>__export__.product_product_296784_5527de45</v>
      </c>
      <c r="C130" s="64" t="n">
        <v>123</v>
      </c>
      <c r="D130" s="65" t="str">
        <f aca="false">VLOOKUP(A130,BD_ORDENES!A:BE,10,0)</f>
        <v>HOME</v>
      </c>
      <c r="E130" s="66" t="n">
        <f aca="false">VLOOKUP(A130,BD_ORDENES!A:BG,4,FALSE())</f>
        <v>13932652</v>
      </c>
      <c r="F130" s="66" t="str">
        <f aca="false">VLOOKUP(A130,BD_ORDENES!A:BE,56,FALSE())</f>
        <v>S270288</v>
      </c>
      <c r="G130" s="67" t="str">
        <f aca="false">VLOOKUP(A130,BD_ORDENES!A:BE,13,FALSE())</f>
        <v>MESA VORU JG6 CEDRO</v>
      </c>
      <c r="H130" s="68" t="str">
        <f aca="false">VLOOKUP(A130,BD_ORDENES!A:BE,17,FALSE())</f>
        <v>MESA</v>
      </c>
      <c r="I130" s="68" t="str">
        <f aca="false">VLOOKUP(A130,BD_ORDENES!A:BE,18,FALSE())</f>
        <v>VORU-JG6</v>
      </c>
      <c r="J130" s="68" t="n">
        <f aca="false">VLOOKUP(A130,BD_ORDENES!A:BE,19,FALSE())</f>
        <v>0</v>
      </c>
      <c r="K130" s="68" t="str">
        <f aca="false">VLOOKUP(A130,BD_ORDENES!A:BE,20,FALSE())</f>
        <v>CEDRO</v>
      </c>
      <c r="L130" s="68" t="n">
        <f aca="false">VLOOKUP(A130,BD_ORDENES!A:BE,21,FALSE())</f>
        <v>0</v>
      </c>
      <c r="M130" s="69" t="n">
        <f aca="false">VLOOKUP(A130,BD_ORDENES!A:BE,14,FALSE())</f>
        <v>1</v>
      </c>
      <c r="N130" s="68" t="n">
        <f aca="false">VLOOKUP(A130,BD_ORDENES!A:BE,15,FALSE())</f>
        <v>0</v>
      </c>
      <c r="O130" s="68" t="str">
        <f aca="false">VLOOKUP(A130,BD_ORDENES!A:BE,33,FALSE())</f>
        <v>PROV. ALM. DOMICILIO</v>
      </c>
      <c r="P130" s="68" t="n">
        <f aca="false">VLOOKUP(A130,BD_ORDENES!A:BE,23,FALSE())</f>
        <v>0</v>
      </c>
      <c r="Q130" s="68" t="str">
        <f aca="false">VLOOKUP(A130,BD_ORDENES!A:BE,52,FALSE())</f>
        <v>Obtener Bajo Pedido (MTO)</v>
      </c>
      <c r="R130" s="68" t="str">
        <f aca="false">VLOOKUP(A130,BD_ORDENES!A:BE,25,FALSE())</f>
        <v>BOGOTA. D.C.</v>
      </c>
      <c r="S130" s="68" t="str">
        <f aca="false">VLOOKUP(A130,BD_ORDENES!A:BE,22,FALSE())</f>
        <v>JOHN URQUIJO OVIEDO</v>
      </c>
      <c r="T130" s="65" t="str">
        <f aca="false">VLOOKUP(A130,BD_ORDENES!A:BE,55,FALSE())</f>
        <v>PRODUCCION</v>
      </c>
      <c r="U130" s="68" t="str">
        <f aca="false">VLOOKUP(A130,BD_ORDENES!A:BE,57,FALSE())</f>
        <v>1.1 ENVIA</v>
      </c>
      <c r="V130" s="70"/>
      <c r="W130" s="71"/>
    </row>
    <row r="131" s="72" customFormat="true" ht="98.25" hidden="false" customHeight="true" outlineLevel="0" collapsed="false">
      <c r="A131" s="62" t="n">
        <f aca="false">A130+1</f>
        <v>124</v>
      </c>
      <c r="B131" s="63" t="str">
        <f aca="false">VLOOKUP(A131,BD_ORDENES!A:BG,12,FALSE())</f>
        <v>__export__.product_product_178398_bb382b1b</v>
      </c>
      <c r="C131" s="64" t="n">
        <v>124</v>
      </c>
      <c r="D131" s="65" t="str">
        <f aca="false">VLOOKUP(A131,BD_ORDENES!A:BE,10,0)</f>
        <v>HOME</v>
      </c>
      <c r="E131" s="66" t="n">
        <f aca="false">VLOOKUP(A131,BD_ORDENES!A:BG,4,FALSE())</f>
        <v>13932652</v>
      </c>
      <c r="F131" s="66" t="str">
        <f aca="false">VLOOKUP(A131,BD_ORDENES!A:BE,56,FALSE())</f>
        <v>S270288</v>
      </c>
      <c r="G131" s="67" t="str">
        <f aca="false">VLOOKUP(A131,BD_ORDENES!A:BE,13,FALSE())</f>
        <v>SILLA VENECIA DUSTER PLATA</v>
      </c>
      <c r="H131" s="68" t="str">
        <f aca="false">VLOOKUP(A131,BD_ORDENES!A:BE,17,FALSE())</f>
        <v>SILLA</v>
      </c>
      <c r="I131" s="68" t="str">
        <f aca="false">VLOOKUP(A131,BD_ORDENES!A:BE,18,FALSE())</f>
        <v>VENECIA</v>
      </c>
      <c r="J131" s="68" t="str">
        <f aca="false">VLOOKUP(A131,BD_ORDENES!A:BE,19,FALSE())</f>
        <v>DUSTER</v>
      </c>
      <c r="K131" s="68" t="str">
        <f aca="false">VLOOKUP(A131,BD_ORDENES!A:BE,20,FALSE())</f>
        <v>PLATA</v>
      </c>
      <c r="L131" s="68" t="n">
        <f aca="false">VLOOKUP(A131,BD_ORDENES!A:BE,21,FALSE())</f>
        <v>0</v>
      </c>
      <c r="M131" s="69" t="n">
        <f aca="false">VLOOKUP(A131,BD_ORDENES!A:BE,14,FALSE())</f>
        <v>4</v>
      </c>
      <c r="N131" s="68" t="n">
        <f aca="false">VLOOKUP(A131,BD_ORDENES!A:BE,15,FALSE())</f>
        <v>0</v>
      </c>
      <c r="O131" s="68" t="str">
        <f aca="false">VLOOKUP(A131,BD_ORDENES!A:BE,33,FALSE())</f>
        <v>PROV. ALM. DOMICILIO</v>
      </c>
      <c r="P131" s="68" t="n">
        <f aca="false">VLOOKUP(A131,BD_ORDENES!A:BE,23,FALSE())</f>
        <v>0</v>
      </c>
      <c r="Q131" s="68" t="str">
        <f aca="false">VLOOKUP(A131,BD_ORDENES!A:BE,52,FALSE())</f>
        <v>Obtener Bajo Pedido (MTO)</v>
      </c>
      <c r="R131" s="68" t="str">
        <f aca="false">VLOOKUP(A131,BD_ORDENES!A:BE,25,FALSE())</f>
        <v>BOGOTA. D.C.</v>
      </c>
      <c r="S131" s="68" t="str">
        <f aca="false">VLOOKUP(A131,BD_ORDENES!A:BE,22,FALSE())</f>
        <v>JOHN URQUIJO OVIEDO</v>
      </c>
      <c r="T131" s="65" t="str">
        <f aca="false">VLOOKUP(A131,BD_ORDENES!A:BE,55,FALSE())</f>
        <v>PRODUCCION</v>
      </c>
      <c r="U131" s="68" t="str">
        <f aca="false">VLOOKUP(A131,BD_ORDENES!A:BE,57,FALSE())</f>
        <v>1.1 ENVIA</v>
      </c>
      <c r="V131" s="70"/>
      <c r="W131" s="71"/>
    </row>
    <row r="132" s="72" customFormat="true" ht="98.25" hidden="false" customHeight="true" outlineLevel="0" collapsed="false">
      <c r="A132" s="62" t="n">
        <f aca="false">A131+1</f>
        <v>125</v>
      </c>
      <c r="B132" s="63" t="str">
        <f aca="false">VLOOKUP(A132,BD_ORDENES!A:BG,12,FALSE())</f>
        <v>__export__.product_product_162601_9d465673</v>
      </c>
      <c r="C132" s="64" t="n">
        <v>125</v>
      </c>
      <c r="D132" s="65" t="str">
        <f aca="false">VLOOKUP(A132,BD_ORDENES!A:BE,10,0)</f>
        <v>HOME</v>
      </c>
      <c r="E132" s="66" t="n">
        <f aca="false">VLOOKUP(A132,BD_ORDENES!A:BG,4,FALSE())</f>
        <v>13932652</v>
      </c>
      <c r="F132" s="66" t="str">
        <f aca="false">VLOOKUP(A132,BD_ORDENES!A:BE,56,FALSE())</f>
        <v>S270288</v>
      </c>
      <c r="G132" s="67" t="str">
        <f aca="false">VLOOKUP(A132,BD_ORDENES!A:BE,13,FALSE())</f>
        <v>BUTACO VIENA DUSTER PLATA (MATIZ CARAMELO)</v>
      </c>
      <c r="H132" s="68" t="str">
        <f aca="false">VLOOKUP(A132,BD_ORDENES!A:BE,17,FALSE())</f>
        <v>BUTACO</v>
      </c>
      <c r="I132" s="68" t="str">
        <f aca="false">VLOOKUP(A132,BD_ORDENES!A:BE,18,FALSE())</f>
        <v>VIENA</v>
      </c>
      <c r="J132" s="68" t="str">
        <f aca="false">VLOOKUP(A132,BD_ORDENES!A:BE,19,FALSE())</f>
        <v>DUSTER</v>
      </c>
      <c r="K132" s="68" t="str">
        <f aca="false">VLOOKUP(A132,BD_ORDENES!A:BE,20,FALSE())</f>
        <v>PLATA</v>
      </c>
      <c r="L132" s="68" t="str">
        <f aca="false">VLOOKUP(A132,BD_ORDENES!A:BE,21,FALSE())</f>
        <v>MATIZ-CARAMELO</v>
      </c>
      <c r="M132" s="69" t="n">
        <f aca="false">VLOOKUP(A132,BD_ORDENES!A:BE,14,FALSE())</f>
        <v>1</v>
      </c>
      <c r="N132" s="68" t="n">
        <f aca="false">VLOOKUP(A132,BD_ORDENES!A:BE,15,FALSE())</f>
        <v>0</v>
      </c>
      <c r="O132" s="68" t="str">
        <f aca="false">VLOOKUP(A132,BD_ORDENES!A:BE,33,FALSE())</f>
        <v>PROV. ALM. DOMICILIO</v>
      </c>
      <c r="P132" s="68" t="n">
        <f aca="false">VLOOKUP(A132,BD_ORDENES!A:BE,23,FALSE())</f>
        <v>0</v>
      </c>
      <c r="Q132" s="68" t="str">
        <f aca="false">VLOOKUP(A132,BD_ORDENES!A:BE,52,FALSE())</f>
        <v>Obtener Bajo Pedido (MTO)</v>
      </c>
      <c r="R132" s="68" t="str">
        <f aca="false">VLOOKUP(A132,BD_ORDENES!A:BE,25,FALSE())</f>
        <v>BOGOTA. D.C.</v>
      </c>
      <c r="S132" s="68" t="str">
        <f aca="false">VLOOKUP(A132,BD_ORDENES!A:BE,22,FALSE())</f>
        <v>JOHN URQUIJO OVIEDO</v>
      </c>
      <c r="T132" s="65" t="str">
        <f aca="false">VLOOKUP(A132,BD_ORDENES!A:BE,55,FALSE())</f>
        <v>PRODUCCION</v>
      </c>
      <c r="U132" s="68" t="str">
        <f aca="false">VLOOKUP(A132,BD_ORDENES!A:BE,57,FALSE())</f>
        <v>1.1 ENVIA</v>
      </c>
      <c r="V132" s="70"/>
      <c r="W132" s="71"/>
    </row>
    <row r="133" s="72" customFormat="true" ht="98.25" hidden="false" customHeight="true" outlineLevel="0" collapsed="false">
      <c r="A133" s="62" t="n">
        <f aca="false">A132+1</f>
        <v>126</v>
      </c>
      <c r="B133" s="63" t="str">
        <f aca="false">VLOOKUP(A133,BD_ORDENES!A:BG,12,FALSE())</f>
        <v>__export__.product_product_332369_53c356e9</v>
      </c>
      <c r="C133" s="64" t="n">
        <v>126</v>
      </c>
      <c r="D133" s="65" t="str">
        <f aca="false">VLOOKUP(A133,BD_ORDENES!A:BE,10,0)</f>
        <v>HOME</v>
      </c>
      <c r="E133" s="66" t="n">
        <f aca="false">VLOOKUP(A133,BD_ORDENES!A:BG,4,FALSE())</f>
        <v>13932136</v>
      </c>
      <c r="F133" s="66" t="str">
        <f aca="false">VLOOKUP(A133,BD_ORDENES!A:BE,56,FALSE())</f>
        <v>S270284</v>
      </c>
      <c r="G133" s="67" t="str">
        <f aca="false">VLOOKUP(A133,BD_ORDENES!A:BE,13,FALSE())</f>
        <v>POLTRONA DOMINIC DENVER PETROLEO (MATIZ NATURAL)</v>
      </c>
      <c r="H133" s="68" t="str">
        <f aca="false">VLOOKUP(A133,BD_ORDENES!A:BE,17,FALSE())</f>
        <v>POLTRONA</v>
      </c>
      <c r="I133" s="68" t="str">
        <f aca="false">VLOOKUP(A133,BD_ORDENES!A:BE,18,FALSE())</f>
        <v>DOMINIC</v>
      </c>
      <c r="J133" s="68" t="str">
        <f aca="false">VLOOKUP(A133,BD_ORDENES!A:BE,19,FALSE())</f>
        <v>DENVER</v>
      </c>
      <c r="K133" s="68" t="str">
        <f aca="false">VLOOKUP(A133,BD_ORDENES!A:BE,20,FALSE())</f>
        <v>PETROLEO</v>
      </c>
      <c r="L133" s="68" t="str">
        <f aca="false">VLOOKUP(A133,BD_ORDENES!A:BE,21,FALSE())</f>
        <v>MATIZ-NATURAL</v>
      </c>
      <c r="M133" s="69" t="n">
        <f aca="false">VLOOKUP(A133,BD_ORDENES!A:BE,14,FALSE())</f>
        <v>1</v>
      </c>
      <c r="N133" s="68" t="n">
        <f aca="false">VLOOKUP(A133,BD_ORDENES!A:BE,15,FALSE())</f>
        <v>0</v>
      </c>
      <c r="O133" s="68" t="str">
        <f aca="false">VLOOKUP(A133,BD_ORDENES!A:BE,33,FALSE())</f>
        <v>PROV. CLIENTE</v>
      </c>
      <c r="P133" s="68" t="n">
        <f aca="false">VLOOKUP(A133,BD_ORDENES!A:BE,23,FALSE())</f>
        <v>0</v>
      </c>
      <c r="Q133" s="68" t="str">
        <f aca="false">VLOOKUP(A133,BD_ORDENES!A:BE,52,FALSE())</f>
        <v>Obtener Bajo Pedido (MTO)</v>
      </c>
      <c r="R133" s="68" t="str">
        <f aca="false">VLOOKUP(A133,BD_ORDENES!A:BE,25,FALSE())</f>
        <v>VALLEDUPAR</v>
      </c>
      <c r="S133" s="68" t="str">
        <f aca="false">VLOOKUP(A133,BD_ORDENES!A:BE,22,FALSE())</f>
        <v>JOSE FRANCISCO QUINTERO VIZCAINO</v>
      </c>
      <c r="T133" s="65" t="n">
        <f aca="false">VLOOKUP(A133,BD_ORDENES!A:BE,55,FALSE())</f>
        <v>0</v>
      </c>
      <c r="U133" s="68" t="str">
        <f aca="false">VLOOKUP(A133,BD_ORDENES!A:BE,57,FALSE())</f>
        <v>1.1 ENVIA</v>
      </c>
      <c r="V133" s="70"/>
      <c r="W133" s="71"/>
    </row>
    <row r="134" s="72" customFormat="true" ht="98.25" hidden="false" customHeight="true" outlineLevel="0" collapsed="false">
      <c r="A134" s="62" t="n">
        <f aca="false">A133+1</f>
        <v>127</v>
      </c>
      <c r="B134" s="63" t="str">
        <f aca="false">VLOOKUP(A134,BD_ORDENES!A:BG,12,FALSE())</f>
        <v>__export__.product_product_285061_9a4bf66c</v>
      </c>
      <c r="C134" s="64" t="n">
        <v>127</v>
      </c>
      <c r="D134" s="65" t="str">
        <f aca="false">VLOOKUP(A134,BD_ORDENES!A:BE,10,0)</f>
        <v>HOME</v>
      </c>
      <c r="E134" s="66" t="n">
        <f aca="false">VLOOKUP(A134,BD_ORDENES!A:BG,4,FALSE())</f>
        <v>13932083</v>
      </c>
      <c r="F134" s="66" t="str">
        <f aca="false">VLOOKUP(A134,BD_ORDENES!A:BE,56,FALSE())</f>
        <v>S270282</v>
      </c>
      <c r="G134" s="67" t="str">
        <f aca="false">VLOOKUP(A134,BD_ORDENES!A:BE,13,FALSE())</f>
        <v>CUADRO CALLE ANTIGUA M (70X45)</v>
      </c>
      <c r="H134" s="68" t="str">
        <f aca="false">VLOOKUP(A134,BD_ORDENES!A:BE,17,FALSE())</f>
        <v>CUADRO</v>
      </c>
      <c r="I134" s="68" t="str">
        <f aca="false">VLOOKUP(A134,BD_ORDENES!A:BE,18,FALSE())</f>
        <v>CALLE-ANTIGUA-M-(70X45)</v>
      </c>
      <c r="J134" s="68" t="n">
        <f aca="false">VLOOKUP(A134,BD_ORDENES!A:BE,19,FALSE())</f>
        <v>0</v>
      </c>
      <c r="K134" s="68" t="n">
        <f aca="false">VLOOKUP(A134,BD_ORDENES!A:BE,20,FALSE())</f>
        <v>0</v>
      </c>
      <c r="L134" s="68" t="n">
        <f aca="false">VLOOKUP(A134,BD_ORDENES!A:BE,21,FALSE())</f>
        <v>0</v>
      </c>
      <c r="M134" s="69" t="n">
        <f aca="false">VLOOKUP(A134,BD_ORDENES!A:BE,14,FALSE())</f>
        <v>1</v>
      </c>
      <c r="N134" s="68" t="n">
        <f aca="false">VLOOKUP(A134,BD_ORDENES!A:BE,15,FALSE())</f>
        <v>0</v>
      </c>
      <c r="O134" s="68" t="str">
        <f aca="false">VLOOKUP(A134,BD_ORDENES!A:BE,33,FALSE())</f>
        <v>PROV. ALM. RETIRO EN TIENDA</v>
      </c>
      <c r="P134" s="68" t="n">
        <f aca="false">VLOOKUP(A134,BD_ORDENES!A:BE,23,FALSE())</f>
        <v>0</v>
      </c>
      <c r="Q134" s="68" t="str">
        <f aca="false">VLOOKUP(A134,BD_ORDENES!A:BE,52,FALSE())</f>
        <v>Retiro DECORACION POR ENTREGAR</v>
      </c>
      <c r="R134" s="68" t="str">
        <f aca="false">VLOOKUP(A134,BD_ORDENES!A:BE,25,FALSE())</f>
        <v>BOGOTA. D.C.</v>
      </c>
      <c r="S134" s="68" t="str">
        <f aca="false">VLOOKUP(A134,BD_ORDENES!A:BE,22,FALSE())</f>
        <v>DIANA  CASTRO LIZARAZO</v>
      </c>
      <c r="T134" s="65" t="str">
        <f aca="false">VLOOKUP(A134,BD_ORDENES!A:BE,55,FALSE())</f>
        <v>LOGISTICA</v>
      </c>
      <c r="U134" s="68" t="str">
        <f aca="false">VLOOKUP(A134,BD_ORDENES!A:BE,57,FALSE())</f>
        <v>1.1 ENVIA</v>
      </c>
      <c r="V134" s="70"/>
      <c r="W134" s="71"/>
    </row>
    <row r="135" s="72" customFormat="true" ht="98.25" hidden="false" customHeight="true" outlineLevel="0" collapsed="false">
      <c r="A135" s="62" t="n">
        <f aca="false">A134+1</f>
        <v>128</v>
      </c>
      <c r="B135" s="63" t="str">
        <f aca="false">VLOOKUP(A135,BD_ORDENES!A:BG,12,FALSE())</f>
        <v>__export__.product_product_179997_acd10bc4</v>
      </c>
      <c r="C135" s="64" t="n">
        <v>128</v>
      </c>
      <c r="D135" s="65" t="str">
        <f aca="false">VLOOKUP(A135,BD_ORDENES!A:BE,10,0)</f>
        <v>HOME</v>
      </c>
      <c r="E135" s="66" t="n">
        <f aca="false">VLOOKUP(A135,BD_ORDENES!A:BG,4,FALSE())</f>
        <v>13928900</v>
      </c>
      <c r="F135" s="66" t="str">
        <f aca="false">VLOOKUP(A135,BD_ORDENES!A:BE,56,FALSE())</f>
        <v>S270279</v>
      </c>
      <c r="G135" s="67" t="str">
        <f aca="false">VLOOKUP(A135,BD_ORDENES!A:BE,13,FALSE())</f>
        <v>POLTRONA OSLO DUSTER ROJO (MATIZ NATURAL)</v>
      </c>
      <c r="H135" s="68" t="str">
        <f aca="false">VLOOKUP(A135,BD_ORDENES!A:BE,17,FALSE())</f>
        <v>POLTRONA</v>
      </c>
      <c r="I135" s="68" t="str">
        <f aca="false">VLOOKUP(A135,BD_ORDENES!A:BE,18,FALSE())</f>
        <v>OSLO</v>
      </c>
      <c r="J135" s="68" t="str">
        <f aca="false">VLOOKUP(A135,BD_ORDENES!A:BE,19,FALSE())</f>
        <v>DUSTER</v>
      </c>
      <c r="K135" s="68" t="str">
        <f aca="false">VLOOKUP(A135,BD_ORDENES!A:BE,20,FALSE())</f>
        <v>ROJO</v>
      </c>
      <c r="L135" s="68" t="str">
        <f aca="false">VLOOKUP(A135,BD_ORDENES!A:BE,21,FALSE())</f>
        <v>MATIZ-NATURAL</v>
      </c>
      <c r="M135" s="69" t="n">
        <f aca="false">VLOOKUP(A135,BD_ORDENES!A:BE,14,FALSE())</f>
        <v>4</v>
      </c>
      <c r="N135" s="68" t="n">
        <f aca="false">VLOOKUP(A135,BD_ORDENES!A:BE,15,FALSE())</f>
        <v>0</v>
      </c>
      <c r="O135" s="68" t="str">
        <f aca="false">VLOOKUP(A135,BD_ORDENES!A:BE,33,FALSE())</f>
        <v>PROV. CLIENTE</v>
      </c>
      <c r="P135" s="68" t="n">
        <f aca="false">VLOOKUP(A135,BD_ORDENES!A:BE,23,FALSE())</f>
        <v>0</v>
      </c>
      <c r="Q135" s="68" t="str">
        <f aca="false">VLOOKUP(A135,BD_ORDENES!A:BE,52,FALSE())</f>
        <v>Obtener Bajo Pedido (MTO)</v>
      </c>
      <c r="R135" s="68" t="str">
        <f aca="false">VLOOKUP(A135,BD_ORDENES!A:BE,25,FALSE())</f>
        <v>POPAYAN</v>
      </c>
      <c r="S135" s="68" t="str">
        <f aca="false">VLOOKUP(A135,BD_ORDENES!A:BE,22,FALSE())</f>
        <v>FUNDACION  EDUCATIVA INTEGRAL</v>
      </c>
      <c r="T135" s="65" t="n">
        <f aca="false">VLOOKUP(A135,BD_ORDENES!A:BE,55,FALSE())</f>
        <v>0</v>
      </c>
      <c r="U135" s="68" t="str">
        <f aca="false">VLOOKUP(A135,BD_ORDENES!A:BE,57,FALSE())</f>
        <v>1.1 ENVIA</v>
      </c>
      <c r="V135" s="70"/>
      <c r="W135" s="71"/>
    </row>
    <row r="136" s="72" customFormat="true" ht="98.25" hidden="false" customHeight="true" outlineLevel="0" collapsed="false">
      <c r="A136" s="62" t="n">
        <f aca="false">A135+1</f>
        <v>129</v>
      </c>
      <c r="B136" s="63" t="str">
        <f aca="false">VLOOKUP(A136,BD_ORDENES!A:BG,12,FALSE())</f>
        <v>__export__.product_product_179982_24fd0404</v>
      </c>
      <c r="C136" s="64" t="n">
        <v>129</v>
      </c>
      <c r="D136" s="65" t="str">
        <f aca="false">VLOOKUP(A136,BD_ORDENES!A:BE,10,0)</f>
        <v>HOME</v>
      </c>
      <c r="E136" s="66" t="n">
        <f aca="false">VLOOKUP(A136,BD_ORDENES!A:BG,4,FALSE())</f>
        <v>13928900</v>
      </c>
      <c r="F136" s="66" t="str">
        <f aca="false">VLOOKUP(A136,BD_ORDENES!A:BE,56,FALSE())</f>
        <v>S270279</v>
      </c>
      <c r="G136" s="67" t="str">
        <f aca="false">VLOOKUP(A136,BD_ORDENES!A:BE,13,FALSE())</f>
        <v>POLTRONA OSLO DUSTER AZUL (MATIZ NATURAL)</v>
      </c>
      <c r="H136" s="68" t="str">
        <f aca="false">VLOOKUP(A136,BD_ORDENES!A:BE,17,FALSE())</f>
        <v>POLTRONA</v>
      </c>
      <c r="I136" s="68" t="str">
        <f aca="false">VLOOKUP(A136,BD_ORDENES!A:BE,18,FALSE())</f>
        <v>OSLO</v>
      </c>
      <c r="J136" s="68" t="str">
        <f aca="false">VLOOKUP(A136,BD_ORDENES!A:BE,19,FALSE())</f>
        <v>DUSTER</v>
      </c>
      <c r="K136" s="68" t="str">
        <f aca="false">VLOOKUP(A136,BD_ORDENES!A:BE,20,FALSE())</f>
        <v>AZUL</v>
      </c>
      <c r="L136" s="68" t="str">
        <f aca="false">VLOOKUP(A136,BD_ORDENES!A:BE,21,FALSE())</f>
        <v>MATIZ-NATURAL</v>
      </c>
      <c r="M136" s="69" t="n">
        <f aca="false">VLOOKUP(A136,BD_ORDENES!A:BE,14,FALSE())</f>
        <v>4</v>
      </c>
      <c r="N136" s="68" t="n">
        <f aca="false">VLOOKUP(A136,BD_ORDENES!A:BE,15,FALSE())</f>
        <v>0</v>
      </c>
      <c r="O136" s="68" t="str">
        <f aca="false">VLOOKUP(A136,BD_ORDENES!A:BE,33,FALSE())</f>
        <v>PROV. CLIENTE</v>
      </c>
      <c r="P136" s="68" t="n">
        <f aca="false">VLOOKUP(A136,BD_ORDENES!A:BE,23,FALSE())</f>
        <v>0</v>
      </c>
      <c r="Q136" s="68" t="str">
        <f aca="false">VLOOKUP(A136,BD_ORDENES!A:BE,52,FALSE())</f>
        <v>Obtener Bajo Pedido (MTO)</v>
      </c>
      <c r="R136" s="68" t="str">
        <f aca="false">VLOOKUP(A136,BD_ORDENES!A:BE,25,FALSE())</f>
        <v>POPAYAN</v>
      </c>
      <c r="S136" s="68" t="str">
        <f aca="false">VLOOKUP(A136,BD_ORDENES!A:BE,22,FALSE())</f>
        <v>FUNDACION  EDUCATIVA INTEGRAL</v>
      </c>
      <c r="T136" s="65" t="n">
        <f aca="false">VLOOKUP(A136,BD_ORDENES!A:BE,55,FALSE())</f>
        <v>0</v>
      </c>
      <c r="U136" s="68" t="str">
        <f aca="false">VLOOKUP(A136,BD_ORDENES!A:BE,57,FALSE())</f>
        <v>1.1 ENVIA</v>
      </c>
      <c r="V136" s="70"/>
      <c r="W136" s="71"/>
    </row>
    <row r="137" s="72" customFormat="true" ht="98.25" hidden="false" customHeight="true" outlineLevel="0" collapsed="false">
      <c r="A137" s="62" t="n">
        <f aca="false">A136+1</f>
        <v>130</v>
      </c>
      <c r="B137" s="63" t="str">
        <f aca="false">VLOOKUP(A137,BD_ORDENES!A:BG,12,FALSE())</f>
        <v>__export__.product_product_333396_ce713bec</v>
      </c>
      <c r="C137" s="64" t="n">
        <v>130</v>
      </c>
      <c r="D137" s="65" t="str">
        <f aca="false">VLOOKUP(A137,BD_ORDENES!A:BE,10,0)</f>
        <v>HOME</v>
      </c>
      <c r="E137" s="66" t="n">
        <f aca="false">VLOOKUP(A137,BD_ORDENES!A:BG,4,FALSE())</f>
        <v>13928149</v>
      </c>
      <c r="F137" s="66" t="str">
        <f aca="false">VLOOKUP(A137,BD_ORDENES!A:BE,56,FALSE())</f>
        <v>S270277</v>
      </c>
      <c r="G137" s="67" t="str">
        <f aca="false">VLOOKUP(A137,BD_ORDENES!A:BE,13,FALSE())</f>
        <v>PUFF BEAN SKY GRIS</v>
      </c>
      <c r="H137" s="68" t="str">
        <f aca="false">VLOOKUP(A137,BD_ORDENES!A:BE,17,FALSE())</f>
        <v>PUFF</v>
      </c>
      <c r="I137" s="68" t="str">
        <f aca="false">VLOOKUP(A137,BD_ORDENES!A:BE,18,FALSE())</f>
        <v>BEAN</v>
      </c>
      <c r="J137" s="68" t="str">
        <f aca="false">VLOOKUP(A137,BD_ORDENES!A:BE,19,FALSE())</f>
        <v>SKY</v>
      </c>
      <c r="K137" s="68" t="str">
        <f aca="false">VLOOKUP(A137,BD_ORDENES!A:BE,20,FALSE())</f>
        <v>GRIS</v>
      </c>
      <c r="L137" s="68" t="n">
        <f aca="false">VLOOKUP(A137,BD_ORDENES!A:BE,21,FALSE())</f>
        <v>0</v>
      </c>
      <c r="M137" s="69" t="n">
        <f aca="false">VLOOKUP(A137,BD_ORDENES!A:BE,14,FALSE())</f>
        <v>2</v>
      </c>
      <c r="N137" s="68" t="n">
        <f aca="false">VLOOKUP(A137,BD_ORDENES!A:BE,15,FALSE())</f>
        <v>0</v>
      </c>
      <c r="O137" s="68" t="str">
        <f aca="false">VLOOKUP(A137,BD_ORDENES!A:BE,33,FALSE())</f>
        <v>PROV. ALM. DOMICILIO</v>
      </c>
      <c r="P137" s="68" t="n">
        <f aca="false">VLOOKUP(A137,BD_ORDENES!A:BE,23,FALSE())</f>
        <v>0</v>
      </c>
      <c r="Q137" s="68" t="str">
        <f aca="false">VLOOKUP(A137,BD_ORDENES!A:BE,52,FALSE())</f>
        <v>Obtener Bajo Pedido (MTO)</v>
      </c>
      <c r="R137" s="68" t="str">
        <f aca="false">VLOOKUP(A137,BD_ORDENES!A:BE,25,FALSE())</f>
        <v>BOGOTA. D.C.</v>
      </c>
      <c r="S137" s="68" t="str">
        <f aca="false">VLOOKUP(A137,BD_ORDENES!A:BE,22,FALSE())</f>
        <v>PARATODOYA SAS</v>
      </c>
      <c r="T137" s="65" t="n">
        <f aca="false">VLOOKUP(A137,BD_ORDENES!A:BE,55,FALSE())</f>
        <v>0</v>
      </c>
      <c r="U137" s="68" t="str">
        <f aca="false">VLOOKUP(A137,BD_ORDENES!A:BE,57,FALSE())</f>
        <v>1.1 ENVIA</v>
      </c>
      <c r="V137" s="70"/>
      <c r="W137" s="71"/>
    </row>
    <row r="138" s="72" customFormat="true" ht="98.25" hidden="false" customHeight="true" outlineLevel="0" collapsed="false">
      <c r="A138" s="62" t="n">
        <f aca="false">A137+1</f>
        <v>131</v>
      </c>
      <c r="B138" s="63" t="str">
        <f aca="false">VLOOKUP(A138,BD_ORDENES!A:BG,12,FALSE())</f>
        <v>__export__.product_product_325809_33a10228</v>
      </c>
      <c r="C138" s="64" t="n">
        <v>131</v>
      </c>
      <c r="D138" s="65" t="str">
        <f aca="false">VLOOKUP(A138,BD_ORDENES!A:BE,10,0)</f>
        <v>HOME</v>
      </c>
      <c r="E138" s="66" t="n">
        <f aca="false">VLOOKUP(A138,BD_ORDENES!A:BG,4,FALSE())</f>
        <v>13928097</v>
      </c>
      <c r="F138" s="66" t="str">
        <f aca="false">VLOOKUP(A138,BD_ORDENES!A:BE,56,FALSE())</f>
        <v>S270276</v>
      </c>
      <c r="G138" s="67" t="str">
        <f aca="false">VLOOKUP(A138,BD_ORDENES!A:BE,13,FALSE())</f>
        <v>SOFA HANNOVER 2P DICOSTA INDIGO (MATIZ CAOBA)</v>
      </c>
      <c r="H138" s="68" t="str">
        <f aca="false">VLOOKUP(A138,BD_ORDENES!A:BE,17,FALSE())</f>
        <v>SOFA</v>
      </c>
      <c r="I138" s="68" t="str">
        <f aca="false">VLOOKUP(A138,BD_ORDENES!A:BE,18,FALSE())</f>
        <v>HANNOVER-2P</v>
      </c>
      <c r="J138" s="68" t="str">
        <f aca="false">VLOOKUP(A138,BD_ORDENES!A:BE,19,FALSE())</f>
        <v>DICOSTA</v>
      </c>
      <c r="K138" s="68" t="str">
        <f aca="false">VLOOKUP(A138,BD_ORDENES!A:BE,20,FALSE())</f>
        <v>INDIGO</v>
      </c>
      <c r="L138" s="68" t="str">
        <f aca="false">VLOOKUP(A138,BD_ORDENES!A:BE,21,FALSE())</f>
        <v>MATIZ-CAOBA</v>
      </c>
      <c r="M138" s="69" t="n">
        <f aca="false">VLOOKUP(A138,BD_ORDENES!A:BE,14,FALSE())</f>
        <v>1</v>
      </c>
      <c r="N138" s="68" t="n">
        <f aca="false">VLOOKUP(A138,BD_ORDENES!A:BE,15,FALSE())</f>
        <v>0</v>
      </c>
      <c r="O138" s="68" t="str">
        <f aca="false">VLOOKUP(A138,BD_ORDENES!A:BE,33,FALSE())</f>
        <v>PROV. ALM. DOMICILIO</v>
      </c>
      <c r="P138" s="68" t="n">
        <f aca="false">VLOOKUP(A138,BD_ORDENES!A:BE,23,FALSE())</f>
        <v>0</v>
      </c>
      <c r="Q138" s="68" t="str">
        <f aca="false">VLOOKUP(A138,BD_ORDENES!A:BE,52,FALSE())</f>
        <v>Obtener Bajo Pedido (MTO)</v>
      </c>
      <c r="R138" s="68" t="str">
        <f aca="false">VLOOKUP(A138,BD_ORDENES!A:BE,25,FALSE())</f>
        <v>BOGOTA. D.C.</v>
      </c>
      <c r="S138" s="68" t="str">
        <f aca="false">VLOOKUP(A138,BD_ORDENES!A:BE,22,FALSE())</f>
        <v>EWDES ANDRES HERNANDEZ BASTILLA</v>
      </c>
      <c r="T138" s="65" t="str">
        <f aca="false">VLOOKUP(A138,BD_ORDENES!A:BE,55,FALSE())</f>
        <v>PRODUCCION</v>
      </c>
      <c r="U138" s="68" t="str">
        <f aca="false">VLOOKUP(A138,BD_ORDENES!A:BE,57,FALSE())</f>
        <v>1.1 ENVIA</v>
      </c>
      <c r="V138" s="70"/>
      <c r="W138" s="71"/>
    </row>
    <row r="139" s="72" customFormat="true" ht="98.25" hidden="false" customHeight="true" outlineLevel="0" collapsed="false">
      <c r="A139" s="62" t="n">
        <f aca="false">A138+1</f>
        <v>132</v>
      </c>
      <c r="B139" s="63" t="str">
        <f aca="false">VLOOKUP(A139,BD_ORDENES!A:BG,12,FALSE())</f>
        <v>__export__.product_product_177107_4c891aa0</v>
      </c>
      <c r="C139" s="64" t="n">
        <v>132</v>
      </c>
      <c r="D139" s="65" t="str">
        <f aca="false">VLOOKUP(A139,BD_ORDENES!A:BE,10,0)</f>
        <v>HOME</v>
      </c>
      <c r="E139" s="66" t="n">
        <f aca="false">VLOOKUP(A139,BD_ORDENES!A:BG,4,FALSE())</f>
        <v>13927920</v>
      </c>
      <c r="F139" s="66" t="str">
        <f aca="false">VLOOKUP(A139,BD_ORDENES!A:BE,56,FALSE())</f>
        <v>S270275</v>
      </c>
      <c r="G139" s="67" t="str">
        <f aca="false">VLOOKUP(A139,BD_ORDENES!A:BE,13,FALSE())</f>
        <v>SOFA SION DUSTER PLATA (MATIZ NATURAL)</v>
      </c>
      <c r="H139" s="68" t="str">
        <f aca="false">VLOOKUP(A139,BD_ORDENES!A:BE,17,FALSE())</f>
        <v>SOFA</v>
      </c>
      <c r="I139" s="68" t="str">
        <f aca="false">VLOOKUP(A139,BD_ORDENES!A:BE,18,FALSE())</f>
        <v>SION</v>
      </c>
      <c r="J139" s="68" t="str">
        <f aca="false">VLOOKUP(A139,BD_ORDENES!A:BE,19,FALSE())</f>
        <v>DUSTER</v>
      </c>
      <c r="K139" s="68" t="str">
        <f aca="false">VLOOKUP(A139,BD_ORDENES!A:BE,20,FALSE())</f>
        <v>PLATA</v>
      </c>
      <c r="L139" s="68" t="str">
        <f aca="false">VLOOKUP(A139,BD_ORDENES!A:BE,21,FALSE())</f>
        <v>MATIZ-NATURAL</v>
      </c>
      <c r="M139" s="69" t="n">
        <f aca="false">VLOOKUP(A139,BD_ORDENES!A:BE,14,FALSE())</f>
        <v>1</v>
      </c>
      <c r="N139" s="68" t="n">
        <f aca="false">VLOOKUP(A139,BD_ORDENES!A:BE,15,FALSE())</f>
        <v>0</v>
      </c>
      <c r="O139" s="68" t="str">
        <f aca="false">VLOOKUP(A139,BD_ORDENES!A:BE,33,FALSE())</f>
        <v>PROV. ALM. DOMICILIO</v>
      </c>
      <c r="P139" s="68" t="n">
        <f aca="false">VLOOKUP(A139,BD_ORDENES!A:BE,23,FALSE())</f>
        <v>0</v>
      </c>
      <c r="Q139" s="68" t="str">
        <f aca="false">VLOOKUP(A139,BD_ORDENES!A:BE,52,FALSE())</f>
        <v>Obtener Bajo Pedido (MTO)</v>
      </c>
      <c r="R139" s="68" t="str">
        <f aca="false">VLOOKUP(A139,BD_ORDENES!A:BE,25,FALSE())</f>
        <v>BOGOTA. D.C.</v>
      </c>
      <c r="S139" s="68" t="str">
        <f aca="false">VLOOKUP(A139,BD_ORDENES!A:BE,22,FALSE())</f>
        <v>JOSE ALEJANDRO MUÑOZ</v>
      </c>
      <c r="T139" s="65" t="n">
        <f aca="false">VLOOKUP(A139,BD_ORDENES!A:BE,55,FALSE())</f>
        <v>0</v>
      </c>
      <c r="U139" s="68" t="str">
        <f aca="false">VLOOKUP(A139,BD_ORDENES!A:BE,57,FALSE())</f>
        <v>1.1 ENVIA</v>
      </c>
      <c r="V139" s="70"/>
      <c r="W139" s="71"/>
    </row>
    <row r="140" s="72" customFormat="true" ht="98.25" hidden="false" customHeight="true" outlineLevel="0" collapsed="false">
      <c r="A140" s="62" t="n">
        <f aca="false">A139+1</f>
        <v>133</v>
      </c>
      <c r="B140" s="63" t="str">
        <f aca="false">VLOOKUP(A140,BD_ORDENES!A:BG,12,FALSE())</f>
        <v>__export__.product_product_245610_e77a913e</v>
      </c>
      <c r="C140" s="64" t="n">
        <v>133</v>
      </c>
      <c r="D140" s="65" t="str">
        <f aca="false">VLOOKUP(A140,BD_ORDENES!A:BE,10,0)</f>
        <v>HOME</v>
      </c>
      <c r="E140" s="66" t="n">
        <f aca="false">VLOOKUP(A140,BD_ORDENES!A:BG,4,FALSE())</f>
        <v>13927742</v>
      </c>
      <c r="F140" s="66" t="str">
        <f aca="false">VLOOKUP(A140,BD_ORDENES!A:BE,56,FALSE())</f>
        <v>S270274</v>
      </c>
      <c r="G140" s="67" t="str">
        <f aca="false">VLOOKUP(A140,BD_ORDENES!A:BE,13,FALSE())</f>
        <v>MESA ORION JG6 DUNA (METALICA LISO NEGRO)</v>
      </c>
      <c r="H140" s="68" t="str">
        <f aca="false">VLOOKUP(A140,BD_ORDENES!A:BE,17,FALSE())</f>
        <v>MESA</v>
      </c>
      <c r="I140" s="68" t="str">
        <f aca="false">VLOOKUP(A140,BD_ORDENES!A:BE,18,FALSE())</f>
        <v>ORION-JG6</v>
      </c>
      <c r="J140" s="68" t="n">
        <f aca="false">VLOOKUP(A140,BD_ORDENES!A:BE,19,FALSE())</f>
        <v>0</v>
      </c>
      <c r="K140" s="68" t="str">
        <f aca="false">VLOOKUP(A140,BD_ORDENES!A:BE,20,FALSE())</f>
        <v>DUNA</v>
      </c>
      <c r="L140" s="68" t="str">
        <f aca="false">VLOOKUP(A140,BD_ORDENES!A:BE,21,FALSE())</f>
        <v>METALICO-NEGRO</v>
      </c>
      <c r="M140" s="69" t="n">
        <f aca="false">VLOOKUP(A140,BD_ORDENES!A:BE,14,FALSE())</f>
        <v>1</v>
      </c>
      <c r="N140" s="68" t="n">
        <f aca="false">VLOOKUP(A140,BD_ORDENES!A:BE,15,FALSE())</f>
        <v>0</v>
      </c>
      <c r="O140" s="68" t="str">
        <f aca="false">VLOOKUP(A140,BD_ORDENES!A:BE,33,FALSE())</f>
        <v>PROV. CLIENTE</v>
      </c>
      <c r="P140" s="68" t="n">
        <f aca="false">VLOOKUP(A140,BD_ORDENES!A:BE,23,FALSE())</f>
        <v>0</v>
      </c>
      <c r="Q140" s="68" t="str">
        <f aca="false">VLOOKUP(A140,BD_ORDENES!A:BE,52,FALSE())</f>
        <v>Obtener Bajo Pedido (MTO)</v>
      </c>
      <c r="R140" s="68" t="str">
        <f aca="false">VLOOKUP(A140,BD_ORDENES!A:BE,25,FALSE())</f>
        <v>SAN MARTIN</v>
      </c>
      <c r="S140" s="68" t="str">
        <f aca="false">VLOOKUP(A140,BD_ORDENES!A:BE,22,FALSE())</f>
        <v>GERMAN PADILLA</v>
      </c>
      <c r="T140" s="65" t="str">
        <f aca="false">VLOOKUP(A140,BD_ORDENES!A:BE,55,FALSE())</f>
        <v>PRODUCCION</v>
      </c>
      <c r="U140" s="68" t="str">
        <f aca="false">VLOOKUP(A140,BD_ORDENES!A:BE,57,FALSE())</f>
        <v>1.1 ENVIA</v>
      </c>
      <c r="V140" s="70"/>
      <c r="W140" s="71"/>
    </row>
    <row r="141" s="72" customFormat="true" ht="98.25" hidden="false" customHeight="true" outlineLevel="0" collapsed="false">
      <c r="A141" s="62" t="n">
        <f aca="false">A140+1</f>
        <v>134</v>
      </c>
      <c r="B141" s="63" t="str">
        <f aca="false">VLOOKUP(A141,BD_ORDENES!A:BG,12,FALSE())</f>
        <v>__export__.product_product_239898_f2d4cd48</v>
      </c>
      <c r="C141" s="64" t="n">
        <v>134</v>
      </c>
      <c r="D141" s="65" t="str">
        <f aca="false">VLOOKUP(A141,BD_ORDENES!A:BE,10,0)</f>
        <v>HOME</v>
      </c>
      <c r="E141" s="66" t="n">
        <f aca="false">VLOOKUP(A141,BD_ORDENES!A:BG,4,FALSE())</f>
        <v>13927701</v>
      </c>
      <c r="F141" s="66" t="str">
        <f aca="false">VLOOKUP(A141,BD_ORDENES!A:BE,56,FALSE())</f>
        <v>S270273</v>
      </c>
      <c r="G141" s="67" t="str">
        <f aca="false">VLOOKUP(A141,BD_ORDENES!A:BE,13,FALSE())</f>
        <v>BUTACO LIVERPOOL DENVER TAUPE (MATIZ NATURAL)</v>
      </c>
      <c r="H141" s="68" t="str">
        <f aca="false">VLOOKUP(A141,BD_ORDENES!A:BE,17,FALSE())</f>
        <v>BUTACO</v>
      </c>
      <c r="I141" s="68" t="str">
        <f aca="false">VLOOKUP(A141,BD_ORDENES!A:BE,18,FALSE())</f>
        <v>LIVERPOOL</v>
      </c>
      <c r="J141" s="68" t="str">
        <f aca="false">VLOOKUP(A141,BD_ORDENES!A:BE,19,FALSE())</f>
        <v>DENVER</v>
      </c>
      <c r="K141" s="68" t="str">
        <f aca="false">VLOOKUP(A141,BD_ORDENES!A:BE,20,FALSE())</f>
        <v>TAUPE</v>
      </c>
      <c r="L141" s="68" t="str">
        <f aca="false">VLOOKUP(A141,BD_ORDENES!A:BE,21,FALSE())</f>
        <v>MATIZ-NATURAL</v>
      </c>
      <c r="M141" s="69" t="n">
        <f aca="false">VLOOKUP(A141,BD_ORDENES!A:BE,14,FALSE())</f>
        <v>1</v>
      </c>
      <c r="N141" s="68" t="n">
        <f aca="false">VLOOKUP(A141,BD_ORDENES!A:BE,15,FALSE())</f>
        <v>0</v>
      </c>
      <c r="O141" s="68" t="str">
        <f aca="false">VLOOKUP(A141,BD_ORDENES!A:BE,33,FALSE())</f>
        <v>PROV. ALM. DOMICILIO</v>
      </c>
      <c r="P141" s="68" t="n">
        <f aca="false">VLOOKUP(A141,BD_ORDENES!A:BE,23,FALSE())</f>
        <v>0</v>
      </c>
      <c r="Q141" s="68" t="str">
        <f aca="false">VLOOKUP(A141,BD_ORDENES!A:BE,52,FALSE())</f>
        <v>Obtener Bajo Pedido (MTO)</v>
      </c>
      <c r="R141" s="68" t="str">
        <f aca="false">VLOOKUP(A141,BD_ORDENES!A:BE,25,FALSE())</f>
        <v>BOGOTA. D.C.</v>
      </c>
      <c r="S141" s="68" t="str">
        <f aca="false">VLOOKUP(A141,BD_ORDENES!A:BE,22,FALSE())</f>
        <v>EDGAR FRANCISCO AVILA ROJAS</v>
      </c>
      <c r="T141" s="65" t="n">
        <f aca="false">VLOOKUP(A141,BD_ORDENES!A:BE,55,FALSE())</f>
        <v>0</v>
      </c>
      <c r="U141" s="68" t="str">
        <f aca="false">VLOOKUP(A141,BD_ORDENES!A:BE,57,FALSE())</f>
        <v>1.1 ENVIA</v>
      </c>
      <c r="V141" s="70"/>
      <c r="W141" s="71"/>
    </row>
    <row r="142" s="72" customFormat="true" ht="98.25" hidden="false" customHeight="true" outlineLevel="0" collapsed="false">
      <c r="A142" s="62" t="n">
        <f aca="false">A141+1</f>
        <v>135</v>
      </c>
      <c r="B142" s="63" t="str">
        <f aca="false">VLOOKUP(A142,BD_ORDENES!A:BG,12,FALSE())</f>
        <v>__export__.product_product_324198_0a4eae53</v>
      </c>
      <c r="C142" s="64" t="n">
        <v>135</v>
      </c>
      <c r="D142" s="65" t="str">
        <f aca="false">VLOOKUP(A142,BD_ORDENES!A:BE,10,0)</f>
        <v>HOME</v>
      </c>
      <c r="E142" s="66" t="n">
        <f aca="false">VLOOKUP(A142,BD_ORDENES!A:BG,4,FALSE())</f>
        <v>13927611</v>
      </c>
      <c r="F142" s="66" t="str">
        <f aca="false">VLOOKUP(A142,BD_ORDENES!A:BE,56,FALSE())</f>
        <v>S270136</v>
      </c>
      <c r="G142" s="67" t="str">
        <f aca="false">VLOOKUP(A142,BD_ORDENES!A:BE,13,FALSE())</f>
        <v>SOFA PENSILVANIA OMEGA PLATA (MATIZ CAOBA)</v>
      </c>
      <c r="H142" s="68" t="str">
        <f aca="false">VLOOKUP(A142,BD_ORDENES!A:BE,17,FALSE())</f>
        <v>SOFA</v>
      </c>
      <c r="I142" s="68" t="str">
        <f aca="false">VLOOKUP(A142,BD_ORDENES!A:BE,18,FALSE())</f>
        <v>PENSILVANIA</v>
      </c>
      <c r="J142" s="68" t="str">
        <f aca="false">VLOOKUP(A142,BD_ORDENES!A:BE,19,FALSE())</f>
        <v>OMEGA</v>
      </c>
      <c r="K142" s="68" t="str">
        <f aca="false">VLOOKUP(A142,BD_ORDENES!A:BE,20,FALSE())</f>
        <v>PLATA</v>
      </c>
      <c r="L142" s="68" t="str">
        <f aca="false">VLOOKUP(A142,BD_ORDENES!A:BE,21,FALSE())</f>
        <v>MATIZ-CAOBA</v>
      </c>
      <c r="M142" s="69" t="n">
        <f aca="false">VLOOKUP(A142,BD_ORDENES!A:BE,14,FALSE())</f>
        <v>1</v>
      </c>
      <c r="N142" s="68" t="n">
        <f aca="false">VLOOKUP(A142,BD_ORDENES!A:BE,15,FALSE())</f>
        <v>0</v>
      </c>
      <c r="O142" s="68" t="str">
        <f aca="false">VLOOKUP(A142,BD_ORDENES!A:BE,33,FALSE())</f>
        <v>PROV. ALM. DOMICILIO</v>
      </c>
      <c r="P142" s="68" t="n">
        <f aca="false">VLOOKUP(A142,BD_ORDENES!A:BE,23,FALSE())</f>
        <v>0</v>
      </c>
      <c r="Q142" s="68" t="str">
        <f aca="false">VLOOKUP(A142,BD_ORDENES!A:BE,52,FALSE())</f>
        <v>Obtener Bajo Pedido (MTO)</v>
      </c>
      <c r="R142" s="68" t="str">
        <f aca="false">VLOOKUP(A142,BD_ORDENES!A:BE,25,FALSE())</f>
        <v>BOGOTA. D.C.</v>
      </c>
      <c r="S142" s="68" t="str">
        <f aca="false">VLOOKUP(A142,BD_ORDENES!A:BE,22,FALSE())</f>
        <v>HELEM ALEJANDRA SANCHEZ</v>
      </c>
      <c r="T142" s="65" t="n">
        <f aca="false">VLOOKUP(A142,BD_ORDENES!A:BE,55,FALSE())</f>
        <v>0</v>
      </c>
      <c r="U142" s="68" t="str">
        <f aca="false">VLOOKUP(A142,BD_ORDENES!A:BE,57,FALSE())</f>
        <v>1.1 ENVIA</v>
      </c>
      <c r="V142" s="70"/>
      <c r="W142" s="71"/>
    </row>
    <row r="143" s="72" customFormat="true" ht="98.25" hidden="false" customHeight="true" outlineLevel="0" collapsed="false">
      <c r="A143" s="62" t="n">
        <f aca="false">A142+1</f>
        <v>136</v>
      </c>
      <c r="B143" s="63" t="str">
        <f aca="false">VLOOKUP(A143,BD_ORDENES!A:BG,12,FALSE())</f>
        <v>__export__.product_product_175097_28ff392c</v>
      </c>
      <c r="C143" s="64" t="n">
        <v>136</v>
      </c>
      <c r="D143" s="65" t="str">
        <f aca="false">VLOOKUP(A143,BD_ORDENES!A:BE,10,0)</f>
        <v>FL.COM</v>
      </c>
      <c r="E143" s="66" t="n">
        <f aca="false">VLOOKUP(A143,BD_ORDENES!A:BG,4,FALSE())</f>
        <v>7423970</v>
      </c>
      <c r="F143" s="66" t="str">
        <f aca="false">VLOOKUP(A143,BD_ORDENES!A:BE,56,FALSE())</f>
        <v>S270164</v>
      </c>
      <c r="G143" s="67" t="str">
        <f aca="false">VLOOKUP(A143,BD_ORDENES!A:BE,13,FALSE())</f>
        <v>SOFA GALES DUSTER PLATA (MATIZ NATURAL)</v>
      </c>
      <c r="H143" s="68" t="str">
        <f aca="false">VLOOKUP(A143,BD_ORDENES!A:BE,17,FALSE())</f>
        <v>SOFA</v>
      </c>
      <c r="I143" s="68" t="str">
        <f aca="false">VLOOKUP(A143,BD_ORDENES!A:BE,18,FALSE())</f>
        <v>GALES</v>
      </c>
      <c r="J143" s="68" t="str">
        <f aca="false">VLOOKUP(A143,BD_ORDENES!A:BE,19,FALSE())</f>
        <v>DUSTER</v>
      </c>
      <c r="K143" s="68" t="str">
        <f aca="false">VLOOKUP(A143,BD_ORDENES!A:BE,20,FALSE())</f>
        <v>PLATA</v>
      </c>
      <c r="L143" s="68" t="str">
        <f aca="false">VLOOKUP(A143,BD_ORDENES!A:BE,21,FALSE())</f>
        <v>MATIZ-NATURAL</v>
      </c>
      <c r="M143" s="69" t="n">
        <f aca="false">VLOOKUP(A143,BD_ORDENES!A:BE,14,FALSE())</f>
        <v>1</v>
      </c>
      <c r="N143" s="68" t="n">
        <f aca="false">VLOOKUP(A143,BD_ORDENES!A:BE,15,FALSE())</f>
        <v>0</v>
      </c>
      <c r="O143" s="68" t="str">
        <f aca="false">VLOOKUP(A143,BD_ORDENES!A:BE,33,FALSE())</f>
        <v>TRANSPORTADORA</v>
      </c>
      <c r="P143" s="68" t="n">
        <f aca="false">VLOOKUP(A143,BD_ORDENES!A:BE,23,FALSE())</f>
        <v>0</v>
      </c>
      <c r="Q143" s="68" t="str">
        <f aca="false">VLOOKUP(A143,BD_ORDENES!A:BE,52,FALSE())</f>
        <v>Obtener Bajo Pedido (MTO)</v>
      </c>
      <c r="R143" s="68" t="str">
        <f aca="false">VLOOKUP(A143,BD_ORDENES!A:BE,25,FALSE())</f>
        <v>LOS MÁRTIRES                  </v>
      </c>
      <c r="S143" s="68" t="str">
        <f aca="false">VLOOKUP(A143,BD_ORDENES!A:BE,22,FALSE())</f>
        <v>RENÉ ALEJANDRO ESPINOSA</v>
      </c>
      <c r="T143" s="65" t="n">
        <f aca="false">VLOOKUP(A143,BD_ORDENES!A:BE,55,FALSE())</f>
        <v>0</v>
      </c>
      <c r="U143" s="68" t="str">
        <f aca="false">VLOOKUP(A143,BD_ORDENES!A:BE,57,FALSE())</f>
        <v>4 ROTTERDAN</v>
      </c>
      <c r="V143" s="70"/>
      <c r="W143" s="71"/>
    </row>
    <row r="144" s="72" customFormat="true" ht="98.25" hidden="false" customHeight="true" outlineLevel="0" collapsed="false">
      <c r="A144" s="62" t="n">
        <f aca="false">A143+1</f>
        <v>137</v>
      </c>
      <c r="B144" s="63" t="str">
        <f aca="false">VLOOKUP(A144,BD_ORDENES!A:BG,12,FALSE())</f>
        <v>__export__.product_product_163193_38b656b4</v>
      </c>
      <c r="C144" s="64" t="n">
        <v>137</v>
      </c>
      <c r="D144" s="65" t="str">
        <f aca="false">VLOOKUP(A144,BD_ORDENES!A:BE,10,0)</f>
        <v>FL.COM</v>
      </c>
      <c r="E144" s="66" t="n">
        <f aca="false">VLOOKUP(A144,BD_ORDENES!A:BG,4,FALSE())</f>
        <v>7423970</v>
      </c>
      <c r="F144" s="66" t="str">
        <f aca="false">VLOOKUP(A144,BD_ORDENES!A:BE,56,FALSE())</f>
        <v>S270164</v>
      </c>
      <c r="G144" s="67" t="str">
        <f aca="false">VLOOKUP(A144,BD_ORDENES!A:BE,13,FALSE())</f>
        <v>MESA LUGO MATIZ JG4 BLANCO (MATIZ NATURAL)</v>
      </c>
      <c r="H144" s="68" t="str">
        <f aca="false">VLOOKUP(A144,BD_ORDENES!A:BE,17,FALSE())</f>
        <v>MESA</v>
      </c>
      <c r="I144" s="68" t="str">
        <f aca="false">VLOOKUP(A144,BD_ORDENES!A:BE,18,FALSE())</f>
        <v>LUGO-MATIZ-JG4</v>
      </c>
      <c r="J144" s="68" t="n">
        <f aca="false">VLOOKUP(A144,BD_ORDENES!A:BE,19,FALSE())</f>
        <v>0</v>
      </c>
      <c r="K144" s="68" t="str">
        <f aca="false">VLOOKUP(A144,BD_ORDENES!A:BE,20,FALSE())</f>
        <v>BLANCO</v>
      </c>
      <c r="L144" s="68" t="str">
        <f aca="false">VLOOKUP(A144,BD_ORDENES!A:BE,21,FALSE())</f>
        <v>MATIZ-NATURAL</v>
      </c>
      <c r="M144" s="69" t="n">
        <f aca="false">VLOOKUP(A144,BD_ORDENES!A:BE,14,FALSE())</f>
        <v>1</v>
      </c>
      <c r="N144" s="68" t="n">
        <f aca="false">VLOOKUP(A144,BD_ORDENES!A:BE,15,FALSE())</f>
        <v>0</v>
      </c>
      <c r="O144" s="68" t="str">
        <f aca="false">VLOOKUP(A144,BD_ORDENES!A:BE,33,FALSE())</f>
        <v>TRANSPORTADORA</v>
      </c>
      <c r="P144" s="68" t="n">
        <f aca="false">VLOOKUP(A144,BD_ORDENES!A:BE,23,FALSE())</f>
        <v>0</v>
      </c>
      <c r="Q144" s="68" t="str">
        <f aca="false">VLOOKUP(A144,BD_ORDENES!A:BE,52,FALSE())</f>
        <v>Obtener Bajo Pedido (MTO)</v>
      </c>
      <c r="R144" s="68" t="str">
        <f aca="false">VLOOKUP(A144,BD_ORDENES!A:BE,25,FALSE())</f>
        <v>LOS MÁRTIRES                  </v>
      </c>
      <c r="S144" s="68" t="str">
        <f aca="false">VLOOKUP(A144,BD_ORDENES!A:BE,22,FALSE())</f>
        <v>RENÉ ALEJANDRO ESPINOSA</v>
      </c>
      <c r="T144" s="65" t="n">
        <f aca="false">VLOOKUP(A144,BD_ORDENES!A:BE,55,FALSE())</f>
        <v>0</v>
      </c>
      <c r="U144" s="68" t="str">
        <f aca="false">VLOOKUP(A144,BD_ORDENES!A:BE,57,FALSE())</f>
        <v>4 ROTTERDAN</v>
      </c>
      <c r="V144" s="70"/>
      <c r="W144" s="71"/>
    </row>
    <row r="145" s="72" customFormat="true" ht="98.25" hidden="false" customHeight="true" outlineLevel="0" collapsed="false">
      <c r="A145" s="62" t="n">
        <f aca="false">A144+1</f>
        <v>138</v>
      </c>
      <c r="B145" s="63" t="str">
        <f aca="false">VLOOKUP(A145,BD_ORDENES!A:BG,12,FALSE())</f>
        <v>__export__.product_product_173672_a3399dab</v>
      </c>
      <c r="C145" s="64" t="n">
        <v>138</v>
      </c>
      <c r="D145" s="65" t="str">
        <f aca="false">VLOOKUP(A145,BD_ORDENES!A:BE,10,0)</f>
        <v>FL.COM</v>
      </c>
      <c r="E145" s="66" t="n">
        <f aca="false">VLOOKUP(A145,BD_ORDENES!A:BG,4,FALSE())</f>
        <v>7423970</v>
      </c>
      <c r="F145" s="66" t="str">
        <f aca="false">VLOOKUP(A145,BD_ORDENES!A:BE,56,FALSE())</f>
        <v>S270164</v>
      </c>
      <c r="G145" s="67" t="str">
        <f aca="false">VLOOKUP(A145,BD_ORDENES!A:BE,13,FALSE())</f>
        <v>SILLA VIENA DUSTER PLATA (METALICA NATURAL)</v>
      </c>
      <c r="H145" s="68" t="str">
        <f aca="false">VLOOKUP(A145,BD_ORDENES!A:BE,17,FALSE())</f>
        <v>SILLA</v>
      </c>
      <c r="I145" s="68" t="str">
        <f aca="false">VLOOKUP(A145,BD_ORDENES!A:BE,18,FALSE())</f>
        <v>VIENA</v>
      </c>
      <c r="J145" s="68" t="str">
        <f aca="false">VLOOKUP(A145,BD_ORDENES!A:BE,19,FALSE())</f>
        <v>DUSTER</v>
      </c>
      <c r="K145" s="68" t="str">
        <f aca="false">VLOOKUP(A145,BD_ORDENES!A:BE,20,FALSE())</f>
        <v>PLATA</v>
      </c>
      <c r="L145" s="68" t="str">
        <f aca="false">VLOOKUP(A145,BD_ORDENES!A:BE,21,FALSE())</f>
        <v>METALICO-MATIZ-NATURAL</v>
      </c>
      <c r="M145" s="69" t="n">
        <f aca="false">VLOOKUP(A145,BD_ORDENES!A:BE,14,FALSE())</f>
        <v>2</v>
      </c>
      <c r="N145" s="68" t="n">
        <f aca="false">VLOOKUP(A145,BD_ORDENES!A:BE,15,FALSE())</f>
        <v>0</v>
      </c>
      <c r="O145" s="68" t="str">
        <f aca="false">VLOOKUP(A145,BD_ORDENES!A:BE,33,FALSE())</f>
        <v>TRANSPORTADORA</v>
      </c>
      <c r="P145" s="68" t="n">
        <f aca="false">VLOOKUP(A145,BD_ORDENES!A:BE,23,FALSE())</f>
        <v>0</v>
      </c>
      <c r="Q145" s="68" t="str">
        <f aca="false">VLOOKUP(A145,BD_ORDENES!A:BE,52,FALSE())</f>
        <v>Obtener Bajo Pedido (MTO)</v>
      </c>
      <c r="R145" s="68" t="str">
        <f aca="false">VLOOKUP(A145,BD_ORDENES!A:BE,25,FALSE())</f>
        <v>LOS MÁRTIRES                  </v>
      </c>
      <c r="S145" s="68" t="str">
        <f aca="false">VLOOKUP(A145,BD_ORDENES!A:BE,22,FALSE())</f>
        <v>RENÉ ALEJANDRO ESPINOSA</v>
      </c>
      <c r="T145" s="65" t="n">
        <f aca="false">VLOOKUP(A145,BD_ORDENES!A:BE,55,FALSE())</f>
        <v>0</v>
      </c>
      <c r="U145" s="68" t="str">
        <f aca="false">VLOOKUP(A145,BD_ORDENES!A:BE,57,FALSE())</f>
        <v>4 ROTTERDAN</v>
      </c>
      <c r="V145" s="70"/>
      <c r="W145" s="71"/>
    </row>
    <row r="146" s="72" customFormat="true" ht="98.25" hidden="false" customHeight="true" outlineLevel="0" collapsed="false">
      <c r="A146" s="62" t="n">
        <f aca="false">A145+1</f>
        <v>139</v>
      </c>
      <c r="B146" s="63" t="str">
        <f aca="false">VLOOKUP(A146,BD_ORDENES!A:BG,12,FALSE())</f>
        <v>__export__.product_product_162590_82bfee0b</v>
      </c>
      <c r="C146" s="64" t="n">
        <v>139</v>
      </c>
      <c r="D146" s="65" t="str">
        <f aca="false">VLOOKUP(A146,BD_ORDENES!A:BE,10,0)</f>
        <v>FL.COM</v>
      </c>
      <c r="E146" s="66" t="n">
        <f aca="false">VLOOKUP(A146,BD_ORDENES!A:BG,4,FALSE())</f>
        <v>7423970</v>
      </c>
      <c r="F146" s="66" t="str">
        <f aca="false">VLOOKUP(A146,BD_ORDENES!A:BE,56,FALSE())</f>
        <v>S270164</v>
      </c>
      <c r="G146" s="67" t="str">
        <f aca="false">VLOOKUP(A146,BD_ORDENES!A:BE,13,FALSE())</f>
        <v>BUTACO VIENA DUSTER AZUL (MATIZ NATURAL)</v>
      </c>
      <c r="H146" s="68" t="str">
        <f aca="false">VLOOKUP(A146,BD_ORDENES!A:BE,17,FALSE())</f>
        <v>BUTACO</v>
      </c>
      <c r="I146" s="68" t="str">
        <f aca="false">VLOOKUP(A146,BD_ORDENES!A:BE,18,FALSE())</f>
        <v>VIENA</v>
      </c>
      <c r="J146" s="68" t="str">
        <f aca="false">VLOOKUP(A146,BD_ORDENES!A:BE,19,FALSE())</f>
        <v>DUSTER</v>
      </c>
      <c r="K146" s="68" t="str">
        <f aca="false">VLOOKUP(A146,BD_ORDENES!A:BE,20,FALSE())</f>
        <v>AZUL</v>
      </c>
      <c r="L146" s="68" t="str">
        <f aca="false">VLOOKUP(A146,BD_ORDENES!A:BE,21,FALSE())</f>
        <v>MATIZ-NATURAL</v>
      </c>
      <c r="M146" s="69" t="n">
        <f aca="false">VLOOKUP(A146,BD_ORDENES!A:BE,14,FALSE())</f>
        <v>1</v>
      </c>
      <c r="N146" s="68" t="n">
        <f aca="false">VLOOKUP(A146,BD_ORDENES!A:BE,15,FALSE())</f>
        <v>0</v>
      </c>
      <c r="O146" s="68" t="str">
        <f aca="false">VLOOKUP(A146,BD_ORDENES!A:BE,33,FALSE())</f>
        <v>TRANSPORTADORA</v>
      </c>
      <c r="P146" s="68" t="n">
        <f aca="false">VLOOKUP(A146,BD_ORDENES!A:BE,23,FALSE())</f>
        <v>0</v>
      </c>
      <c r="Q146" s="68" t="str">
        <f aca="false">VLOOKUP(A146,BD_ORDENES!A:BE,52,FALSE())</f>
        <v>Obtener Bajo Pedido (MTO)</v>
      </c>
      <c r="R146" s="68" t="str">
        <f aca="false">VLOOKUP(A146,BD_ORDENES!A:BE,25,FALSE())</f>
        <v>LOS MÁRTIRES                  </v>
      </c>
      <c r="S146" s="68" t="str">
        <f aca="false">VLOOKUP(A146,BD_ORDENES!A:BE,22,FALSE())</f>
        <v>RENÉ ALEJANDRO ESPINOSA</v>
      </c>
      <c r="T146" s="65" t="n">
        <f aca="false">VLOOKUP(A146,BD_ORDENES!A:BE,55,FALSE())</f>
        <v>0</v>
      </c>
      <c r="U146" s="68" t="str">
        <f aca="false">VLOOKUP(A146,BD_ORDENES!A:BE,57,FALSE())</f>
        <v>4 ROTTERDAN</v>
      </c>
      <c r="V146" s="70"/>
      <c r="W146" s="71"/>
    </row>
    <row r="147" s="72" customFormat="true" ht="98.25" hidden="false" customHeight="true" outlineLevel="0" collapsed="false">
      <c r="A147" s="62" t="n">
        <f aca="false">A146+1</f>
        <v>140</v>
      </c>
      <c r="B147" s="63" t="str">
        <f aca="false">VLOOKUP(A147,BD_ORDENES!A:BG,12,FALSE())</f>
        <v>__export__.product_product_175652_88812615</v>
      </c>
      <c r="C147" s="64" t="n">
        <v>140</v>
      </c>
      <c r="D147" s="65" t="str">
        <f aca="false">VLOOKUP(A147,BD_ORDENES!A:BE,10,0)</f>
        <v>FL.COM</v>
      </c>
      <c r="E147" s="66" t="n">
        <f aca="false">VLOOKUP(A147,BD_ORDENES!A:BG,4,FALSE())</f>
        <v>7424054</v>
      </c>
      <c r="F147" s="66" t="str">
        <f aca="false">VLOOKUP(A147,BD_ORDENES!A:BE,56,FALSE())</f>
        <v>S270159</v>
      </c>
      <c r="G147" s="67" t="str">
        <f aca="false">VLOOKUP(A147,BD_ORDENES!A:BE,13,FALSE())</f>
        <v>SOFA MONTECARLO DICOSTA BEIGE (MATIZ NATURAL)</v>
      </c>
      <c r="H147" s="68" t="str">
        <f aca="false">VLOOKUP(A147,BD_ORDENES!A:BE,17,FALSE())</f>
        <v>SOFA</v>
      </c>
      <c r="I147" s="68" t="str">
        <f aca="false">VLOOKUP(A147,BD_ORDENES!A:BE,18,FALSE())</f>
        <v>MONTECARLO</v>
      </c>
      <c r="J147" s="68" t="str">
        <f aca="false">VLOOKUP(A147,BD_ORDENES!A:BE,19,FALSE())</f>
        <v>DICOSTA</v>
      </c>
      <c r="K147" s="68" t="str">
        <f aca="false">VLOOKUP(A147,BD_ORDENES!A:BE,20,FALSE())</f>
        <v>BEIGE</v>
      </c>
      <c r="L147" s="68" t="str">
        <f aca="false">VLOOKUP(A147,BD_ORDENES!A:BE,21,FALSE())</f>
        <v>MATIZ-NATURAL</v>
      </c>
      <c r="M147" s="69" t="n">
        <f aca="false">VLOOKUP(A147,BD_ORDENES!A:BE,14,FALSE())</f>
        <v>1</v>
      </c>
      <c r="N147" s="68" t="n">
        <f aca="false">VLOOKUP(A147,BD_ORDENES!A:BE,15,FALSE())</f>
        <v>0</v>
      </c>
      <c r="O147" s="68" t="str">
        <f aca="false">VLOOKUP(A147,BD_ORDENES!A:BE,33,FALSE())</f>
        <v>TRANSPORTADORA</v>
      </c>
      <c r="P147" s="68" t="n">
        <f aca="false">VLOOKUP(A147,BD_ORDENES!A:BE,23,FALSE())</f>
        <v>0</v>
      </c>
      <c r="Q147" s="68" t="str">
        <f aca="false">VLOOKUP(A147,BD_ORDENES!A:BE,52,FALSE())</f>
        <v>Retiro Inventario Bodega</v>
      </c>
      <c r="R147" s="68" t="str">
        <f aca="false">VLOOKUP(A147,BD_ORDENES!A:BE,25,FALSE())</f>
        <v>BOGOTÁ D.C.                   </v>
      </c>
      <c r="S147" s="68" t="str">
        <f aca="false">VLOOKUP(A147,BD_ORDENES!A:BE,22,FALSE())</f>
        <v>LILIANA CASTRO</v>
      </c>
      <c r="T147" s="65" t="n">
        <f aca="false">VLOOKUP(A147,BD_ORDENES!A:BE,55,FALSE())</f>
        <v>0</v>
      </c>
      <c r="U147" s="68" t="str">
        <f aca="false">VLOOKUP(A147,BD_ORDENES!A:BE,57,FALSE())</f>
        <v>4 ROTTERDAN</v>
      </c>
      <c r="V147" s="70"/>
      <c r="W147" s="71"/>
    </row>
    <row r="148" s="72" customFormat="true" ht="98.25" hidden="false" customHeight="true" outlineLevel="0" collapsed="false">
      <c r="A148" s="62" t="n">
        <f aca="false">A147+1</f>
        <v>141</v>
      </c>
      <c r="B148" s="63" t="str">
        <f aca="false">VLOOKUP(A148,BD_ORDENES!A:BG,12,FALSE())</f>
        <v>__export__.product_product_324104_37ec83e6</v>
      </c>
      <c r="C148" s="64" t="n">
        <v>141</v>
      </c>
      <c r="D148" s="65" t="str">
        <f aca="false">VLOOKUP(A148,BD_ORDENES!A:BE,10,0)</f>
        <v>FL.COM</v>
      </c>
      <c r="E148" s="66" t="n">
        <f aca="false">VLOOKUP(A148,BD_ORDENES!A:BG,4,FALSE())</f>
        <v>7424054</v>
      </c>
      <c r="F148" s="66" t="str">
        <f aca="false">VLOOKUP(A148,BD_ORDENES!A:BE,56,FALSE())</f>
        <v>S270159</v>
      </c>
      <c r="G148" s="67" t="str">
        <f aca="false">VLOOKUP(A148,BD_ORDENES!A:BE,13,FALSE())</f>
        <v>SOFA ROMA SKY BEIGE (MATIZ CAOBA)</v>
      </c>
      <c r="H148" s="68" t="str">
        <f aca="false">VLOOKUP(A148,BD_ORDENES!A:BE,17,FALSE())</f>
        <v>SOFA</v>
      </c>
      <c r="I148" s="68" t="str">
        <f aca="false">VLOOKUP(A148,BD_ORDENES!A:BE,18,FALSE())</f>
        <v>ROMA</v>
      </c>
      <c r="J148" s="68" t="str">
        <f aca="false">VLOOKUP(A148,BD_ORDENES!A:BE,19,FALSE())</f>
        <v>SKY</v>
      </c>
      <c r="K148" s="68" t="str">
        <f aca="false">VLOOKUP(A148,BD_ORDENES!A:BE,20,FALSE())</f>
        <v>BEIGE</v>
      </c>
      <c r="L148" s="68" t="str">
        <f aca="false">VLOOKUP(A148,BD_ORDENES!A:BE,21,FALSE())</f>
        <v>MATIZ-CAOBA</v>
      </c>
      <c r="M148" s="69" t="n">
        <f aca="false">VLOOKUP(A148,BD_ORDENES!A:BE,14,FALSE())</f>
        <v>1</v>
      </c>
      <c r="N148" s="68" t="n">
        <f aca="false">VLOOKUP(A148,BD_ORDENES!A:BE,15,FALSE())</f>
        <v>0</v>
      </c>
      <c r="O148" s="68" t="str">
        <f aca="false">VLOOKUP(A148,BD_ORDENES!A:BE,33,FALSE())</f>
        <v>TRANSPORTADORA</v>
      </c>
      <c r="P148" s="68" t="n">
        <f aca="false">VLOOKUP(A148,BD_ORDENES!A:BE,23,FALSE())</f>
        <v>0</v>
      </c>
      <c r="Q148" s="68" t="str">
        <f aca="false">VLOOKUP(A148,BD_ORDENES!A:BE,52,FALSE())</f>
        <v>Obtener Bajo Pedido (MTO)</v>
      </c>
      <c r="R148" s="68" t="str">
        <f aca="false">VLOOKUP(A148,BD_ORDENES!A:BE,25,FALSE())</f>
        <v>BOGOTÁ D.C.                   </v>
      </c>
      <c r="S148" s="68" t="str">
        <f aca="false">VLOOKUP(A148,BD_ORDENES!A:BE,22,FALSE())</f>
        <v>LILIANA CASTRO</v>
      </c>
      <c r="T148" s="65" t="n">
        <f aca="false">VLOOKUP(A148,BD_ORDENES!A:BE,55,FALSE())</f>
        <v>0</v>
      </c>
      <c r="U148" s="68" t="str">
        <f aca="false">VLOOKUP(A148,BD_ORDENES!A:BE,57,FALSE())</f>
        <v>4 ROTTERDAN</v>
      </c>
      <c r="V148" s="70"/>
      <c r="W148" s="71"/>
    </row>
    <row r="149" s="72" customFormat="true" ht="98.25" hidden="false" customHeight="true" outlineLevel="0" collapsed="false">
      <c r="A149" s="62" t="n">
        <f aca="false">A148+1</f>
        <v>142</v>
      </c>
      <c r="B149" s="63" t="str">
        <f aca="false">VLOOKUP(A149,BD_ORDENES!A:BG,12,FALSE())</f>
        <v>__export__.product_product_283905_01814933</v>
      </c>
      <c r="C149" s="64" t="n">
        <v>142</v>
      </c>
      <c r="D149" s="65" t="str">
        <f aca="false">VLOOKUP(A149,BD_ORDENES!A:BE,10,0)</f>
        <v>FL.COM</v>
      </c>
      <c r="E149" s="66" t="n">
        <f aca="false">VLOOKUP(A149,BD_ORDENES!A:BG,4,FALSE())</f>
        <v>7423917</v>
      </c>
      <c r="F149" s="66" t="str">
        <f aca="false">VLOOKUP(A149,BD_ORDENES!A:BE,56,FALSE())</f>
        <v>S270149</v>
      </c>
      <c r="G149" s="67" t="str">
        <f aca="false">VLOOKUP(A149,BD_ORDENES!A:BE,13,FALSE())</f>
        <v>SOFA HAMBURGO 3P DICOSTA GRIS (MATIZ NATURAL)</v>
      </c>
      <c r="H149" s="68" t="str">
        <f aca="false">VLOOKUP(A149,BD_ORDENES!A:BE,17,FALSE())</f>
        <v>SOFA</v>
      </c>
      <c r="I149" s="68" t="str">
        <f aca="false">VLOOKUP(A149,BD_ORDENES!A:BE,18,FALSE())</f>
        <v>HAMBURGO-3P</v>
      </c>
      <c r="J149" s="68" t="str">
        <f aca="false">VLOOKUP(A149,BD_ORDENES!A:BE,19,FALSE())</f>
        <v>DICOSTA</v>
      </c>
      <c r="K149" s="68" t="str">
        <f aca="false">VLOOKUP(A149,BD_ORDENES!A:BE,20,FALSE())</f>
        <v>GRIS</v>
      </c>
      <c r="L149" s="68" t="str">
        <f aca="false">VLOOKUP(A149,BD_ORDENES!A:BE,21,FALSE())</f>
        <v>MATIZ-NATURAL</v>
      </c>
      <c r="M149" s="69" t="n">
        <f aca="false">VLOOKUP(A149,BD_ORDENES!A:BE,14,FALSE())</f>
        <v>1</v>
      </c>
      <c r="N149" s="68" t="n">
        <f aca="false">VLOOKUP(A149,BD_ORDENES!A:BE,15,FALSE())</f>
        <v>0</v>
      </c>
      <c r="O149" s="68" t="str">
        <f aca="false">VLOOKUP(A149,BD_ORDENES!A:BE,33,FALSE())</f>
        <v>TRANSPORTADORA</v>
      </c>
      <c r="P149" s="68" t="n">
        <f aca="false">VLOOKUP(A149,BD_ORDENES!A:BE,23,FALSE())</f>
        <v>0</v>
      </c>
      <c r="Q149" s="68" t="str">
        <f aca="false">VLOOKUP(A149,BD_ORDENES!A:BE,52,FALSE())</f>
        <v>Obtener Bajo Pedido (MTO)</v>
      </c>
      <c r="R149" s="68" t="str">
        <f aca="false">VLOOKUP(A149,BD_ORDENES!A:BE,25,FALSE())</f>
        <v>USAQUÉN                       </v>
      </c>
      <c r="S149" s="68" t="str">
        <f aca="false">VLOOKUP(A149,BD_ORDENES!A:BE,22,FALSE())</f>
        <v>FINANCIAL AND RISK CONSULTING SAS</v>
      </c>
      <c r="T149" s="65" t="n">
        <f aca="false">VLOOKUP(A149,BD_ORDENES!A:BE,55,FALSE())</f>
        <v>0</v>
      </c>
      <c r="U149" s="68" t="str">
        <f aca="false">VLOOKUP(A149,BD_ORDENES!A:BE,57,FALSE())</f>
        <v>4 ROTTERDAN</v>
      </c>
      <c r="V149" s="70"/>
      <c r="W149" s="71"/>
    </row>
    <row r="150" s="72" customFormat="true" ht="98.25" hidden="false" customHeight="true" outlineLevel="0" collapsed="false">
      <c r="A150" s="62" t="n">
        <f aca="false">A149+1</f>
        <v>143</v>
      </c>
      <c r="B150" s="63" t="str">
        <f aca="false">VLOOKUP(A150,BD_ORDENES!A:BG,12,FALSE())</f>
        <v>__export__.product_product_176870_c52e25b7</v>
      </c>
      <c r="C150" s="64" t="n">
        <v>143</v>
      </c>
      <c r="D150" s="65" t="str">
        <f aca="false">VLOOKUP(A150,BD_ORDENES!A:BE,10,0)</f>
        <v>HOME</v>
      </c>
      <c r="E150" s="66" t="n">
        <f aca="false">VLOOKUP(A150,BD_ORDENES!A:BG,4,FALSE())</f>
        <v>13927101</v>
      </c>
      <c r="F150" s="66" t="str">
        <f aca="false">VLOOKUP(A150,BD_ORDENES!A:BE,56,FALSE())</f>
        <v>S270134</v>
      </c>
      <c r="G150" s="67" t="str">
        <f aca="false">VLOOKUP(A150,BD_ORDENES!A:BE,13,FALSE())</f>
        <v>SOFA PORTO DICOSTA INDIGO (MATIZ NATURAL)</v>
      </c>
      <c r="H150" s="68" t="str">
        <f aca="false">VLOOKUP(A150,BD_ORDENES!A:BE,17,FALSE())</f>
        <v>SOFA</v>
      </c>
      <c r="I150" s="68" t="str">
        <f aca="false">VLOOKUP(A150,BD_ORDENES!A:BE,18,FALSE())</f>
        <v>PORTO</v>
      </c>
      <c r="J150" s="68" t="str">
        <f aca="false">VLOOKUP(A150,BD_ORDENES!A:BE,19,FALSE())</f>
        <v>DICOSTA</v>
      </c>
      <c r="K150" s="68" t="str">
        <f aca="false">VLOOKUP(A150,BD_ORDENES!A:BE,20,FALSE())</f>
        <v>INDIGO</v>
      </c>
      <c r="L150" s="68" t="str">
        <f aca="false">VLOOKUP(A150,BD_ORDENES!A:BE,21,FALSE())</f>
        <v>MATIZ-NATURAL</v>
      </c>
      <c r="M150" s="69" t="n">
        <f aca="false">VLOOKUP(A150,BD_ORDENES!A:BE,14,FALSE())</f>
        <v>1</v>
      </c>
      <c r="N150" s="68" t="n">
        <f aca="false">VLOOKUP(A150,BD_ORDENES!A:BE,15,FALSE())</f>
        <v>0</v>
      </c>
      <c r="O150" s="68" t="str">
        <f aca="false">VLOOKUP(A150,BD_ORDENES!A:BE,33,FALSE())</f>
        <v>PROV. CLIENTE</v>
      </c>
      <c r="P150" s="68" t="n">
        <f aca="false">VLOOKUP(A150,BD_ORDENES!A:BE,23,FALSE())</f>
        <v>0</v>
      </c>
      <c r="Q150" s="68" t="str">
        <f aca="false">VLOOKUP(A150,BD_ORDENES!A:BE,52,FALSE())</f>
        <v>Obtener Bajo Pedido (MTO)</v>
      </c>
      <c r="R150" s="68" t="str">
        <f aca="false">VLOOKUP(A150,BD_ORDENES!A:BE,25,FALSE())</f>
        <v>PEREIRA</v>
      </c>
      <c r="S150" s="68" t="str">
        <f aca="false">VLOOKUP(A150,BD_ORDENES!A:BE,22,FALSE())</f>
        <v>VALENTINA RAMIREZ CORREA</v>
      </c>
      <c r="T150" s="65" t="n">
        <f aca="false">VLOOKUP(A150,BD_ORDENES!A:BE,55,FALSE())</f>
        <v>0</v>
      </c>
      <c r="U150" s="68" t="str">
        <f aca="false">VLOOKUP(A150,BD_ORDENES!A:BE,57,FALSE())</f>
        <v>1.1 ENVIA</v>
      </c>
      <c r="V150" s="70"/>
      <c r="W150" s="71"/>
    </row>
    <row r="151" s="72" customFormat="true" ht="98.25" hidden="false" customHeight="true" outlineLevel="0" collapsed="false">
      <c r="A151" s="62" t="n">
        <f aca="false">A150+1</f>
        <v>144</v>
      </c>
      <c r="B151" s="63" t="str">
        <f aca="false">VLOOKUP(A151,BD_ORDENES!A:BG,12,FALSE())</f>
        <v>__export__.product_product_180156_9c06f215</v>
      </c>
      <c r="C151" s="64" t="n">
        <v>144</v>
      </c>
      <c r="D151" s="65" t="str">
        <f aca="false">VLOOKUP(A151,BD_ORDENES!A:BE,10,0)</f>
        <v>HOME</v>
      </c>
      <c r="E151" s="66" t="n">
        <f aca="false">VLOOKUP(A151,BD_ORDENES!A:BG,4,FALSE())</f>
        <v>13927101</v>
      </c>
      <c r="F151" s="66" t="str">
        <f aca="false">VLOOKUP(A151,BD_ORDENES!A:BE,56,FALSE())</f>
        <v>S270134</v>
      </c>
      <c r="G151" s="67" t="str">
        <f aca="false">VLOOKUP(A151,BD_ORDENES!A:BE,13,FALSE())</f>
        <v>POLTRONA PORTO DICOSTA INDIGO (MATIZ NATURAL)</v>
      </c>
      <c r="H151" s="68" t="str">
        <f aca="false">VLOOKUP(A151,BD_ORDENES!A:BE,17,FALSE())</f>
        <v>POLTRONA</v>
      </c>
      <c r="I151" s="68" t="str">
        <f aca="false">VLOOKUP(A151,BD_ORDENES!A:BE,18,FALSE())</f>
        <v>PORTO</v>
      </c>
      <c r="J151" s="68" t="str">
        <f aca="false">VLOOKUP(A151,BD_ORDENES!A:BE,19,FALSE())</f>
        <v>DICOSTA</v>
      </c>
      <c r="K151" s="68" t="str">
        <f aca="false">VLOOKUP(A151,BD_ORDENES!A:BE,20,FALSE())</f>
        <v>INDIGO</v>
      </c>
      <c r="L151" s="68" t="str">
        <f aca="false">VLOOKUP(A151,BD_ORDENES!A:BE,21,FALSE())</f>
        <v>MATIZ-NATURAL</v>
      </c>
      <c r="M151" s="69" t="n">
        <f aca="false">VLOOKUP(A151,BD_ORDENES!A:BE,14,FALSE())</f>
        <v>1</v>
      </c>
      <c r="N151" s="68" t="n">
        <f aca="false">VLOOKUP(A151,BD_ORDENES!A:BE,15,FALSE())</f>
        <v>0</v>
      </c>
      <c r="O151" s="68" t="str">
        <f aca="false">VLOOKUP(A151,BD_ORDENES!A:BE,33,FALSE())</f>
        <v>PROV. CLIENTE</v>
      </c>
      <c r="P151" s="68" t="n">
        <f aca="false">VLOOKUP(A151,BD_ORDENES!A:BE,23,FALSE())</f>
        <v>0</v>
      </c>
      <c r="Q151" s="68" t="str">
        <f aca="false">VLOOKUP(A151,BD_ORDENES!A:BE,52,FALSE())</f>
        <v>Obtener Bajo Pedido (MTO)</v>
      </c>
      <c r="R151" s="68" t="str">
        <f aca="false">VLOOKUP(A151,BD_ORDENES!A:BE,25,FALSE())</f>
        <v>PEREIRA</v>
      </c>
      <c r="S151" s="68" t="str">
        <f aca="false">VLOOKUP(A151,BD_ORDENES!A:BE,22,FALSE())</f>
        <v>VALENTINA RAMIREZ CORREA</v>
      </c>
      <c r="T151" s="65" t="n">
        <f aca="false">VLOOKUP(A151,BD_ORDENES!A:BE,55,FALSE())</f>
        <v>0</v>
      </c>
      <c r="U151" s="68" t="str">
        <f aca="false">VLOOKUP(A151,BD_ORDENES!A:BE,57,FALSE())</f>
        <v>1.1 ENVIA</v>
      </c>
      <c r="V151" s="70"/>
      <c r="W151" s="71"/>
    </row>
    <row r="152" s="72" customFormat="true" ht="98.25" hidden="false" customHeight="true" outlineLevel="0" collapsed="false">
      <c r="A152" s="62" t="n">
        <f aca="false">A151+1</f>
        <v>145</v>
      </c>
      <c r="B152" s="63" t="str">
        <f aca="false">VLOOKUP(A152,BD_ORDENES!A:BG,12,FALSE())</f>
        <v>__export__.product_product_185863_6c19fa6b</v>
      </c>
      <c r="C152" s="64" t="n">
        <v>145</v>
      </c>
      <c r="D152" s="65" t="str">
        <f aca="false">VLOOKUP(A152,BD_ORDENES!A:BE,10,0)</f>
        <v>HOME</v>
      </c>
      <c r="E152" s="66" t="n">
        <f aca="false">VLOOKUP(A152,BD_ORDENES!A:BG,4,FALSE())</f>
        <v>13927101</v>
      </c>
      <c r="F152" s="66" t="str">
        <f aca="false">VLOOKUP(A152,BD_ORDENES!A:BE,56,FALSE())</f>
        <v>S270134</v>
      </c>
      <c r="G152" s="67" t="str">
        <f aca="false">VLOOKUP(A152,BD_ORDENES!A:BE,13,FALSE())</f>
        <v>PUFF PORTO DICOSTA INDIGO (MATIZ NATURAL)</v>
      </c>
      <c r="H152" s="68" t="str">
        <f aca="false">VLOOKUP(A152,BD_ORDENES!A:BE,17,FALSE())</f>
        <v>PUFF</v>
      </c>
      <c r="I152" s="68" t="str">
        <f aca="false">VLOOKUP(A152,BD_ORDENES!A:BE,18,FALSE())</f>
        <v>PORTO</v>
      </c>
      <c r="J152" s="68" t="str">
        <f aca="false">VLOOKUP(A152,BD_ORDENES!A:BE,19,FALSE())</f>
        <v>DICOSTA</v>
      </c>
      <c r="K152" s="68" t="str">
        <f aca="false">VLOOKUP(A152,BD_ORDENES!A:BE,20,FALSE())</f>
        <v>INDIGO</v>
      </c>
      <c r="L152" s="68" t="str">
        <f aca="false">VLOOKUP(A152,BD_ORDENES!A:BE,21,FALSE())</f>
        <v>MATIZ-NATURAL</v>
      </c>
      <c r="M152" s="69" t="n">
        <f aca="false">VLOOKUP(A152,BD_ORDENES!A:BE,14,FALSE())</f>
        <v>1</v>
      </c>
      <c r="N152" s="68" t="n">
        <f aca="false">VLOOKUP(A152,BD_ORDENES!A:BE,15,FALSE())</f>
        <v>0</v>
      </c>
      <c r="O152" s="68" t="str">
        <f aca="false">VLOOKUP(A152,BD_ORDENES!A:BE,33,FALSE())</f>
        <v>PROV. CLIENTE</v>
      </c>
      <c r="P152" s="68" t="n">
        <f aca="false">VLOOKUP(A152,BD_ORDENES!A:BE,23,FALSE())</f>
        <v>0</v>
      </c>
      <c r="Q152" s="68" t="str">
        <f aca="false">VLOOKUP(A152,BD_ORDENES!A:BE,52,FALSE())</f>
        <v>Obtener Bajo Pedido (MTO)</v>
      </c>
      <c r="R152" s="68" t="str">
        <f aca="false">VLOOKUP(A152,BD_ORDENES!A:BE,25,FALSE())</f>
        <v>PEREIRA</v>
      </c>
      <c r="S152" s="68" t="str">
        <f aca="false">VLOOKUP(A152,BD_ORDENES!A:BE,22,FALSE())</f>
        <v>VALENTINA RAMIREZ CORREA</v>
      </c>
      <c r="T152" s="65" t="n">
        <f aca="false">VLOOKUP(A152,BD_ORDENES!A:BE,55,FALSE())</f>
        <v>0</v>
      </c>
      <c r="U152" s="68" t="str">
        <f aca="false">VLOOKUP(A152,BD_ORDENES!A:BE,57,FALSE())</f>
        <v>1.1 ENVIA</v>
      </c>
      <c r="V152" s="70"/>
      <c r="W152" s="71"/>
    </row>
    <row r="153" s="72" customFormat="true" ht="98.25" hidden="false" customHeight="true" outlineLevel="0" collapsed="false">
      <c r="A153" s="62" t="n">
        <f aca="false">A152+1</f>
        <v>146</v>
      </c>
      <c r="B153" s="63" t="str">
        <f aca="false">VLOOKUP(A153,BD_ORDENES!A:BG,12,FALSE())</f>
        <v>__export__.product_product_187099_4a580d03</v>
      </c>
      <c r="C153" s="64" t="n">
        <v>146</v>
      </c>
      <c r="D153" s="65" t="str">
        <f aca="false">VLOOKUP(A153,BD_ORDENES!A:BE,10,0)</f>
        <v>HOME</v>
      </c>
      <c r="E153" s="66" t="n">
        <f aca="false">VLOOKUP(A153,BD_ORDENES!A:BG,4,FALSE())</f>
        <v>13927101</v>
      </c>
      <c r="F153" s="66" t="str">
        <f aca="false">VLOOKUP(A153,BD_ORDENES!A:BE,56,FALSE())</f>
        <v>S270134</v>
      </c>
      <c r="G153" s="67" t="str">
        <f aca="false">VLOOKUP(A153,BD_ORDENES!A:BE,13,FALSE())</f>
        <v>MESA DE CENTRO NOVA BLANCO (MATIZ NATURAL)</v>
      </c>
      <c r="H153" s="68" t="str">
        <f aca="false">VLOOKUP(A153,BD_ORDENES!A:BE,17,FALSE())</f>
        <v>MESA-CENTRO</v>
      </c>
      <c r="I153" s="68" t="str">
        <f aca="false">VLOOKUP(A153,BD_ORDENES!A:BE,18,FALSE())</f>
        <v>NOVA</v>
      </c>
      <c r="J153" s="68" t="n">
        <f aca="false">VLOOKUP(A153,BD_ORDENES!A:BE,19,FALSE())</f>
        <v>0</v>
      </c>
      <c r="K153" s="68" t="str">
        <f aca="false">VLOOKUP(A153,BD_ORDENES!A:BE,20,FALSE())</f>
        <v>BLANCO</v>
      </c>
      <c r="L153" s="68" t="str">
        <f aca="false">VLOOKUP(A153,BD_ORDENES!A:BE,21,FALSE())</f>
        <v>MATIZ-NATURAL</v>
      </c>
      <c r="M153" s="69" t="n">
        <f aca="false">VLOOKUP(A153,BD_ORDENES!A:BE,14,FALSE())</f>
        <v>1</v>
      </c>
      <c r="N153" s="68" t="n">
        <f aca="false">VLOOKUP(A153,BD_ORDENES!A:BE,15,FALSE())</f>
        <v>0</v>
      </c>
      <c r="O153" s="68" t="str">
        <f aca="false">VLOOKUP(A153,BD_ORDENES!A:BE,33,FALSE())</f>
        <v>PROV. CLIENTE</v>
      </c>
      <c r="P153" s="68" t="n">
        <f aca="false">VLOOKUP(A153,BD_ORDENES!A:BE,23,FALSE())</f>
        <v>0</v>
      </c>
      <c r="Q153" s="68" t="str">
        <f aca="false">VLOOKUP(A153,BD_ORDENES!A:BE,52,FALSE())</f>
        <v>Obtener Bajo Pedido (MTO)</v>
      </c>
      <c r="R153" s="68" t="str">
        <f aca="false">VLOOKUP(A153,BD_ORDENES!A:BE,25,FALSE())</f>
        <v>PEREIRA</v>
      </c>
      <c r="S153" s="68" t="str">
        <f aca="false">VLOOKUP(A153,BD_ORDENES!A:BE,22,FALSE())</f>
        <v>VALENTINA RAMIREZ CORREA</v>
      </c>
      <c r="T153" s="65" t="n">
        <f aca="false">VLOOKUP(A153,BD_ORDENES!A:BE,55,FALSE())</f>
        <v>0</v>
      </c>
      <c r="U153" s="68" t="str">
        <f aca="false">VLOOKUP(A153,BD_ORDENES!A:BE,57,FALSE())</f>
        <v>1.1 ENVIA</v>
      </c>
      <c r="V153" s="70"/>
      <c r="W153" s="71"/>
    </row>
    <row r="154" s="72" customFormat="true" ht="98.25" hidden="false" customHeight="true" outlineLevel="0" collapsed="false">
      <c r="A154" s="62" t="n">
        <f aca="false">A153+1</f>
        <v>147</v>
      </c>
      <c r="B154" s="63" t="str">
        <f aca="false">VLOOKUP(A154,BD_ORDENES!A:BG,12,FALSE())</f>
        <v>__export__.product_product_286722_df109ec9</v>
      </c>
      <c r="C154" s="64" t="n">
        <v>147</v>
      </c>
      <c r="D154" s="65" t="str">
        <f aca="false">VLOOKUP(A154,BD_ORDENES!A:BE,10,0)</f>
        <v>HOME</v>
      </c>
      <c r="E154" s="66" t="n">
        <f aca="false">VLOOKUP(A154,BD_ORDENES!A:BG,4,FALSE())</f>
        <v>13926966</v>
      </c>
      <c r="F154" s="66" t="str">
        <f aca="false">VLOOKUP(A154,BD_ORDENES!A:BE,56,FALSE())</f>
        <v>S270133</v>
      </c>
      <c r="G154" s="67" t="str">
        <f aca="false">VLOOKUP(A154,BD_ORDENES!A:BE,13,FALSE())</f>
        <v>CUADRO PERRO CARA PINTADO L (60X60)</v>
      </c>
      <c r="H154" s="68" t="str">
        <f aca="false">VLOOKUP(A154,BD_ORDENES!A:BE,17,FALSE())</f>
        <v>CUADRO</v>
      </c>
      <c r="I154" s="68" t="str">
        <f aca="false">VLOOKUP(A154,BD_ORDENES!A:BE,18,FALSE())</f>
        <v>PERRO-CARA-PINTADO-L-(60X60)</v>
      </c>
      <c r="J154" s="68" t="n">
        <f aca="false">VLOOKUP(A154,BD_ORDENES!A:BE,19,FALSE())</f>
        <v>0</v>
      </c>
      <c r="K154" s="68" t="n">
        <f aca="false">VLOOKUP(A154,BD_ORDENES!A:BE,20,FALSE())</f>
        <v>0</v>
      </c>
      <c r="L154" s="68" t="n">
        <f aca="false">VLOOKUP(A154,BD_ORDENES!A:BE,21,FALSE())</f>
        <v>0</v>
      </c>
      <c r="M154" s="69" t="n">
        <f aca="false">VLOOKUP(A154,BD_ORDENES!A:BE,14,FALSE())</f>
        <v>1</v>
      </c>
      <c r="N154" s="68" t="n">
        <f aca="false">VLOOKUP(A154,BD_ORDENES!A:BE,15,FALSE())</f>
        <v>0</v>
      </c>
      <c r="O154" s="68" t="str">
        <f aca="false">VLOOKUP(A154,BD_ORDENES!A:BE,33,FALSE())</f>
        <v>PROV. ALM. DOMICILIO</v>
      </c>
      <c r="P154" s="68" t="n">
        <f aca="false">VLOOKUP(A154,BD_ORDENES!A:BE,23,FALSE())</f>
        <v>0</v>
      </c>
      <c r="Q154" s="68" t="str">
        <f aca="false">VLOOKUP(A154,BD_ORDENES!A:BE,52,FALSE())</f>
        <v>Obtener Bajo Pedido (MTO)</v>
      </c>
      <c r="R154" s="68" t="str">
        <f aca="false">VLOOKUP(A154,BD_ORDENES!A:BE,25,FALSE())</f>
        <v>BOGOTA. D.C.</v>
      </c>
      <c r="S154" s="68" t="str">
        <f aca="false">VLOOKUP(A154,BD_ORDENES!A:BE,22,FALSE())</f>
        <v>JONATHAN MORENO</v>
      </c>
      <c r="T154" s="65" t="n">
        <f aca="false">VLOOKUP(A154,BD_ORDENES!A:BE,55,FALSE())</f>
        <v>0</v>
      </c>
      <c r="U154" s="68" t="str">
        <f aca="false">VLOOKUP(A154,BD_ORDENES!A:BE,57,FALSE())</f>
        <v>1.1 ENVIA</v>
      </c>
      <c r="V154" s="70"/>
      <c r="W154" s="71"/>
    </row>
    <row r="155" s="72" customFormat="true" ht="98.25" hidden="false" customHeight="true" outlineLevel="0" collapsed="false">
      <c r="A155" s="62" t="n">
        <f aca="false">A154+1</f>
        <v>148</v>
      </c>
      <c r="B155" s="63" t="str">
        <f aca="false">VLOOKUP(A155,BD_ORDENES!A:BG,12,FALSE())</f>
        <v>__export__.product_product_332733_db845b0e</v>
      </c>
      <c r="C155" s="64" t="n">
        <v>148</v>
      </c>
      <c r="D155" s="65" t="str">
        <f aca="false">VLOOKUP(A155,BD_ORDENES!A:BE,10,0)</f>
        <v>HOME</v>
      </c>
      <c r="E155" s="66" t="n">
        <f aca="false">VLOOKUP(A155,BD_ORDENES!A:BG,4,FALSE())</f>
        <v>13926868</v>
      </c>
      <c r="F155" s="66" t="str">
        <f aca="false">VLOOKUP(A155,BD_ORDENES!A:BE,56,FALSE())</f>
        <v>S270132</v>
      </c>
      <c r="G155" s="67" t="str">
        <f aca="false">VLOOKUP(A155,BD_ORDENES!A:BE,13,FALSE())</f>
        <v>SOFA DOMINIC DICOSTA TAUPE (MATIZ NATURAL)</v>
      </c>
      <c r="H155" s="68" t="str">
        <f aca="false">VLOOKUP(A155,BD_ORDENES!A:BE,17,FALSE())</f>
        <v>SOFA</v>
      </c>
      <c r="I155" s="68" t="str">
        <f aca="false">VLOOKUP(A155,BD_ORDENES!A:BE,18,FALSE())</f>
        <v>DOMINIC</v>
      </c>
      <c r="J155" s="68" t="str">
        <f aca="false">VLOOKUP(A155,BD_ORDENES!A:BE,19,FALSE())</f>
        <v>DICOSTA</v>
      </c>
      <c r="K155" s="68" t="str">
        <f aca="false">VLOOKUP(A155,BD_ORDENES!A:BE,20,FALSE())</f>
        <v>TAUPE</v>
      </c>
      <c r="L155" s="68" t="str">
        <f aca="false">VLOOKUP(A155,BD_ORDENES!A:BE,21,FALSE())</f>
        <v>MATIZ-NATURAL</v>
      </c>
      <c r="M155" s="69" t="n">
        <f aca="false">VLOOKUP(A155,BD_ORDENES!A:BE,14,FALSE())</f>
        <v>1</v>
      </c>
      <c r="N155" s="68" t="n">
        <f aca="false">VLOOKUP(A155,BD_ORDENES!A:BE,15,FALSE())</f>
        <v>0</v>
      </c>
      <c r="O155" s="68" t="str">
        <f aca="false">VLOOKUP(A155,BD_ORDENES!A:BE,33,FALSE())</f>
        <v>PROV. ALM. DOMICILIO</v>
      </c>
      <c r="P155" s="68" t="n">
        <f aca="false">VLOOKUP(A155,BD_ORDENES!A:BE,23,FALSE())</f>
        <v>0</v>
      </c>
      <c r="Q155" s="68" t="str">
        <f aca="false">VLOOKUP(A155,BD_ORDENES!A:BE,52,FALSE())</f>
        <v>Obtener Bajo Pedido (MTO)</v>
      </c>
      <c r="R155" s="68" t="str">
        <f aca="false">VLOOKUP(A155,BD_ORDENES!A:BE,25,FALSE())</f>
        <v>BOGOTA. D.C.</v>
      </c>
      <c r="S155" s="68" t="str">
        <f aca="false">VLOOKUP(A155,BD_ORDENES!A:BE,22,FALSE())</f>
        <v>CARLOS ROJAS</v>
      </c>
      <c r="T155" s="65" t="n">
        <f aca="false">VLOOKUP(A155,BD_ORDENES!A:BE,55,FALSE())</f>
        <v>0</v>
      </c>
      <c r="U155" s="68" t="str">
        <f aca="false">VLOOKUP(A155,BD_ORDENES!A:BE,57,FALSE())</f>
        <v>1.1 ENVIA</v>
      </c>
      <c r="V155" s="70"/>
      <c r="W155" s="71"/>
    </row>
    <row r="156" s="72" customFormat="true" ht="98.25" hidden="false" customHeight="true" outlineLevel="0" collapsed="false">
      <c r="A156" s="62" t="n">
        <f aca="false">A155+1</f>
        <v>149</v>
      </c>
      <c r="B156" s="63" t="str">
        <f aca="false">VLOOKUP(A156,BD_ORDENES!A:BG,12,FALSE())</f>
        <v>__export__.product_product_332361_1132f405</v>
      </c>
      <c r="C156" s="64" t="n">
        <v>149</v>
      </c>
      <c r="D156" s="65" t="str">
        <f aca="false">VLOOKUP(A156,BD_ORDENES!A:BE,10,0)</f>
        <v>HOME</v>
      </c>
      <c r="E156" s="66" t="n">
        <f aca="false">VLOOKUP(A156,BD_ORDENES!A:BG,4,FALSE())</f>
        <v>13926866</v>
      </c>
      <c r="F156" s="66" t="str">
        <f aca="false">VLOOKUP(A156,BD_ORDENES!A:BE,56,FALSE())</f>
        <v>S270131</v>
      </c>
      <c r="G156" s="67" t="str">
        <f aca="false">VLOOKUP(A156,BD_ORDENES!A:BE,13,FALSE())</f>
        <v>POLTRONA DOMINIC DENVER GRIS (MATIZ NATURAL)</v>
      </c>
      <c r="H156" s="68" t="str">
        <f aca="false">VLOOKUP(A156,BD_ORDENES!A:BE,17,FALSE())</f>
        <v>POLTRONA</v>
      </c>
      <c r="I156" s="68" t="str">
        <f aca="false">VLOOKUP(A156,BD_ORDENES!A:BE,18,FALSE())</f>
        <v>DOMINIC</v>
      </c>
      <c r="J156" s="68" t="str">
        <f aca="false">VLOOKUP(A156,BD_ORDENES!A:BE,19,FALSE())</f>
        <v>DENVER</v>
      </c>
      <c r="K156" s="68" t="str">
        <f aca="false">VLOOKUP(A156,BD_ORDENES!A:BE,20,FALSE())</f>
        <v>GRIS</v>
      </c>
      <c r="L156" s="68" t="str">
        <f aca="false">VLOOKUP(A156,BD_ORDENES!A:BE,21,FALSE())</f>
        <v>MATIZ-NATURAL</v>
      </c>
      <c r="M156" s="69" t="n">
        <f aca="false">VLOOKUP(A156,BD_ORDENES!A:BE,14,FALSE())</f>
        <v>1</v>
      </c>
      <c r="N156" s="68" t="n">
        <f aca="false">VLOOKUP(A156,BD_ORDENES!A:BE,15,FALSE())</f>
        <v>0</v>
      </c>
      <c r="O156" s="68" t="str">
        <f aca="false">VLOOKUP(A156,BD_ORDENES!A:BE,33,FALSE())</f>
        <v>PROV. ALM. DOMICILIO</v>
      </c>
      <c r="P156" s="68" t="n">
        <f aca="false">VLOOKUP(A156,BD_ORDENES!A:BE,23,FALSE())</f>
        <v>0</v>
      </c>
      <c r="Q156" s="68" t="str">
        <f aca="false">VLOOKUP(A156,BD_ORDENES!A:BE,52,FALSE())</f>
        <v>Obtener Bajo Pedido (MTO)</v>
      </c>
      <c r="R156" s="68" t="str">
        <f aca="false">VLOOKUP(A156,BD_ORDENES!A:BE,25,FALSE())</f>
        <v>BOGOTA. D.C.</v>
      </c>
      <c r="S156" s="68" t="str">
        <f aca="false">VLOOKUP(A156,BD_ORDENES!A:BE,22,FALSE())</f>
        <v>LINA ACEVEDO</v>
      </c>
      <c r="T156" s="65" t="n">
        <f aca="false">VLOOKUP(A156,BD_ORDENES!A:BE,55,FALSE())</f>
        <v>0</v>
      </c>
      <c r="U156" s="68" t="str">
        <f aca="false">VLOOKUP(A156,BD_ORDENES!A:BE,57,FALSE())</f>
        <v>1.1 ENVIA</v>
      </c>
      <c r="V156" s="70"/>
      <c r="W156" s="71"/>
    </row>
    <row r="157" s="72" customFormat="true" ht="98.25" hidden="false" customHeight="true" outlineLevel="0" collapsed="false">
      <c r="A157" s="62" t="n">
        <f aca="false">A156+1</f>
        <v>150</v>
      </c>
      <c r="B157" s="63" t="str">
        <f aca="false">VLOOKUP(A157,BD_ORDENES!A:BG,12,FALSE())</f>
        <v>__export__.product_product_328393_0d44fb6a</v>
      </c>
      <c r="C157" s="64" t="n">
        <v>150</v>
      </c>
      <c r="D157" s="65" t="str">
        <f aca="false">VLOOKUP(A157,BD_ORDENES!A:BE,10,0)</f>
        <v>HOME</v>
      </c>
      <c r="E157" s="66" t="n">
        <f aca="false">VLOOKUP(A157,BD_ORDENES!A:BG,4,FALSE())</f>
        <v>13926558</v>
      </c>
      <c r="F157" s="66" t="str">
        <f aca="false">VLOOKUP(A157,BD_ORDENES!A:BE,56,FALSE())</f>
        <v>S270130</v>
      </c>
      <c r="G157" s="67" t="str">
        <f aca="false">VLOOKUP(A157,BD_ORDENES!A:BE,13,FALSE())</f>
        <v>CAMA INFANTIL TWIST LADO DERECHO DICOSTA TRIGO (MATIZ NATURAL)</v>
      </c>
      <c r="H157" s="68" t="str">
        <f aca="false">VLOOKUP(A157,BD_ORDENES!A:BE,17,FALSE())</f>
        <v>CAMA</v>
      </c>
      <c r="I157" s="68" t="str">
        <f aca="false">VLOOKUP(A157,BD_ORDENES!A:BE,18,FALSE())</f>
        <v>INFANTIL-TWIST-LADO-DERECHO</v>
      </c>
      <c r="J157" s="68" t="str">
        <f aca="false">VLOOKUP(A157,BD_ORDENES!A:BE,19,FALSE())</f>
        <v>DICOSTA</v>
      </c>
      <c r="K157" s="68" t="str">
        <f aca="false">VLOOKUP(A157,BD_ORDENES!A:BE,20,FALSE())</f>
        <v>TRIGO</v>
      </c>
      <c r="L157" s="68" t="str">
        <f aca="false">VLOOKUP(A157,BD_ORDENES!A:BE,21,FALSE())</f>
        <v>MATIZ-NATURAL</v>
      </c>
      <c r="M157" s="69" t="n">
        <f aca="false">VLOOKUP(A157,BD_ORDENES!A:BE,14,FALSE())</f>
        <v>1</v>
      </c>
      <c r="N157" s="68" t="n">
        <f aca="false">VLOOKUP(A157,BD_ORDENES!A:BE,15,FALSE())</f>
        <v>0</v>
      </c>
      <c r="O157" s="68" t="str">
        <f aca="false">VLOOKUP(A157,BD_ORDENES!A:BE,33,FALSE())</f>
        <v>PROV. ALM. DOMICILIO</v>
      </c>
      <c r="P157" s="68" t="n">
        <f aca="false">VLOOKUP(A157,BD_ORDENES!A:BE,23,FALSE())</f>
        <v>0</v>
      </c>
      <c r="Q157" s="68" t="str">
        <f aca="false">VLOOKUP(A157,BD_ORDENES!A:BE,52,FALSE())</f>
        <v>Obtener Bajo Pedido (MTO)</v>
      </c>
      <c r="R157" s="68" t="str">
        <f aca="false">VLOOKUP(A157,BD_ORDENES!A:BE,25,FALSE())</f>
        <v>BOGOTA. D.C.</v>
      </c>
      <c r="S157" s="68" t="str">
        <f aca="false">VLOOKUP(A157,BD_ORDENES!A:BE,22,FALSE())</f>
        <v>JUAN MONSALVE</v>
      </c>
      <c r="T157" s="65" t="n">
        <f aca="false">VLOOKUP(A157,BD_ORDENES!A:BE,55,FALSE())</f>
        <v>0</v>
      </c>
      <c r="U157" s="68" t="str">
        <f aca="false">VLOOKUP(A157,BD_ORDENES!A:BE,57,FALSE())</f>
        <v>1.1 ENVIA</v>
      </c>
      <c r="V157" s="70"/>
      <c r="W157" s="71"/>
    </row>
    <row r="158" s="72" customFormat="true" ht="98.25" hidden="false" customHeight="true" outlineLevel="0" collapsed="false">
      <c r="A158" s="62" t="n">
        <f aca="false">A157+1</f>
        <v>151</v>
      </c>
      <c r="B158" s="63" t="str">
        <f aca="false">VLOOKUP(A158,BD_ORDENES!A:BG,12,FALSE())</f>
        <v>__export__.product_product_206911_f60f3610</v>
      </c>
      <c r="C158" s="64" t="n">
        <v>151</v>
      </c>
      <c r="D158" s="65" t="str">
        <f aca="false">VLOOKUP(A158,BD_ORDENES!A:BE,10,0)</f>
        <v>HOME</v>
      </c>
      <c r="E158" s="66" t="n">
        <f aca="false">VLOOKUP(A158,BD_ORDENES!A:BG,4,FALSE())</f>
        <v>13926437</v>
      </c>
      <c r="F158" s="66" t="str">
        <f aca="false">VLOOKUP(A158,BD_ORDENES!A:BE,56,FALSE())</f>
        <v>S270129</v>
      </c>
      <c r="G158" s="67" t="str">
        <f aca="false">VLOOKUP(A158,BD_ORDENES!A:BE,13,FALSE())</f>
        <v>SOFA PORTO DENVER GRIS (MATIZ NATURAL)</v>
      </c>
      <c r="H158" s="68" t="str">
        <f aca="false">VLOOKUP(A158,BD_ORDENES!A:BE,17,FALSE())</f>
        <v>SOFA</v>
      </c>
      <c r="I158" s="68" t="str">
        <f aca="false">VLOOKUP(A158,BD_ORDENES!A:BE,18,FALSE())</f>
        <v>PORTO</v>
      </c>
      <c r="J158" s="68" t="str">
        <f aca="false">VLOOKUP(A158,BD_ORDENES!A:BE,19,FALSE())</f>
        <v>DENVER</v>
      </c>
      <c r="K158" s="68" t="str">
        <f aca="false">VLOOKUP(A158,BD_ORDENES!A:BE,20,FALSE())</f>
        <v>GRIS</v>
      </c>
      <c r="L158" s="68" t="str">
        <f aca="false">VLOOKUP(A158,BD_ORDENES!A:BE,21,FALSE())</f>
        <v>MATIZ-NATURAL</v>
      </c>
      <c r="M158" s="69" t="n">
        <f aca="false">VLOOKUP(A158,BD_ORDENES!A:BE,14,FALSE())</f>
        <v>1</v>
      </c>
      <c r="N158" s="68" t="n">
        <f aca="false">VLOOKUP(A158,BD_ORDENES!A:BE,15,FALSE())</f>
        <v>0</v>
      </c>
      <c r="O158" s="68" t="str">
        <f aca="false">VLOOKUP(A158,BD_ORDENES!A:BE,33,FALSE())</f>
        <v>PROV. ALM. DOMICILIO</v>
      </c>
      <c r="P158" s="68" t="n">
        <f aca="false">VLOOKUP(A158,BD_ORDENES!A:BE,23,FALSE())</f>
        <v>0</v>
      </c>
      <c r="Q158" s="68" t="str">
        <f aca="false">VLOOKUP(A158,BD_ORDENES!A:BE,52,FALSE())</f>
        <v>Obtener Bajo Pedido (MTO)</v>
      </c>
      <c r="R158" s="68" t="str">
        <f aca="false">VLOOKUP(A158,BD_ORDENES!A:BE,25,FALSE())</f>
        <v>BOGOTA. D.C.</v>
      </c>
      <c r="S158" s="68" t="str">
        <f aca="false">VLOOKUP(A158,BD_ORDENES!A:BE,22,FALSE())</f>
        <v>TATIANA SILVA</v>
      </c>
      <c r="T158" s="65" t="n">
        <f aca="false">VLOOKUP(A158,BD_ORDENES!A:BE,55,FALSE())</f>
        <v>0</v>
      </c>
      <c r="U158" s="68" t="str">
        <f aca="false">VLOOKUP(A158,BD_ORDENES!A:BE,57,FALSE())</f>
        <v>1.1 ENVIA</v>
      </c>
      <c r="V158" s="70"/>
      <c r="W158" s="71"/>
    </row>
    <row r="159" s="72" customFormat="true" ht="98.25" hidden="false" customHeight="true" outlineLevel="0" collapsed="false">
      <c r="A159" s="62" t="n">
        <f aca="false">A158+1</f>
        <v>152</v>
      </c>
      <c r="B159" s="63" t="str">
        <f aca="false">VLOOKUP(A159,BD_ORDENES!A:BG,12,FALSE())</f>
        <v>__export__.product_product_306587_b9912c58</v>
      </c>
      <c r="C159" s="64" t="n">
        <v>152</v>
      </c>
      <c r="D159" s="65" t="str">
        <f aca="false">VLOOKUP(A159,BD_ORDENES!A:BE,10,0)</f>
        <v>HOME</v>
      </c>
      <c r="E159" s="66" t="n">
        <f aca="false">VLOOKUP(A159,BD_ORDENES!A:BG,4,FALSE())</f>
        <v>13926357</v>
      </c>
      <c r="F159" s="66" t="str">
        <f aca="false">VLOOKUP(A159,BD_ORDENES!A:BE,56,FALSE())</f>
        <v>S270128</v>
      </c>
      <c r="G159" s="67" t="str">
        <f aca="false">VLOOKUP(A159,BD_ORDENES!A:BE,13,FALSE())</f>
        <v>SOFA LISBOA 2P DENVER PLATA (MATIZ NATURAL)</v>
      </c>
      <c r="H159" s="68" t="str">
        <f aca="false">VLOOKUP(A159,BD_ORDENES!A:BE,17,FALSE())</f>
        <v>SOFA</v>
      </c>
      <c r="I159" s="68" t="str">
        <f aca="false">VLOOKUP(A159,BD_ORDENES!A:BE,18,FALSE())</f>
        <v>LISBOA-2P</v>
      </c>
      <c r="J159" s="68" t="str">
        <f aca="false">VLOOKUP(A159,BD_ORDENES!A:BE,19,FALSE())</f>
        <v>DENVER</v>
      </c>
      <c r="K159" s="68" t="str">
        <f aca="false">VLOOKUP(A159,BD_ORDENES!A:BE,20,FALSE())</f>
        <v>PLATA</v>
      </c>
      <c r="L159" s="68" t="str">
        <f aca="false">VLOOKUP(A159,BD_ORDENES!A:BE,21,FALSE())</f>
        <v>MATIZ-NATURAL</v>
      </c>
      <c r="M159" s="69" t="n">
        <f aca="false">VLOOKUP(A159,BD_ORDENES!A:BE,14,FALSE())</f>
        <v>1</v>
      </c>
      <c r="N159" s="68" t="n">
        <f aca="false">VLOOKUP(A159,BD_ORDENES!A:BE,15,FALSE())</f>
        <v>0</v>
      </c>
      <c r="O159" s="68" t="str">
        <f aca="false">VLOOKUP(A159,BD_ORDENES!A:BE,33,FALSE())</f>
        <v>PROV. ALM. DOMICILIO</v>
      </c>
      <c r="P159" s="68" t="n">
        <f aca="false">VLOOKUP(A159,BD_ORDENES!A:BE,23,FALSE())</f>
        <v>0</v>
      </c>
      <c r="Q159" s="68" t="str">
        <f aca="false">VLOOKUP(A159,BD_ORDENES!A:BE,52,FALSE())</f>
        <v>Retiro Inventario Bodega</v>
      </c>
      <c r="R159" s="68" t="str">
        <f aca="false">VLOOKUP(A159,BD_ORDENES!A:BE,25,FALSE())</f>
        <v>BOGOTA. D.C.</v>
      </c>
      <c r="S159" s="68" t="str">
        <f aca="false">VLOOKUP(A159,BD_ORDENES!A:BE,22,FALSE())</f>
        <v>OBRAS CIVILES Y ACABADOS RV SAS VILLA GALEANO</v>
      </c>
      <c r="T159" s="65" t="n">
        <f aca="false">VLOOKUP(A159,BD_ORDENES!A:BE,55,FALSE())</f>
        <v>0</v>
      </c>
      <c r="U159" s="68" t="str">
        <f aca="false">VLOOKUP(A159,BD_ORDENES!A:BE,57,FALSE())</f>
        <v>1.1 ENVIA</v>
      </c>
      <c r="V159" s="70"/>
      <c r="W159" s="71"/>
    </row>
    <row r="160" s="72" customFormat="true" ht="98.25" hidden="false" customHeight="true" outlineLevel="0" collapsed="false">
      <c r="A160" s="62" t="n">
        <f aca="false">A159+1</f>
        <v>153</v>
      </c>
      <c r="B160" s="63" t="str">
        <f aca="false">VLOOKUP(A160,BD_ORDENES!A:BG,12,FALSE())</f>
        <v>__export__.product_product_159911_643b39a5</v>
      </c>
      <c r="C160" s="64" t="n">
        <v>153</v>
      </c>
      <c r="D160" s="65" t="str">
        <f aca="false">VLOOKUP(A160,BD_ORDENES!A:BE,10,0)</f>
        <v>HOME</v>
      </c>
      <c r="E160" s="66" t="n">
        <f aca="false">VLOOKUP(A160,BD_ORDENES!A:BG,4,FALSE())</f>
        <v>13926316</v>
      </c>
      <c r="F160" s="66" t="str">
        <f aca="false">VLOOKUP(A160,BD_ORDENES!A:BE,56,FALSE())</f>
        <v>S270127</v>
      </c>
      <c r="G160" s="67" t="str">
        <f aca="false">VLOOKUP(A160,BD_ORDENES!A:BE,13,FALSE())</f>
        <v>BASECAMA VERONA KING NAKANO TAUPE (MATIZ NATURAL)</v>
      </c>
      <c r="H160" s="68" t="str">
        <f aca="false">VLOOKUP(A160,BD_ORDENES!A:BE,17,FALSE())</f>
        <v>BASECAMA</v>
      </c>
      <c r="I160" s="68" t="str">
        <f aca="false">VLOOKUP(A160,BD_ORDENES!A:BE,18,FALSE())</f>
        <v>VERONA-KING</v>
      </c>
      <c r="J160" s="68" t="str">
        <f aca="false">VLOOKUP(A160,BD_ORDENES!A:BE,19,FALSE())</f>
        <v>NAKANO</v>
      </c>
      <c r="K160" s="68" t="str">
        <f aca="false">VLOOKUP(A160,BD_ORDENES!A:BE,20,FALSE())</f>
        <v>TAUPE</v>
      </c>
      <c r="L160" s="68" t="str">
        <f aca="false">VLOOKUP(A160,BD_ORDENES!A:BE,21,FALSE())</f>
        <v>MATIZ-NATURAL</v>
      </c>
      <c r="M160" s="69" t="n">
        <f aca="false">VLOOKUP(A160,BD_ORDENES!A:BE,14,FALSE())</f>
        <v>1</v>
      </c>
      <c r="N160" s="68" t="n">
        <f aca="false">VLOOKUP(A160,BD_ORDENES!A:BE,15,FALSE())</f>
        <v>0</v>
      </c>
      <c r="O160" s="68" t="str">
        <f aca="false">VLOOKUP(A160,BD_ORDENES!A:BE,33,FALSE())</f>
        <v>PROV. ALM. DOMICILIO</v>
      </c>
      <c r="P160" s="68" t="n">
        <f aca="false">VLOOKUP(A160,BD_ORDENES!A:BE,23,FALSE())</f>
        <v>0</v>
      </c>
      <c r="Q160" s="68" t="str">
        <f aca="false">VLOOKUP(A160,BD_ORDENES!A:BE,52,FALSE())</f>
        <v>Obtener Bajo Pedido (MTO)</v>
      </c>
      <c r="R160" s="68" t="str">
        <f aca="false">VLOOKUP(A160,BD_ORDENES!A:BE,25,FALSE())</f>
        <v>BOGOTA. D.C.</v>
      </c>
      <c r="S160" s="68" t="str">
        <f aca="false">VLOOKUP(A160,BD_ORDENES!A:BE,22,FALSE())</f>
        <v>LUIS ROBERTO  MARTINEZ MUÑOZ</v>
      </c>
      <c r="T160" s="65" t="n">
        <f aca="false">VLOOKUP(A160,BD_ORDENES!A:BE,55,FALSE())</f>
        <v>0</v>
      </c>
      <c r="U160" s="68" t="str">
        <f aca="false">VLOOKUP(A160,BD_ORDENES!A:BE,57,FALSE())</f>
        <v>1.1 ENVIA</v>
      </c>
      <c r="V160" s="70"/>
      <c r="W160" s="71"/>
    </row>
    <row r="161" s="72" customFormat="true" ht="98.25" hidden="false" customHeight="true" outlineLevel="0" collapsed="false">
      <c r="A161" s="62" t="n">
        <f aca="false">A160+1</f>
        <v>154</v>
      </c>
      <c r="B161" s="63" t="str">
        <f aca="false">VLOOKUP(A161,BD_ORDENES!A:BG,12,FALSE())</f>
        <v>__export__.product_product_323839_b4b92e08</v>
      </c>
      <c r="C161" s="64" t="n">
        <v>154</v>
      </c>
      <c r="D161" s="65" t="str">
        <f aca="false">VLOOKUP(A161,BD_ORDENES!A:BE,10,0)</f>
        <v>HOME</v>
      </c>
      <c r="E161" s="66" t="n">
        <f aca="false">VLOOKUP(A161,BD_ORDENES!A:BG,4,FALSE())</f>
        <v>13926107</v>
      </c>
      <c r="F161" s="66" t="str">
        <f aca="false">VLOOKUP(A161,BD_ORDENES!A:BE,56,FALSE())</f>
        <v>S270126</v>
      </c>
      <c r="G161" s="67" t="str">
        <f aca="false">VLOOKUP(A161,BD_ORDENES!A:BE,13,FALSE())</f>
        <v>SOFA ROMA SKY TAUPE (MATIZ NATURAL)</v>
      </c>
      <c r="H161" s="68" t="str">
        <f aca="false">VLOOKUP(A161,BD_ORDENES!A:BE,17,FALSE())</f>
        <v>SOFA</v>
      </c>
      <c r="I161" s="68" t="str">
        <f aca="false">VLOOKUP(A161,BD_ORDENES!A:BE,18,FALSE())</f>
        <v>ROMA</v>
      </c>
      <c r="J161" s="68" t="str">
        <f aca="false">VLOOKUP(A161,BD_ORDENES!A:BE,19,FALSE())</f>
        <v>SKY</v>
      </c>
      <c r="K161" s="68" t="str">
        <f aca="false">VLOOKUP(A161,BD_ORDENES!A:BE,20,FALSE())</f>
        <v>TAUPE</v>
      </c>
      <c r="L161" s="68" t="str">
        <f aca="false">VLOOKUP(A161,BD_ORDENES!A:BE,21,FALSE())</f>
        <v>MATIZ-NATURAL</v>
      </c>
      <c r="M161" s="69" t="n">
        <f aca="false">VLOOKUP(A161,BD_ORDENES!A:BE,14,FALSE())</f>
        <v>1</v>
      </c>
      <c r="N161" s="68" t="n">
        <f aca="false">VLOOKUP(A161,BD_ORDENES!A:BE,15,FALSE())</f>
        <v>0</v>
      </c>
      <c r="O161" s="68" t="str">
        <f aca="false">VLOOKUP(A161,BD_ORDENES!A:BE,33,FALSE())</f>
        <v>PROV. CLIENTE</v>
      </c>
      <c r="P161" s="68" t="n">
        <f aca="false">VLOOKUP(A161,BD_ORDENES!A:BE,23,FALSE())</f>
        <v>0</v>
      </c>
      <c r="Q161" s="68" t="str">
        <f aca="false">VLOOKUP(A161,BD_ORDENES!A:BE,52,FALSE())</f>
        <v>Obtener Bajo Pedido (MTO)</v>
      </c>
      <c r="R161" s="68" t="str">
        <f aca="false">VLOOKUP(A161,BD_ORDENES!A:BE,25,FALSE())</f>
        <v>PEREIRA</v>
      </c>
      <c r="S161" s="68" t="str">
        <f aca="false">VLOOKUP(A161,BD_ORDENES!A:BE,22,FALSE())</f>
        <v>JULIETA IDARRAGA</v>
      </c>
      <c r="T161" s="65" t="n">
        <f aca="false">VLOOKUP(A161,BD_ORDENES!A:BE,55,FALSE())</f>
        <v>0</v>
      </c>
      <c r="U161" s="68" t="str">
        <f aca="false">VLOOKUP(A161,BD_ORDENES!A:BE,57,FALSE())</f>
        <v>1.1 ENVIA</v>
      </c>
      <c r="V161" s="70"/>
      <c r="W161" s="71"/>
    </row>
    <row r="162" s="72" customFormat="true" ht="98.25" hidden="false" customHeight="true" outlineLevel="0" collapsed="false">
      <c r="A162" s="62" t="n">
        <f aca="false">A161+1</f>
        <v>155</v>
      </c>
      <c r="B162" s="63" t="str">
        <f aca="false">VLOOKUP(A162,BD_ORDENES!A:BG,12,FALSE())</f>
        <v>__export__.product_product_188034_39478741</v>
      </c>
      <c r="C162" s="64" t="n">
        <v>155</v>
      </c>
      <c r="D162" s="65" t="str">
        <f aca="false">VLOOKUP(A162,BD_ORDENES!A:BE,10,0)</f>
        <v>HOME</v>
      </c>
      <c r="E162" s="66" t="n">
        <f aca="false">VLOOKUP(A162,BD_ORDENES!A:BG,4,FALSE())</f>
        <v>13926107</v>
      </c>
      <c r="F162" s="66" t="str">
        <f aca="false">VLOOKUP(A162,BD_ORDENES!A:BE,56,FALSE())</f>
        <v>S270126</v>
      </c>
      <c r="G162" s="67" t="str">
        <f aca="false">VLOOKUP(A162,BD_ORDENES!A:BE,13,FALSE())</f>
        <v>MESA DE CENTRO MONTREAL ENTAMBORADA GRANDE BLANCO</v>
      </c>
      <c r="H162" s="68" t="str">
        <f aca="false">VLOOKUP(A162,BD_ORDENES!A:BE,17,FALSE())</f>
        <v>MESA-CENTRO</v>
      </c>
      <c r="I162" s="68" t="str">
        <f aca="false">VLOOKUP(A162,BD_ORDENES!A:BE,18,FALSE())</f>
        <v>MONTREAL-ENTAMBORADA-GRANDE</v>
      </c>
      <c r="J162" s="68" t="n">
        <f aca="false">VLOOKUP(A162,BD_ORDENES!A:BE,19,FALSE())</f>
        <v>0</v>
      </c>
      <c r="K162" s="68" t="str">
        <f aca="false">VLOOKUP(A162,BD_ORDENES!A:BE,20,FALSE())</f>
        <v>BLANCO</v>
      </c>
      <c r="L162" s="68" t="n">
        <f aca="false">VLOOKUP(A162,BD_ORDENES!A:BE,21,FALSE())</f>
        <v>0</v>
      </c>
      <c r="M162" s="69" t="n">
        <f aca="false">VLOOKUP(A162,BD_ORDENES!A:BE,14,FALSE())</f>
        <v>1</v>
      </c>
      <c r="N162" s="68" t="n">
        <f aca="false">VLOOKUP(A162,BD_ORDENES!A:BE,15,FALSE())</f>
        <v>0</v>
      </c>
      <c r="O162" s="68" t="str">
        <f aca="false">VLOOKUP(A162,BD_ORDENES!A:BE,33,FALSE())</f>
        <v>PROV. CLIENTE</v>
      </c>
      <c r="P162" s="68" t="n">
        <f aca="false">VLOOKUP(A162,BD_ORDENES!A:BE,23,FALSE())</f>
        <v>0</v>
      </c>
      <c r="Q162" s="68" t="str">
        <f aca="false">VLOOKUP(A162,BD_ORDENES!A:BE,52,FALSE())</f>
        <v>Obtener Bajo Pedido (MTO)</v>
      </c>
      <c r="R162" s="68" t="str">
        <f aca="false">VLOOKUP(A162,BD_ORDENES!A:BE,25,FALSE())</f>
        <v>PEREIRA</v>
      </c>
      <c r="S162" s="68" t="str">
        <f aca="false">VLOOKUP(A162,BD_ORDENES!A:BE,22,FALSE())</f>
        <v>JULIETA IDARRAGA</v>
      </c>
      <c r="T162" s="65" t="n">
        <f aca="false">VLOOKUP(A162,BD_ORDENES!A:BE,55,FALSE())</f>
        <v>0</v>
      </c>
      <c r="U162" s="68" t="str">
        <f aca="false">VLOOKUP(A162,BD_ORDENES!A:BE,57,FALSE())</f>
        <v>1.1 ENVIA</v>
      </c>
      <c r="V162" s="70"/>
      <c r="W162" s="71"/>
    </row>
    <row r="163" s="72" customFormat="true" ht="98.25" hidden="false" customHeight="true" outlineLevel="0" collapsed="false">
      <c r="A163" s="62" t="n">
        <f aca="false">A162+1</f>
        <v>156</v>
      </c>
      <c r="B163" s="63" t="str">
        <f aca="false">VLOOKUP(A163,BD_ORDENES!A:BG,12,FALSE())</f>
        <v>__export__.product_product_188046_6388469c</v>
      </c>
      <c r="C163" s="64" t="n">
        <v>156</v>
      </c>
      <c r="D163" s="65" t="str">
        <f aca="false">VLOOKUP(A163,BD_ORDENES!A:BE,10,0)</f>
        <v>HOME</v>
      </c>
      <c r="E163" s="66" t="n">
        <f aca="false">VLOOKUP(A163,BD_ORDENES!A:BG,4,FALSE())</f>
        <v>13926107</v>
      </c>
      <c r="F163" s="66" t="str">
        <f aca="false">VLOOKUP(A163,BD_ORDENES!A:BE,56,FALSE())</f>
        <v>S270126</v>
      </c>
      <c r="G163" s="67" t="str">
        <f aca="false">VLOOKUP(A163,BD_ORDENES!A:BE,13,FALSE())</f>
        <v>MESA DE CENTRO MONTREAL PEQUEÑA DUNA</v>
      </c>
      <c r="H163" s="68" t="str">
        <f aca="false">VLOOKUP(A163,BD_ORDENES!A:BE,17,FALSE())</f>
        <v>MESA-CENTRO</v>
      </c>
      <c r="I163" s="68" t="str">
        <f aca="false">VLOOKUP(A163,BD_ORDENES!A:BE,18,FALSE())</f>
        <v>MONTREAL-PEQUEÑA</v>
      </c>
      <c r="J163" s="68" t="n">
        <f aca="false">VLOOKUP(A163,BD_ORDENES!A:BE,19,FALSE())</f>
        <v>0</v>
      </c>
      <c r="K163" s="68" t="str">
        <f aca="false">VLOOKUP(A163,BD_ORDENES!A:BE,20,FALSE())</f>
        <v>DUNA</v>
      </c>
      <c r="L163" s="68" t="n">
        <f aca="false">VLOOKUP(A163,BD_ORDENES!A:BE,21,FALSE())</f>
        <v>0</v>
      </c>
      <c r="M163" s="69" t="n">
        <f aca="false">VLOOKUP(A163,BD_ORDENES!A:BE,14,FALSE())</f>
        <v>1</v>
      </c>
      <c r="N163" s="68" t="n">
        <f aca="false">VLOOKUP(A163,BD_ORDENES!A:BE,15,FALSE())</f>
        <v>0</v>
      </c>
      <c r="O163" s="68" t="str">
        <f aca="false">VLOOKUP(A163,BD_ORDENES!A:BE,33,FALSE())</f>
        <v>PROV. CLIENTE</v>
      </c>
      <c r="P163" s="68" t="n">
        <f aca="false">VLOOKUP(A163,BD_ORDENES!A:BE,23,FALSE())</f>
        <v>0</v>
      </c>
      <c r="Q163" s="68" t="str">
        <f aca="false">VLOOKUP(A163,BD_ORDENES!A:BE,52,FALSE())</f>
        <v>Obtener Bajo Pedido (MTO)</v>
      </c>
      <c r="R163" s="68" t="str">
        <f aca="false">VLOOKUP(A163,BD_ORDENES!A:BE,25,FALSE())</f>
        <v>PEREIRA</v>
      </c>
      <c r="S163" s="68" t="str">
        <f aca="false">VLOOKUP(A163,BD_ORDENES!A:BE,22,FALSE())</f>
        <v>JULIETA IDARRAGA</v>
      </c>
      <c r="T163" s="65" t="n">
        <f aca="false">VLOOKUP(A163,BD_ORDENES!A:BE,55,FALSE())</f>
        <v>0</v>
      </c>
      <c r="U163" s="68" t="str">
        <f aca="false">VLOOKUP(A163,BD_ORDENES!A:BE,57,FALSE())</f>
        <v>1.1 ENVIA</v>
      </c>
      <c r="V163" s="70"/>
      <c r="W163" s="71"/>
    </row>
    <row r="164" s="72" customFormat="true" ht="98.25" hidden="false" customHeight="true" outlineLevel="0" collapsed="false">
      <c r="A164" s="62" t="n">
        <f aca="false">A163+1</f>
        <v>157</v>
      </c>
      <c r="B164" s="63" t="str">
        <f aca="false">VLOOKUP(A164,BD_ORDENES!A:BG,12,FALSE())</f>
        <v>__export__.product_product_291160_edf44ffb</v>
      </c>
      <c r="C164" s="64" t="n">
        <v>157</v>
      </c>
      <c r="D164" s="65" t="str">
        <f aca="false">VLOOKUP(A164,BD_ORDENES!A:BE,10,0)</f>
        <v>HOME</v>
      </c>
      <c r="E164" s="66" t="n">
        <f aca="false">VLOOKUP(A164,BD_ORDENES!A:BG,4,FALSE())</f>
        <v>13926091</v>
      </c>
      <c r="F164" s="66" t="str">
        <f aca="false">VLOOKUP(A164,BD_ORDENES!A:BE,56,FALSE())</f>
        <v>S270125</v>
      </c>
      <c r="G164" s="67" t="str">
        <f aca="false">VLOOKUP(A164,BD_ORDENES!A:BE,13,FALSE())</f>
        <v>CABECERO CAPITONEADO VERSALLES DOBLE DENVER NEGRO (MATIZ NATURAL)</v>
      </c>
      <c r="H164" s="68" t="str">
        <f aca="false">VLOOKUP(A164,BD_ORDENES!A:BE,17,FALSE())</f>
        <v>CABECERO-CAPITONEADO</v>
      </c>
      <c r="I164" s="68" t="str">
        <f aca="false">VLOOKUP(A164,BD_ORDENES!A:BE,18,FALSE())</f>
        <v>VERSALLES-DOBLE</v>
      </c>
      <c r="J164" s="68" t="str">
        <f aca="false">VLOOKUP(A164,BD_ORDENES!A:BE,19,FALSE())</f>
        <v>DENVER</v>
      </c>
      <c r="K164" s="68" t="str">
        <f aca="false">VLOOKUP(A164,BD_ORDENES!A:BE,20,FALSE())</f>
        <v>NEGRO</v>
      </c>
      <c r="L164" s="68" t="str">
        <f aca="false">VLOOKUP(A164,BD_ORDENES!A:BE,21,FALSE())</f>
        <v>MATIZ-NATURAL</v>
      </c>
      <c r="M164" s="69" t="n">
        <f aca="false">VLOOKUP(A164,BD_ORDENES!A:BE,14,FALSE())</f>
        <v>1</v>
      </c>
      <c r="N164" s="68" t="n">
        <f aca="false">VLOOKUP(A164,BD_ORDENES!A:BE,15,FALSE())</f>
        <v>0</v>
      </c>
      <c r="O164" s="68" t="str">
        <f aca="false">VLOOKUP(A164,BD_ORDENES!A:BE,33,FALSE())</f>
        <v>PROV. ALM. DOMICILIO</v>
      </c>
      <c r="P164" s="68" t="n">
        <f aca="false">VLOOKUP(A164,BD_ORDENES!A:BE,23,FALSE())</f>
        <v>0</v>
      </c>
      <c r="Q164" s="68" t="str">
        <f aca="false">VLOOKUP(A164,BD_ORDENES!A:BE,52,FALSE())</f>
        <v>Obtener Bajo Pedido (MTO)</v>
      </c>
      <c r="R164" s="68" t="str">
        <f aca="false">VLOOKUP(A164,BD_ORDENES!A:BE,25,FALSE())</f>
        <v>BOGOTA. D.C.</v>
      </c>
      <c r="S164" s="68" t="str">
        <f aca="false">VLOOKUP(A164,BD_ORDENES!A:BE,22,FALSE())</f>
        <v>MARDEY  SIERRA</v>
      </c>
      <c r="T164" s="65" t="n">
        <f aca="false">VLOOKUP(A164,BD_ORDENES!A:BE,55,FALSE())</f>
        <v>0</v>
      </c>
      <c r="U164" s="68" t="str">
        <f aca="false">VLOOKUP(A164,BD_ORDENES!A:BE,57,FALSE())</f>
        <v>1.1 ENVIA</v>
      </c>
      <c r="V164" s="70"/>
      <c r="W164" s="71"/>
    </row>
    <row r="165" s="72" customFormat="true" ht="98.25" hidden="false" customHeight="true" outlineLevel="0" collapsed="false">
      <c r="A165" s="62" t="n">
        <f aca="false">A164+1</f>
        <v>158</v>
      </c>
      <c r="B165" s="63" t="str">
        <f aca="false">VLOOKUP(A165,BD_ORDENES!A:BG,12,FALSE())</f>
        <v>__export__.product_product_286661_d9e8cf9b</v>
      </c>
      <c r="C165" s="64" t="n">
        <v>158</v>
      </c>
      <c r="D165" s="65" t="str">
        <f aca="false">VLOOKUP(A165,BD_ORDENES!A:BE,10,0)</f>
        <v>HOME</v>
      </c>
      <c r="E165" s="66" t="n">
        <f aca="false">VLOOKUP(A165,BD_ORDENES!A:BG,4,FALSE())</f>
        <v>13926021</v>
      </c>
      <c r="F165" s="66" t="str">
        <f aca="false">VLOOKUP(A165,BD_ORDENES!A:BE,56,FALSE())</f>
        <v>S270124</v>
      </c>
      <c r="G165" s="67" t="str">
        <f aca="false">VLOOKUP(A165,BD_ORDENES!A:BE,13,FALSE())</f>
        <v>CAMACUNA CINCINNATI BLANCO (MATIZ NATURAL)</v>
      </c>
      <c r="H165" s="68" t="str">
        <f aca="false">VLOOKUP(A165,BD_ORDENES!A:BE,17,FALSE())</f>
        <v>CAMA-MADERA</v>
      </c>
      <c r="I165" s="68" t="str">
        <f aca="false">VLOOKUP(A165,BD_ORDENES!A:BE,18,FALSE())</f>
        <v>CAMACUNA-CINCINNATI</v>
      </c>
      <c r="J165" s="68" t="n">
        <f aca="false">VLOOKUP(A165,BD_ORDENES!A:BE,19,FALSE())</f>
        <v>0</v>
      </c>
      <c r="K165" s="68" t="str">
        <f aca="false">VLOOKUP(A165,BD_ORDENES!A:BE,20,FALSE())</f>
        <v>BLANCO</v>
      </c>
      <c r="L165" s="68" t="str">
        <f aca="false">VLOOKUP(A165,BD_ORDENES!A:BE,21,FALSE())</f>
        <v>MATIZ-NATURAL</v>
      </c>
      <c r="M165" s="69" t="n">
        <f aca="false">VLOOKUP(A165,BD_ORDENES!A:BE,14,FALSE())</f>
        <v>1</v>
      </c>
      <c r="N165" s="68" t="n">
        <f aca="false">VLOOKUP(A165,BD_ORDENES!A:BE,15,FALSE())</f>
        <v>0</v>
      </c>
      <c r="O165" s="68" t="str">
        <f aca="false">VLOOKUP(A165,BD_ORDENES!A:BE,33,FALSE())</f>
        <v>PROV. CLIENTE</v>
      </c>
      <c r="P165" s="68" t="n">
        <f aca="false">VLOOKUP(A165,BD_ORDENES!A:BE,23,FALSE())</f>
        <v>0</v>
      </c>
      <c r="Q165" s="68" t="str">
        <f aca="false">VLOOKUP(A165,BD_ORDENES!A:BE,52,FALSE())</f>
        <v>Obtener Bajo Pedido (MTO)</v>
      </c>
      <c r="R165" s="68" t="str">
        <f aca="false">VLOOKUP(A165,BD_ORDENES!A:BE,25,FALSE())</f>
        <v>RIONEGRO</v>
      </c>
      <c r="S165" s="68" t="str">
        <f aca="false">VLOOKUP(A165,BD_ORDENES!A:BE,22,FALSE())</f>
        <v>TRINIDAD GUERRERO</v>
      </c>
      <c r="T165" s="65" t="n">
        <f aca="false">VLOOKUP(A165,BD_ORDENES!A:BE,55,FALSE())</f>
        <v>0</v>
      </c>
      <c r="U165" s="68" t="str">
        <f aca="false">VLOOKUP(A165,BD_ORDENES!A:BE,57,FALSE())</f>
        <v>1.1 ENVIA</v>
      </c>
      <c r="V165" s="70"/>
      <c r="W165" s="71"/>
    </row>
    <row r="166" s="72" customFormat="true" ht="98.25" hidden="false" customHeight="true" outlineLevel="0" collapsed="false">
      <c r="A166" s="62" t="n">
        <f aca="false">A165+1</f>
        <v>159</v>
      </c>
      <c r="B166" s="63" t="str">
        <f aca="false">VLOOKUP(A166,BD_ORDENES!A:BG,12,FALSE())</f>
        <v>__export__.product_product_186703_bf5d78bb</v>
      </c>
      <c r="C166" s="64" t="n">
        <v>159</v>
      </c>
      <c r="D166" s="65" t="str">
        <f aca="false">VLOOKUP(A166,BD_ORDENES!A:BE,10,0)</f>
        <v>HOME</v>
      </c>
      <c r="E166" s="66" t="n">
        <f aca="false">VLOOKUP(A166,BD_ORDENES!A:BG,4,FALSE())</f>
        <v>13925960</v>
      </c>
      <c r="F166" s="66" t="str">
        <f aca="false">VLOOKUP(A166,BD_ORDENES!A:BE,56,FALSE())</f>
        <v>S270123</v>
      </c>
      <c r="G166" s="67" t="str">
        <f aca="false">VLOOKUP(A166,BD_ORDENES!A:BE,13,FALSE())</f>
        <v>CHAISE NAVARA DUSTER PLATA (MATIZ NATURAL)</v>
      </c>
      <c r="H166" s="68" t="str">
        <f aca="false">VLOOKUP(A166,BD_ORDENES!A:BE,17,FALSE())</f>
        <v>CHAISE</v>
      </c>
      <c r="I166" s="68" t="str">
        <f aca="false">VLOOKUP(A166,BD_ORDENES!A:BE,18,FALSE())</f>
        <v>NAVARA</v>
      </c>
      <c r="J166" s="68" t="str">
        <f aca="false">VLOOKUP(A166,BD_ORDENES!A:BE,19,FALSE())</f>
        <v>DUSTER</v>
      </c>
      <c r="K166" s="68" t="str">
        <f aca="false">VLOOKUP(A166,BD_ORDENES!A:BE,20,FALSE())</f>
        <v>PLATA</v>
      </c>
      <c r="L166" s="68" t="str">
        <f aca="false">VLOOKUP(A166,BD_ORDENES!A:BE,21,FALSE())</f>
        <v>MATIZ-NATURAL</v>
      </c>
      <c r="M166" s="69" t="n">
        <f aca="false">VLOOKUP(A166,BD_ORDENES!A:BE,14,FALSE())</f>
        <v>1</v>
      </c>
      <c r="N166" s="68" t="n">
        <f aca="false">VLOOKUP(A166,BD_ORDENES!A:BE,15,FALSE())</f>
        <v>0</v>
      </c>
      <c r="O166" s="68" t="str">
        <f aca="false">VLOOKUP(A166,BD_ORDENES!A:BE,33,FALSE())</f>
        <v>PROV. CLIENTE</v>
      </c>
      <c r="P166" s="68" t="n">
        <f aca="false">VLOOKUP(A166,BD_ORDENES!A:BE,23,FALSE())</f>
        <v>0</v>
      </c>
      <c r="Q166" s="68" t="str">
        <f aca="false">VLOOKUP(A166,BD_ORDENES!A:BE,52,FALSE())</f>
        <v>Obtener Bajo Pedido (MTO)</v>
      </c>
      <c r="R166" s="68" t="str">
        <f aca="false">VLOOKUP(A166,BD_ORDENES!A:BE,25,FALSE())</f>
        <v>ARMENIA</v>
      </c>
      <c r="S166" s="68" t="str">
        <f aca="false">VLOOKUP(A166,BD_ORDENES!A:BE,22,FALSE())</f>
        <v>OSIRIA MACEBO</v>
      </c>
      <c r="T166" s="65" t="n">
        <f aca="false">VLOOKUP(A166,BD_ORDENES!A:BE,55,FALSE())</f>
        <v>0</v>
      </c>
      <c r="U166" s="68" t="str">
        <f aca="false">VLOOKUP(A166,BD_ORDENES!A:BE,57,FALSE())</f>
        <v>1.1 ENVIA</v>
      </c>
      <c r="V166" s="70"/>
      <c r="W166" s="71"/>
    </row>
    <row r="167" s="72" customFormat="true" ht="98.25" hidden="false" customHeight="true" outlineLevel="0" collapsed="false">
      <c r="A167" s="62" t="n">
        <f aca="false">A166+1</f>
        <v>160</v>
      </c>
      <c r="B167" s="63" t="str">
        <f aca="false">VLOOKUP(A167,BD_ORDENES!A:BG,12,FALSE())</f>
        <v>__export__.product_product_327179_e046e2db</v>
      </c>
      <c r="C167" s="64" t="n">
        <v>160</v>
      </c>
      <c r="D167" s="65" t="str">
        <f aca="false">VLOOKUP(A167,BD_ORDENES!A:BE,10,0)</f>
        <v>HOME</v>
      </c>
      <c r="E167" s="66" t="n">
        <f aca="false">VLOOKUP(A167,BD_ORDENES!A:BG,4,FALSE())</f>
        <v>13925897</v>
      </c>
      <c r="F167" s="66" t="str">
        <f aca="false">VLOOKUP(A167,BD_ORDENES!A:BE,56,FALSE())</f>
        <v>S270122</v>
      </c>
      <c r="G167" s="67" t="str">
        <f aca="false">VLOOKUP(A167,BD_ORDENES!A:BE,13,FALSE())</f>
        <v>CAMA LENNON QUEEN SKY PLATA</v>
      </c>
      <c r="H167" s="68" t="str">
        <f aca="false">VLOOKUP(A167,BD_ORDENES!A:BE,17,FALSE())</f>
        <v>CAMA</v>
      </c>
      <c r="I167" s="68" t="str">
        <f aca="false">VLOOKUP(A167,BD_ORDENES!A:BE,18,FALSE())</f>
        <v>LENNON-QUEEN</v>
      </c>
      <c r="J167" s="68" t="str">
        <f aca="false">VLOOKUP(A167,BD_ORDENES!A:BE,19,FALSE())</f>
        <v>SKY</v>
      </c>
      <c r="K167" s="68" t="str">
        <f aca="false">VLOOKUP(A167,BD_ORDENES!A:BE,20,FALSE())</f>
        <v>PLATA</v>
      </c>
      <c r="L167" s="68" t="n">
        <f aca="false">VLOOKUP(A167,BD_ORDENES!A:BE,21,FALSE())</f>
        <v>0</v>
      </c>
      <c r="M167" s="69" t="n">
        <f aca="false">VLOOKUP(A167,BD_ORDENES!A:BE,14,FALSE())</f>
        <v>1</v>
      </c>
      <c r="N167" s="68" t="n">
        <f aca="false">VLOOKUP(A167,BD_ORDENES!A:BE,15,FALSE())</f>
        <v>0</v>
      </c>
      <c r="O167" s="68" t="str">
        <f aca="false">VLOOKUP(A167,BD_ORDENES!A:BE,33,FALSE())</f>
        <v>PROV. CLIENTE</v>
      </c>
      <c r="P167" s="68" t="n">
        <f aca="false">VLOOKUP(A167,BD_ORDENES!A:BE,23,FALSE())</f>
        <v>0</v>
      </c>
      <c r="Q167" s="68" t="str">
        <f aca="false">VLOOKUP(A167,BD_ORDENES!A:BE,52,FALSE())</f>
        <v>Obtener Bajo Pedido (MTO)</v>
      </c>
      <c r="R167" s="68" t="str">
        <f aca="false">VLOOKUP(A167,BD_ORDENES!A:BE,25,FALSE())</f>
        <v>PEREIRA</v>
      </c>
      <c r="S167" s="68" t="str">
        <f aca="false">VLOOKUP(A167,BD_ORDENES!A:BE,22,FALSE())</f>
        <v>MARIA OSORIO GONZALEZ</v>
      </c>
      <c r="T167" s="65" t="n">
        <f aca="false">VLOOKUP(A167,BD_ORDENES!A:BE,55,FALSE())</f>
        <v>0</v>
      </c>
      <c r="U167" s="68" t="str">
        <f aca="false">VLOOKUP(A167,BD_ORDENES!A:BE,57,FALSE())</f>
        <v>1.1 ENVIA</v>
      </c>
      <c r="V167" s="70"/>
      <c r="W167" s="71"/>
    </row>
    <row r="168" s="72" customFormat="true" ht="98.25" hidden="false" customHeight="true" outlineLevel="0" collapsed="false">
      <c r="A168" s="62" t="n">
        <f aca="false">A167+1</f>
        <v>161</v>
      </c>
      <c r="B168" s="63" t="str">
        <f aca="false">VLOOKUP(A168,BD_ORDENES!A:BG,12,FALSE())</f>
        <v>__export__.product_product_173870_2261e5ee</v>
      </c>
      <c r="C168" s="64" t="n">
        <v>161</v>
      </c>
      <c r="D168" s="65" t="str">
        <f aca="false">VLOOKUP(A168,BD_ORDENES!A:BE,10,0)</f>
        <v>HOME</v>
      </c>
      <c r="E168" s="66" t="n">
        <f aca="false">VLOOKUP(A168,BD_ORDENES!A:BG,4,FALSE())</f>
        <v>13925871</v>
      </c>
      <c r="F168" s="66" t="str">
        <f aca="false">VLOOKUP(A168,BD_ORDENES!A:BE,56,FALSE())</f>
        <v>S270121</v>
      </c>
      <c r="G168" s="67" t="str">
        <f aca="false">VLOOKUP(A168,BD_ORDENES!A:BE,13,FALSE())</f>
        <v>SOFA BARZA DICOSTA TAUPE (MATIZ NATURAL)</v>
      </c>
      <c r="H168" s="68" t="str">
        <f aca="false">VLOOKUP(A168,BD_ORDENES!A:BE,17,FALSE())</f>
        <v>SOFA</v>
      </c>
      <c r="I168" s="68" t="str">
        <f aca="false">VLOOKUP(A168,BD_ORDENES!A:BE,18,FALSE())</f>
        <v>BARZA</v>
      </c>
      <c r="J168" s="68" t="str">
        <f aca="false">VLOOKUP(A168,BD_ORDENES!A:BE,19,FALSE())</f>
        <v>DICOSTA</v>
      </c>
      <c r="K168" s="68" t="str">
        <f aca="false">VLOOKUP(A168,BD_ORDENES!A:BE,20,FALSE())</f>
        <v>TAUPE</v>
      </c>
      <c r="L168" s="68" t="str">
        <f aca="false">VLOOKUP(A168,BD_ORDENES!A:BE,21,FALSE())</f>
        <v>MATIZ-NATURAL</v>
      </c>
      <c r="M168" s="69" t="n">
        <f aca="false">VLOOKUP(A168,BD_ORDENES!A:BE,14,FALSE())</f>
        <v>1</v>
      </c>
      <c r="N168" s="68" t="n">
        <f aca="false">VLOOKUP(A168,BD_ORDENES!A:BE,15,FALSE())</f>
        <v>0</v>
      </c>
      <c r="O168" s="68" t="str">
        <f aca="false">VLOOKUP(A168,BD_ORDENES!A:BE,33,FALSE())</f>
        <v>PROV. ALM. DOMICILIO</v>
      </c>
      <c r="P168" s="68" t="n">
        <f aca="false">VLOOKUP(A168,BD_ORDENES!A:BE,23,FALSE())</f>
        <v>0</v>
      </c>
      <c r="Q168" s="68" t="str">
        <f aca="false">VLOOKUP(A168,BD_ORDENES!A:BE,52,FALSE())</f>
        <v>Obtener Bajo Pedido (MTO)</v>
      </c>
      <c r="R168" s="68" t="str">
        <f aca="false">VLOOKUP(A168,BD_ORDENES!A:BE,25,FALSE())</f>
        <v>BOGOTA. D.C.</v>
      </c>
      <c r="S168" s="68" t="str">
        <f aca="false">VLOOKUP(A168,BD_ORDENES!A:BE,22,FALSE())</f>
        <v>ANGELA GARCIA</v>
      </c>
      <c r="T168" s="65" t="n">
        <f aca="false">VLOOKUP(A168,BD_ORDENES!A:BE,55,FALSE())</f>
        <v>0</v>
      </c>
      <c r="U168" s="68" t="str">
        <f aca="false">VLOOKUP(A168,BD_ORDENES!A:BE,57,FALSE())</f>
        <v>1.1 ENVIA</v>
      </c>
      <c r="V168" s="70"/>
      <c r="W168" s="71"/>
    </row>
    <row r="169" s="72" customFormat="true" ht="98.25" hidden="false" customHeight="true" outlineLevel="0" collapsed="false">
      <c r="A169" s="62" t="n">
        <f aca="false">A168+1</f>
        <v>162</v>
      </c>
      <c r="B169" s="63" t="str">
        <f aca="false">VLOOKUP(A169,BD_ORDENES!A:BG,12,FALSE())</f>
        <v>__export__.product_product_207968_048862ea</v>
      </c>
      <c r="C169" s="64" t="n">
        <v>162</v>
      </c>
      <c r="D169" s="65" t="str">
        <f aca="false">VLOOKUP(A169,BD_ORDENES!A:BE,10,0)</f>
        <v>FL.COM</v>
      </c>
      <c r="E169" s="66" t="n">
        <f aca="false">VLOOKUP(A169,BD_ORDENES!A:BG,4,FALSE())</f>
        <v>7423292</v>
      </c>
      <c r="F169" s="66" t="str">
        <f aca="false">VLOOKUP(A169,BD_ORDENES!A:BE,56,FALSE())</f>
        <v>S270138</v>
      </c>
      <c r="G169" s="67" t="str">
        <f aca="false">VLOOKUP(A169,BD_ORDENES!A:BE,13,FALSE())</f>
        <v>SOFA MUNICH DENVER GRIS (MATIZ NATURAL)</v>
      </c>
      <c r="H169" s="68" t="str">
        <f aca="false">VLOOKUP(A169,BD_ORDENES!A:BE,17,FALSE())</f>
        <v>SOFA</v>
      </c>
      <c r="I169" s="68" t="str">
        <f aca="false">VLOOKUP(A169,BD_ORDENES!A:BE,18,FALSE())</f>
        <v>MUNICH</v>
      </c>
      <c r="J169" s="68" t="str">
        <f aca="false">VLOOKUP(A169,BD_ORDENES!A:BE,19,FALSE())</f>
        <v>DENVER</v>
      </c>
      <c r="K169" s="68" t="str">
        <f aca="false">VLOOKUP(A169,BD_ORDENES!A:BE,20,FALSE())</f>
        <v>GRIS</v>
      </c>
      <c r="L169" s="68" t="str">
        <f aca="false">VLOOKUP(A169,BD_ORDENES!A:BE,21,FALSE())</f>
        <v>MATIZ-NATURAL</v>
      </c>
      <c r="M169" s="69" t="n">
        <f aca="false">VLOOKUP(A169,BD_ORDENES!A:BE,14,FALSE())</f>
        <v>1</v>
      </c>
      <c r="N169" s="68" t="n">
        <f aca="false">VLOOKUP(A169,BD_ORDENES!A:BE,15,FALSE())</f>
        <v>0</v>
      </c>
      <c r="O169" s="68" t="str">
        <f aca="false">VLOOKUP(A169,BD_ORDENES!A:BE,33,FALSE())</f>
        <v>TRANSPORTADORA</v>
      </c>
      <c r="P169" s="68" t="n">
        <f aca="false">VLOOKUP(A169,BD_ORDENES!A:BE,23,FALSE())</f>
        <v>0</v>
      </c>
      <c r="Q169" s="68" t="str">
        <f aca="false">VLOOKUP(A169,BD_ORDENES!A:BE,52,FALSE())</f>
        <v>Obtener Bajo Pedido (MTO)</v>
      </c>
      <c r="R169" s="68" t="str">
        <f aca="false">VLOOKUP(A169,BD_ORDENES!A:BE,25,FALSE())</f>
        <v>SUBA                          </v>
      </c>
      <c r="S169" s="68" t="str">
        <f aca="false">VLOOKUP(A169,BD_ORDENES!A:BE,22,FALSE())</f>
        <v>HOFFMAN OLAYA</v>
      </c>
      <c r="T169" s="65" t="n">
        <f aca="false">VLOOKUP(A169,BD_ORDENES!A:BE,55,FALSE())</f>
        <v>0</v>
      </c>
      <c r="U169" s="68" t="str">
        <f aca="false">VLOOKUP(A169,BD_ORDENES!A:BE,57,FALSE())</f>
        <v>4 ROTTERDAN</v>
      </c>
      <c r="V169" s="70"/>
      <c r="W169" s="71"/>
    </row>
    <row r="170" s="72" customFormat="true" ht="98.25" hidden="false" customHeight="true" outlineLevel="0" collapsed="false">
      <c r="A170" s="62" t="n">
        <f aca="false">A169+1</f>
        <v>163</v>
      </c>
      <c r="B170" s="63" t="str">
        <f aca="false">VLOOKUP(A170,BD_ORDENES!A:BG,12,FALSE())</f>
        <v>__export__.product_product_326075_d3400b7f</v>
      </c>
      <c r="C170" s="64" t="n">
        <v>163</v>
      </c>
      <c r="D170" s="65" t="str">
        <f aca="false">VLOOKUP(A170,BD_ORDENES!A:BE,10,0)</f>
        <v>HOME</v>
      </c>
      <c r="E170" s="66" t="n">
        <f aca="false">VLOOKUP(A170,BD_ORDENES!A:BG,4,FALSE())</f>
        <v>13925521</v>
      </c>
      <c r="F170" s="66" t="str">
        <f aca="false">VLOOKUP(A170,BD_ORDENES!A:BE,56,FALSE())</f>
        <v>S270115</v>
      </c>
      <c r="G170" s="67" t="str">
        <f aca="false">VLOOKUP(A170,BD_ORDENES!A:BE,13,FALSE())</f>
        <v>SALA BETHEL L DERECHA DENVER CHOCOLATE (MADERA CROMO)</v>
      </c>
      <c r="H170" s="68" t="str">
        <f aca="false">VLOOKUP(A170,BD_ORDENES!A:BE,17,FALSE())</f>
        <v>SOFA</v>
      </c>
      <c r="I170" s="68" t="str">
        <f aca="false">VLOOKUP(A170,BD_ORDENES!A:BE,18,FALSE())</f>
        <v>BETHEL-L-DERECHA</v>
      </c>
      <c r="J170" s="68" t="str">
        <f aca="false">VLOOKUP(A170,BD_ORDENES!A:BE,19,FALSE())</f>
        <v>DENVER</v>
      </c>
      <c r="K170" s="68" t="str">
        <f aca="false">VLOOKUP(A170,BD_ORDENES!A:BE,20,FALSE())</f>
        <v>CHOCOLATE</v>
      </c>
      <c r="L170" s="68" t="str">
        <f aca="false">VLOOKUP(A170,BD_ORDENES!A:BE,21,FALSE())</f>
        <v>MADERA-CROMO</v>
      </c>
      <c r="M170" s="69" t="n">
        <f aca="false">VLOOKUP(A170,BD_ORDENES!A:BE,14,FALSE())</f>
        <v>1</v>
      </c>
      <c r="N170" s="68" t="n">
        <f aca="false">VLOOKUP(A170,BD_ORDENES!A:BE,15,FALSE())</f>
        <v>0</v>
      </c>
      <c r="O170" s="68" t="str">
        <f aca="false">VLOOKUP(A170,BD_ORDENES!A:BE,33,FALSE())</f>
        <v>PROV. ALM. DOMICILIO</v>
      </c>
      <c r="P170" s="68" t="n">
        <f aca="false">VLOOKUP(A170,BD_ORDENES!A:BE,23,FALSE())</f>
        <v>0</v>
      </c>
      <c r="Q170" s="68" t="str">
        <f aca="false">VLOOKUP(A170,BD_ORDENES!A:BE,52,FALSE())</f>
        <v>Obtener Bajo Pedido (MTO)</v>
      </c>
      <c r="R170" s="68" t="str">
        <f aca="false">VLOOKUP(A170,BD_ORDENES!A:BE,25,FALSE())</f>
        <v>BOGOTA. D.C.</v>
      </c>
      <c r="S170" s="68" t="str">
        <f aca="false">VLOOKUP(A170,BD_ORDENES!A:BE,22,FALSE())</f>
        <v>JORGE  LAVERDE</v>
      </c>
      <c r="T170" s="65" t="str">
        <f aca="false">VLOOKUP(A170,BD_ORDENES!A:BE,55,FALSE())</f>
        <v>PRODUCCION</v>
      </c>
      <c r="U170" s="68" t="str">
        <f aca="false">VLOOKUP(A170,BD_ORDENES!A:BE,57,FALSE())</f>
        <v>1.1 ENVIA</v>
      </c>
      <c r="V170" s="70"/>
      <c r="W170" s="71"/>
    </row>
    <row r="171" s="72" customFormat="true" ht="98.25" hidden="false" customHeight="true" outlineLevel="0" collapsed="false">
      <c r="A171" s="62" t="n">
        <f aca="false">A170+1</f>
        <v>164</v>
      </c>
      <c r="B171" s="63" t="str">
        <f aca="false">VLOOKUP(A171,BD_ORDENES!A:BG,12,FALSE())</f>
        <v>__export__.product_product_163193_38b656b4</v>
      </c>
      <c r="C171" s="64" t="n">
        <v>164</v>
      </c>
      <c r="D171" s="65" t="str">
        <f aca="false">VLOOKUP(A171,BD_ORDENES!A:BE,10,0)</f>
        <v>HOME</v>
      </c>
      <c r="E171" s="66" t="n">
        <f aca="false">VLOOKUP(A171,BD_ORDENES!A:BG,4,FALSE())</f>
        <v>13924861</v>
      </c>
      <c r="F171" s="66" t="str">
        <f aca="false">VLOOKUP(A171,BD_ORDENES!A:BE,56,FALSE())</f>
        <v>S270109</v>
      </c>
      <c r="G171" s="67" t="str">
        <f aca="false">VLOOKUP(A171,BD_ORDENES!A:BE,13,FALSE())</f>
        <v>MESA LUGO MATIZ JG4 BLANCO (MATIZ NATURAL)</v>
      </c>
      <c r="H171" s="68" t="str">
        <f aca="false">VLOOKUP(A171,BD_ORDENES!A:BE,17,FALSE())</f>
        <v>MESA</v>
      </c>
      <c r="I171" s="68" t="str">
        <f aca="false">VLOOKUP(A171,BD_ORDENES!A:BE,18,FALSE())</f>
        <v>LUGO-MATIZ-JG4</v>
      </c>
      <c r="J171" s="68" t="n">
        <f aca="false">VLOOKUP(A171,BD_ORDENES!A:BE,19,FALSE())</f>
        <v>0</v>
      </c>
      <c r="K171" s="68" t="str">
        <f aca="false">VLOOKUP(A171,BD_ORDENES!A:BE,20,FALSE())</f>
        <v>BLANCO</v>
      </c>
      <c r="L171" s="68" t="str">
        <f aca="false">VLOOKUP(A171,BD_ORDENES!A:BE,21,FALSE())</f>
        <v>MATIZ-NATURAL</v>
      </c>
      <c r="M171" s="69" t="n">
        <f aca="false">VLOOKUP(A171,BD_ORDENES!A:BE,14,FALSE())</f>
        <v>3</v>
      </c>
      <c r="N171" s="68" t="n">
        <f aca="false">VLOOKUP(A171,BD_ORDENES!A:BE,15,FALSE())</f>
        <v>0</v>
      </c>
      <c r="O171" s="68" t="str">
        <f aca="false">VLOOKUP(A171,BD_ORDENES!A:BE,33,FALSE())</f>
        <v>PROV. ALM. DOMICILIO</v>
      </c>
      <c r="P171" s="68" t="n">
        <f aca="false">VLOOKUP(A171,BD_ORDENES!A:BE,23,FALSE())</f>
        <v>0</v>
      </c>
      <c r="Q171" s="68" t="str">
        <f aca="false">VLOOKUP(A171,BD_ORDENES!A:BE,52,FALSE())</f>
        <v>Obtener Bajo Pedido (MTO)</v>
      </c>
      <c r="R171" s="68" t="str">
        <f aca="false">VLOOKUP(A171,BD_ORDENES!A:BE,25,FALSE())</f>
        <v>BOGOTA. D.C.</v>
      </c>
      <c r="S171" s="68" t="str">
        <f aca="false">VLOOKUP(A171,BD_ORDENES!A:BE,22,FALSE())</f>
        <v>CER S.A.S.</v>
      </c>
      <c r="T171" s="65" t="str">
        <f aca="false">VLOOKUP(A171,BD_ORDENES!A:BE,55,FALSE())</f>
        <v>PRODUCCION</v>
      </c>
      <c r="U171" s="68" t="str">
        <f aca="false">VLOOKUP(A171,BD_ORDENES!A:BE,57,FALSE())</f>
        <v>1.1 ENVIA</v>
      </c>
      <c r="V171" s="70"/>
      <c r="W171" s="71"/>
    </row>
    <row r="172" s="72" customFormat="true" ht="98.25" hidden="false" customHeight="true" outlineLevel="0" collapsed="false">
      <c r="A172" s="62" t="n">
        <f aca="false">A171+1</f>
        <v>165</v>
      </c>
      <c r="B172" s="63" t="str">
        <f aca="false">VLOOKUP(A172,BD_ORDENES!A:BG,12,FALSE())</f>
        <v>__export__.product_product_320139_56627e89</v>
      </c>
      <c r="C172" s="64" t="n">
        <v>165</v>
      </c>
      <c r="D172" s="65" t="str">
        <f aca="false">VLOOKUP(A172,BD_ORDENES!A:BE,10,0)</f>
        <v>HOME</v>
      </c>
      <c r="E172" s="66" t="n">
        <f aca="false">VLOOKUP(A172,BD_ORDENES!A:BG,4,FALSE())</f>
        <v>13921680</v>
      </c>
      <c r="F172" s="66" t="str">
        <f aca="false">VLOOKUP(A172,BD_ORDENES!A:BE,56,FALSE())</f>
        <v>S269899</v>
      </c>
      <c r="G172" s="67" t="str">
        <f aca="false">VLOOKUP(A172,BD_ORDENES!A:BE,13,FALSE())</f>
        <v>SOFA BOSNIA DICOSTA INDIGO</v>
      </c>
      <c r="H172" s="68" t="str">
        <f aca="false">VLOOKUP(A172,BD_ORDENES!A:BE,17,FALSE())</f>
        <v>SOFA</v>
      </c>
      <c r="I172" s="68" t="str">
        <f aca="false">VLOOKUP(A172,BD_ORDENES!A:BE,18,FALSE())</f>
        <v>BOSNIA</v>
      </c>
      <c r="J172" s="68" t="str">
        <f aca="false">VLOOKUP(A172,BD_ORDENES!A:BE,19,FALSE())</f>
        <v>DICOSTA</v>
      </c>
      <c r="K172" s="68" t="str">
        <f aca="false">VLOOKUP(A172,BD_ORDENES!A:BE,20,FALSE())</f>
        <v>INDIGO</v>
      </c>
      <c r="L172" s="68" t="n">
        <f aca="false">VLOOKUP(A172,BD_ORDENES!A:BE,21,FALSE())</f>
        <v>0</v>
      </c>
      <c r="M172" s="69" t="n">
        <f aca="false">VLOOKUP(A172,BD_ORDENES!A:BE,14,FALSE())</f>
        <v>1</v>
      </c>
      <c r="N172" s="68" t="n">
        <f aca="false">VLOOKUP(A172,BD_ORDENES!A:BE,15,FALSE())</f>
        <v>0</v>
      </c>
      <c r="O172" s="68" t="str">
        <f aca="false">VLOOKUP(A172,BD_ORDENES!A:BE,33,FALSE())</f>
        <v>PROV. CLIENTE</v>
      </c>
      <c r="P172" s="68" t="n">
        <f aca="false">VLOOKUP(A172,BD_ORDENES!A:BE,23,FALSE())</f>
        <v>0</v>
      </c>
      <c r="Q172" s="68" t="str">
        <f aca="false">VLOOKUP(A172,BD_ORDENES!A:BE,52,FALSE())</f>
        <v>Obtener Bajo Pedido (MTO)</v>
      </c>
      <c r="R172" s="68" t="str">
        <f aca="false">VLOOKUP(A172,BD_ORDENES!A:BE,25,FALSE())</f>
        <v>LA CEJA</v>
      </c>
      <c r="S172" s="68" t="str">
        <f aca="false">VLOOKUP(A172,BD_ORDENES!A:BE,22,FALSE())</f>
        <v>JORGE GAVIRIA</v>
      </c>
      <c r="T172" s="65" t="str">
        <f aca="false">VLOOKUP(A172,BD_ORDENES!A:BE,55,FALSE())</f>
        <v>PRODUCCION</v>
      </c>
      <c r="U172" s="68" t="str">
        <f aca="false">VLOOKUP(A172,BD_ORDENES!A:BE,57,FALSE())</f>
        <v>1.1 ENVIA</v>
      </c>
      <c r="V172" s="70"/>
      <c r="W172" s="71"/>
    </row>
    <row r="173" s="72" customFormat="true" ht="98.25" hidden="false" customHeight="true" outlineLevel="0" collapsed="false">
      <c r="A173" s="62" t="n">
        <f aca="false">A172+1</f>
        <v>166</v>
      </c>
      <c r="B173" s="63" t="str">
        <f aca="false">VLOOKUP(A173,BD_ORDENES!A:BG,12,FALSE())</f>
        <v>__export__.product_product_332693_3c7d1bed</v>
      </c>
      <c r="C173" s="64" t="n">
        <v>166</v>
      </c>
      <c r="D173" s="65" t="str">
        <f aca="false">VLOOKUP(A173,BD_ORDENES!A:BE,10,0)</f>
        <v>GARANTIA</v>
      </c>
      <c r="E173" s="66" t="str">
        <f aca="false">VLOOKUP(A173,BD_ORDENES!A:BG,4,FALSE())</f>
        <v>EL201-ML</v>
      </c>
      <c r="F173" s="66" t="str">
        <f aca="false">VLOOKUP(A173,BD_ORDENES!A:BE,56,FALSE())</f>
        <v>S269383</v>
      </c>
      <c r="G173" s="67" t="str">
        <f aca="false">VLOOKUP(A173,BD_ORDENES!A:BE,13,FALSE())</f>
        <v>SOFA DOMINIC DICOSTA BEIGE (MATIZ NATURAL)</v>
      </c>
      <c r="H173" s="68" t="str">
        <f aca="false">VLOOKUP(A173,BD_ORDENES!A:BE,17,FALSE())</f>
        <v>SOFA</v>
      </c>
      <c r="I173" s="68" t="str">
        <f aca="false">VLOOKUP(A173,BD_ORDENES!A:BE,18,FALSE())</f>
        <v>DOMINIC</v>
      </c>
      <c r="J173" s="68" t="str">
        <f aca="false">VLOOKUP(A173,BD_ORDENES!A:BE,19,FALSE())</f>
        <v>DICOSTA</v>
      </c>
      <c r="K173" s="68" t="str">
        <f aca="false">VLOOKUP(A173,BD_ORDENES!A:BE,20,FALSE())</f>
        <v>BEIGE</v>
      </c>
      <c r="L173" s="68" t="str">
        <f aca="false">VLOOKUP(A173,BD_ORDENES!A:BE,21,FALSE())</f>
        <v>MATIZ-NATURAL</v>
      </c>
      <c r="M173" s="69" t="n">
        <f aca="false">VLOOKUP(A173,BD_ORDENES!A:BE,14,FALSE())</f>
        <v>1</v>
      </c>
      <c r="N173" s="68" t="n">
        <f aca="false">VLOOKUP(A173,BD_ORDENES!A:BE,15,FALSE())</f>
        <v>0</v>
      </c>
      <c r="O173" s="68" t="str">
        <f aca="false">VLOOKUP(A173,BD_ORDENES!A:BE,33,FALSE())</f>
        <v>TRANSPORTADORA HVM BGT</v>
      </c>
      <c r="P173" s="68" t="n">
        <f aca="false">VLOOKUP(A173,BD_ORDENES!A:BE,23,FALSE())</f>
        <v>0</v>
      </c>
      <c r="Q173" s="68" t="str">
        <f aca="false">VLOOKUP(A173,BD_ORDENES!A:BE,52,FALSE())</f>
        <v>Obtener Bajo Pedido (MTO)</v>
      </c>
      <c r="R173" s="68" t="str">
        <f aca="false">VLOOKUP(A173,BD_ORDENES!A:BE,25,FALSE())</f>
        <v>BOGOTÁ D.C.</v>
      </c>
      <c r="S173" s="68" t="str">
        <f aca="false">VLOOKUP(A173,BD_ORDENES!A:BE,22,FALSE())</f>
        <v>LEOPOLDO VASQUEZ</v>
      </c>
      <c r="T173" s="65" t="str">
        <f aca="false">VLOOKUP(A173,BD_ORDENES!A:BE,55,FALSE())</f>
        <v>BODEGA LISTO</v>
      </c>
      <c r="U173" s="68" t="str">
        <f aca="false">VLOOKUP(A173,BD_ORDENES!A:BE,57,FALSE())</f>
        <v>8 VENECIA</v>
      </c>
      <c r="V173" s="70"/>
      <c r="W173" s="71"/>
    </row>
    <row r="174" s="72" customFormat="true" ht="98.25" hidden="false" customHeight="true" outlineLevel="0" collapsed="false">
      <c r="A174" s="62" t="n">
        <f aca="false">A173+1</f>
        <v>167</v>
      </c>
      <c r="B174" s="63" t="str">
        <f aca="false">VLOOKUP(A174,BD_ORDENES!A:BG,12,FALSE())</f>
        <v>__export__.product_product_163247_71cf85fb</v>
      </c>
      <c r="C174" s="64" t="n">
        <v>167</v>
      </c>
      <c r="D174" s="65" t="str">
        <f aca="false">VLOOKUP(A174,BD_ORDENES!A:BE,10,0)</f>
        <v>TRABAJADOR</v>
      </c>
      <c r="E174" s="66" t="str">
        <f aca="false">VLOOKUP(A174,BD_ORDENES!A:BG,4,FALSE())</f>
        <v>TB438</v>
      </c>
      <c r="F174" s="66" t="str">
        <f aca="false">VLOOKUP(A174,BD_ORDENES!A:BE,56,FALSE())</f>
        <v>S269295</v>
      </c>
      <c r="G174" s="67" t="str">
        <f aca="false">VLOOKUP(A174,BD_ORDENES!A:BE,13,FALSE())</f>
        <v>MESA LYON JG4 BLANCO (MATIZ NATURAL)</v>
      </c>
      <c r="H174" s="68" t="str">
        <f aca="false">VLOOKUP(A174,BD_ORDENES!A:BE,17,FALSE())</f>
        <v>MESA</v>
      </c>
      <c r="I174" s="68" t="str">
        <f aca="false">VLOOKUP(A174,BD_ORDENES!A:BE,18,FALSE())</f>
        <v>LYON-JG4</v>
      </c>
      <c r="J174" s="68" t="n">
        <f aca="false">VLOOKUP(A174,BD_ORDENES!A:BE,19,FALSE())</f>
        <v>0</v>
      </c>
      <c r="K174" s="68" t="str">
        <f aca="false">VLOOKUP(A174,BD_ORDENES!A:BE,20,FALSE())</f>
        <v>BLANCO</v>
      </c>
      <c r="L174" s="68" t="str">
        <f aca="false">VLOOKUP(A174,BD_ORDENES!A:BE,21,FALSE())</f>
        <v>MATIZ-NATURAL</v>
      </c>
      <c r="M174" s="69" t="n">
        <f aca="false">VLOOKUP(A174,BD_ORDENES!A:BE,14,FALSE())</f>
        <v>1</v>
      </c>
      <c r="N174" s="68" t="n">
        <f aca="false">VLOOKUP(A174,BD_ORDENES!A:BE,15,FALSE())</f>
        <v>0</v>
      </c>
      <c r="O174" s="68" t="str">
        <f aca="false">VLOOKUP(A174,BD_ORDENES!A:BE,33,FALSE())</f>
        <v>RECOGE EN FABRICA - SALDO CONTRAENTREGA</v>
      </c>
      <c r="P174" s="68" t="str">
        <f aca="false">VLOOKUP(A174,BD_ORDENES!A:BE,23,FALSE())</f>
        <v>SALDO PARA DESPACHO $479.900</v>
      </c>
      <c r="Q174" s="68" t="str">
        <f aca="false">VLOOKUP(A174,BD_ORDENES!A:BE,52,FALSE())</f>
        <v>Obtener Bajo Pedido (MTO)</v>
      </c>
      <c r="R174" s="68" t="str">
        <f aca="false">VLOOKUP(A174,BD_ORDENES!A:BE,25,FALSE())</f>
        <v>TUNJA</v>
      </c>
      <c r="S174" s="68" t="str">
        <f aca="false">VLOOKUP(A174,BD_ORDENES!A:BE,22,FALSE())</f>
        <v>GUTIERREZ LOPEZ NEIDER JAVIER</v>
      </c>
      <c r="T174" s="65" t="str">
        <f aca="false">VLOOKUP(A174,BD_ORDENES!A:BE,55,FALSE())</f>
        <v>BODEGA LISTO</v>
      </c>
      <c r="U174" s="68" t="str">
        <f aca="false">VLOOKUP(A174,BD_ORDENES!A:BE,57,FALSE())</f>
        <v>0 BODEGA</v>
      </c>
      <c r="V174" s="70"/>
      <c r="W174" s="71"/>
    </row>
    <row r="175" s="72" customFormat="true" ht="98.25" hidden="false" customHeight="true" outlineLevel="0" collapsed="false">
      <c r="A175" s="62" t="n">
        <f aca="false">A174+1</f>
        <v>168</v>
      </c>
      <c r="B175" s="63" t="str">
        <f aca="false">VLOOKUP(A175,BD_ORDENES!A:BG,12,FALSE())</f>
        <v>__export__.product_product_334610_af3f7526</v>
      </c>
      <c r="C175" s="64" t="n">
        <v>168</v>
      </c>
      <c r="D175" s="65" t="str">
        <f aca="false">VLOOKUP(A175,BD_ORDENES!A:BE,10,0)</f>
        <v>TRABAJADOR</v>
      </c>
      <c r="E175" s="66" t="str">
        <f aca="false">VLOOKUP(A175,BD_ORDENES!A:BG,4,FALSE())</f>
        <v>TB438</v>
      </c>
      <c r="F175" s="66" t="str">
        <f aca="false">VLOOKUP(A175,BD_ORDENES!A:BE,56,FALSE())</f>
        <v>S269295</v>
      </c>
      <c r="G175" s="67" t="str">
        <f aca="false">VLOOKUP(A175,BD_ORDENES!A:BE,13,FALSE())</f>
        <v>SILLA LYON SKY GRIS</v>
      </c>
      <c r="H175" s="68" t="str">
        <f aca="false">VLOOKUP(A175,BD_ORDENES!A:BE,17,FALSE())</f>
        <v>SILLA</v>
      </c>
      <c r="I175" s="68" t="str">
        <f aca="false">VLOOKUP(A175,BD_ORDENES!A:BE,18,FALSE())</f>
        <v>LYON</v>
      </c>
      <c r="J175" s="68" t="str">
        <f aca="false">VLOOKUP(A175,BD_ORDENES!A:BE,19,FALSE())</f>
        <v>SKY</v>
      </c>
      <c r="K175" s="68" t="str">
        <f aca="false">VLOOKUP(A175,BD_ORDENES!A:BE,20,FALSE())</f>
        <v>GRIS</v>
      </c>
      <c r="L175" s="68" t="n">
        <f aca="false">VLOOKUP(A175,BD_ORDENES!A:BE,21,FALSE())</f>
        <v>0</v>
      </c>
      <c r="M175" s="69" t="n">
        <f aca="false">VLOOKUP(A175,BD_ORDENES!A:BE,14,FALSE())</f>
        <v>2</v>
      </c>
      <c r="N175" s="68" t="n">
        <f aca="false">VLOOKUP(A175,BD_ORDENES!A:BE,15,FALSE())</f>
        <v>0</v>
      </c>
      <c r="O175" s="68" t="str">
        <f aca="false">VLOOKUP(A175,BD_ORDENES!A:BE,33,FALSE())</f>
        <v>RECOGE EN FABRICA - SALDO CONTRAENTREGA</v>
      </c>
      <c r="P175" s="68" t="str">
        <f aca="false">VLOOKUP(A175,BD_ORDENES!A:BE,23,FALSE())</f>
        <v>SALDO PARA DESPACHO $479.900</v>
      </c>
      <c r="Q175" s="68" t="str">
        <f aca="false">VLOOKUP(A175,BD_ORDENES!A:BE,52,FALSE())</f>
        <v>Obtener Bajo Pedido (MTO)</v>
      </c>
      <c r="R175" s="68" t="str">
        <f aca="false">VLOOKUP(A175,BD_ORDENES!A:BE,25,FALSE())</f>
        <v>TUNJA</v>
      </c>
      <c r="S175" s="68" t="str">
        <f aca="false">VLOOKUP(A175,BD_ORDENES!A:BE,22,FALSE())</f>
        <v>GUTIERREZ LOPEZ NEIDER JAVIER</v>
      </c>
      <c r="T175" s="65" t="str">
        <f aca="false">VLOOKUP(A175,BD_ORDENES!A:BE,55,FALSE())</f>
        <v>BODEGA LISTO</v>
      </c>
      <c r="U175" s="68" t="str">
        <f aca="false">VLOOKUP(A175,BD_ORDENES!A:BE,57,FALSE())</f>
        <v>0 BODEGA</v>
      </c>
      <c r="V175" s="70"/>
      <c r="W175" s="71"/>
    </row>
    <row r="176" s="72" customFormat="true" ht="98.25" hidden="false" customHeight="true" outlineLevel="0" collapsed="false">
      <c r="A176" s="62" t="n">
        <f aca="false">A175+1</f>
        <v>169</v>
      </c>
      <c r="B176" s="63" t="str">
        <f aca="false">VLOOKUP(A176,BD_ORDENES!A:BG,12,FALSE())</f>
        <v>__export__.product_product_334611_5da10f0c</v>
      </c>
      <c r="C176" s="64" t="n">
        <v>169</v>
      </c>
      <c r="D176" s="65" t="str">
        <f aca="false">VLOOKUP(A176,BD_ORDENES!A:BE,10,0)</f>
        <v>TRABAJADOR</v>
      </c>
      <c r="E176" s="66" t="str">
        <f aca="false">VLOOKUP(A176,BD_ORDENES!A:BG,4,FALSE())</f>
        <v>TB438</v>
      </c>
      <c r="F176" s="66" t="str">
        <f aca="false">VLOOKUP(A176,BD_ORDENES!A:BE,56,FALSE())</f>
        <v>S269295</v>
      </c>
      <c r="G176" s="67" t="str">
        <f aca="false">VLOOKUP(A176,BD_ORDENES!A:BE,13,FALSE())</f>
        <v>SILLA LYON SKY BEIGE</v>
      </c>
      <c r="H176" s="68" t="str">
        <f aca="false">VLOOKUP(A176,BD_ORDENES!A:BE,17,FALSE())</f>
        <v>SILLA</v>
      </c>
      <c r="I176" s="68" t="str">
        <f aca="false">VLOOKUP(A176,BD_ORDENES!A:BE,18,FALSE())</f>
        <v>LYON</v>
      </c>
      <c r="J176" s="68" t="str">
        <f aca="false">VLOOKUP(A176,BD_ORDENES!A:BE,19,FALSE())</f>
        <v>SKY</v>
      </c>
      <c r="K176" s="68" t="str">
        <f aca="false">VLOOKUP(A176,BD_ORDENES!A:BE,20,FALSE())</f>
        <v>BEIGE</v>
      </c>
      <c r="L176" s="68" t="n">
        <f aca="false">VLOOKUP(A176,BD_ORDENES!A:BE,21,FALSE())</f>
        <v>0</v>
      </c>
      <c r="M176" s="69" t="n">
        <f aca="false">VLOOKUP(A176,BD_ORDENES!A:BE,14,FALSE())</f>
        <v>2</v>
      </c>
      <c r="N176" s="68" t="n">
        <f aca="false">VLOOKUP(A176,BD_ORDENES!A:BE,15,FALSE())</f>
        <v>0</v>
      </c>
      <c r="O176" s="68" t="str">
        <f aca="false">VLOOKUP(A176,BD_ORDENES!A:BE,33,FALSE())</f>
        <v>RECOGE EN FABRICA - SALDO CONTRAENTREGA</v>
      </c>
      <c r="P176" s="68" t="str">
        <f aca="false">VLOOKUP(A176,BD_ORDENES!A:BE,23,FALSE())</f>
        <v>SALDO PARA DESPACHO $479.900</v>
      </c>
      <c r="Q176" s="68" t="str">
        <f aca="false">VLOOKUP(A176,BD_ORDENES!A:BE,52,FALSE())</f>
        <v>Obtener Bajo Pedido (MTO)</v>
      </c>
      <c r="R176" s="68" t="str">
        <f aca="false">VLOOKUP(A176,BD_ORDENES!A:BE,25,FALSE())</f>
        <v>TUNJA</v>
      </c>
      <c r="S176" s="68" t="str">
        <f aca="false">VLOOKUP(A176,BD_ORDENES!A:BE,22,FALSE())</f>
        <v>GUTIERREZ LOPEZ NEIDER JAVIER</v>
      </c>
      <c r="T176" s="65" t="str">
        <f aca="false">VLOOKUP(A176,BD_ORDENES!A:BE,55,FALSE())</f>
        <v>BODEGA LISTO</v>
      </c>
      <c r="U176" s="68" t="str">
        <f aca="false">VLOOKUP(A176,BD_ORDENES!A:BE,57,FALSE())</f>
        <v>0 BODEGA</v>
      </c>
      <c r="V176" s="70"/>
      <c r="W176" s="71"/>
    </row>
    <row r="177" s="72" customFormat="true" ht="98.25" hidden="false" customHeight="true" outlineLevel="0" collapsed="false">
      <c r="A177" s="62" t="n">
        <f aca="false">A176+1</f>
        <v>170</v>
      </c>
      <c r="B177" s="63" t="str">
        <f aca="false">VLOOKUP(A177,BD_ORDENES!A:BG,12,FALSE())</f>
        <v>__export__.product_product_324816_f78bc542</v>
      </c>
      <c r="C177" s="64" t="n">
        <v>170</v>
      </c>
      <c r="D177" s="65" t="str">
        <f aca="false">VLOOKUP(A177,BD_ORDENES!A:BE,10,0)</f>
        <v>TRABAJADOR</v>
      </c>
      <c r="E177" s="66" t="str">
        <f aca="false">VLOOKUP(A177,BD_ORDENES!A:BG,4,FALSE())</f>
        <v>TB438</v>
      </c>
      <c r="F177" s="66" t="str">
        <f aca="false">VLOOKUP(A177,BD_ORDENES!A:BE,56,FALSE())</f>
        <v>S269295</v>
      </c>
      <c r="G177" s="67" t="str">
        <f aca="false">VLOOKUP(A177,BD_ORDENES!A:BE,13,FALSE())</f>
        <v>SOFA PORTO SKY GRIS (MATIZ NATURAL)</v>
      </c>
      <c r="H177" s="68" t="str">
        <f aca="false">VLOOKUP(A177,BD_ORDENES!A:BE,17,FALSE())</f>
        <v>SOFA</v>
      </c>
      <c r="I177" s="68" t="str">
        <f aca="false">VLOOKUP(A177,BD_ORDENES!A:BE,18,FALSE())</f>
        <v>PORTO</v>
      </c>
      <c r="J177" s="68" t="str">
        <f aca="false">VLOOKUP(A177,BD_ORDENES!A:BE,19,FALSE())</f>
        <v>SKY</v>
      </c>
      <c r="K177" s="68" t="str">
        <f aca="false">VLOOKUP(A177,BD_ORDENES!A:BE,20,FALSE())</f>
        <v>GRIS</v>
      </c>
      <c r="L177" s="68" t="str">
        <f aca="false">VLOOKUP(A177,BD_ORDENES!A:BE,21,FALSE())</f>
        <v>MATIZ-NATURAL</v>
      </c>
      <c r="M177" s="69" t="n">
        <f aca="false">VLOOKUP(A177,BD_ORDENES!A:BE,14,FALSE())</f>
        <v>1</v>
      </c>
      <c r="N177" s="68" t="n">
        <f aca="false">VLOOKUP(A177,BD_ORDENES!A:BE,15,FALSE())</f>
        <v>0</v>
      </c>
      <c r="O177" s="68" t="str">
        <f aca="false">VLOOKUP(A177,BD_ORDENES!A:BE,33,FALSE())</f>
        <v>RECOGE EN FABRICA - SALDO CONTRAENTREGA</v>
      </c>
      <c r="P177" s="68" t="str">
        <f aca="false">VLOOKUP(A177,BD_ORDENES!A:BE,23,FALSE())</f>
        <v>SALDO PARA DESPACHO $479.900</v>
      </c>
      <c r="Q177" s="68" t="str">
        <f aca="false">VLOOKUP(A177,BD_ORDENES!A:BE,52,FALSE())</f>
        <v>Obtener Bajo Pedido (MTO)</v>
      </c>
      <c r="R177" s="68" t="str">
        <f aca="false">VLOOKUP(A177,BD_ORDENES!A:BE,25,FALSE())</f>
        <v>TUNJA</v>
      </c>
      <c r="S177" s="68" t="str">
        <f aca="false">VLOOKUP(A177,BD_ORDENES!A:BE,22,FALSE())</f>
        <v>GUTIERREZ LOPEZ NEIDER JAVIER</v>
      </c>
      <c r="T177" s="65" t="str">
        <f aca="false">VLOOKUP(A177,BD_ORDENES!A:BE,55,FALSE())</f>
        <v>BODEGA LISTO</v>
      </c>
      <c r="U177" s="68" t="str">
        <f aca="false">VLOOKUP(A177,BD_ORDENES!A:BE,57,FALSE())</f>
        <v>0 BODEGA</v>
      </c>
      <c r="V177" s="70"/>
      <c r="W177" s="71"/>
    </row>
    <row r="178" s="72" customFormat="true" ht="98.25" hidden="false" customHeight="true" outlineLevel="0" collapsed="false">
      <c r="A178" s="62" t="n">
        <f aca="false">A177+1</f>
        <v>171</v>
      </c>
      <c r="B178" s="63" t="str">
        <f aca="false">VLOOKUP(A178,BD_ORDENES!A:BG,12,FALSE())</f>
        <v>__export__.product_product_317481_fb26fde4</v>
      </c>
      <c r="C178" s="64" t="n">
        <v>171</v>
      </c>
      <c r="D178" s="65" t="str">
        <f aca="false">VLOOKUP(A178,BD_ORDENES!A:BE,10,0)</f>
        <v>EXITO</v>
      </c>
      <c r="E178" s="66" t="n">
        <f aca="false">VLOOKUP(A178,BD_ORDENES!A:BG,4,FALSE())</f>
        <v>1510498070900</v>
      </c>
      <c r="F178" s="66" t="str">
        <f aca="false">VLOOKUP(A178,BD_ORDENES!A:BE,56,FALSE())</f>
        <v>S269485</v>
      </c>
      <c r="G178" s="67" t="str">
        <f aca="false">VLOOKUP(A178,BD_ORDENES!A:BE,13,FALSE())</f>
        <v>CABECERO CAPITONEADO VARNA DOBLE DENVER PLATA (MATIZ NATURAL)</v>
      </c>
      <c r="H178" s="68" t="str">
        <f aca="false">VLOOKUP(A178,BD_ORDENES!A:BE,17,FALSE())</f>
        <v>CABECERO-CAPITONEADO</v>
      </c>
      <c r="I178" s="68" t="str">
        <f aca="false">VLOOKUP(A178,BD_ORDENES!A:BE,18,FALSE())</f>
        <v>VERSALLES-DOBLE</v>
      </c>
      <c r="J178" s="68" t="str">
        <f aca="false">VLOOKUP(A178,BD_ORDENES!A:BE,19,FALSE())</f>
        <v>DENVER</v>
      </c>
      <c r="K178" s="68" t="str">
        <f aca="false">VLOOKUP(A178,BD_ORDENES!A:BE,20,FALSE())</f>
        <v>PLATA</v>
      </c>
      <c r="L178" s="68" t="str">
        <f aca="false">VLOOKUP(A178,BD_ORDENES!A:BE,21,FALSE())</f>
        <v>MATIZ-NATURAL</v>
      </c>
      <c r="M178" s="69" t="n">
        <f aca="false">VLOOKUP(A178,BD_ORDENES!A:BE,14,FALSE())</f>
        <v>1</v>
      </c>
      <c r="N178" s="68" t="n">
        <f aca="false">VLOOKUP(A178,BD_ORDENES!A:BE,15,FALSE())</f>
        <v>0</v>
      </c>
      <c r="O178" s="68" t="str">
        <f aca="false">VLOOKUP(A178,BD_ORDENES!A:BE,33,FALSE())</f>
        <v>TRANSPORTADORA</v>
      </c>
      <c r="P178" s="68" t="n">
        <f aca="false">VLOOKUP(A178,BD_ORDENES!A:BE,23,FALSE())</f>
        <v>0</v>
      </c>
      <c r="Q178" s="68" t="str">
        <f aca="false">VLOOKUP(A178,BD_ORDENES!A:BE,52,FALSE())</f>
        <v>Obtener Bajo Pedido (MTO)</v>
      </c>
      <c r="R178" s="68" t="str">
        <f aca="false">VLOOKUP(A178,BD_ORDENES!A:BE,25,FALSE())</f>
        <v>LA MESA </v>
      </c>
      <c r="S178" s="68" t="str">
        <f aca="false">VLOOKUP(A178,BD_ORDENES!A:BE,22,FALSE())</f>
        <v>YENNI PABON</v>
      </c>
      <c r="T178" s="65" t="n">
        <f aca="false">VLOOKUP(A178,BD_ORDENES!A:BE,55,FALSE())</f>
        <v>0</v>
      </c>
      <c r="U178" s="68" t="str">
        <f aca="false">VLOOKUP(A178,BD_ORDENES!A:BE,57,FALSE())</f>
        <v>1 ENVIA</v>
      </c>
      <c r="V178" s="70"/>
      <c r="W178" s="71"/>
    </row>
    <row r="179" s="72" customFormat="true" ht="98.25" hidden="false" customHeight="true" outlineLevel="0" collapsed="false">
      <c r="A179" s="62" t="n">
        <f aca="false">A178+1</f>
        <v>172</v>
      </c>
      <c r="B179" s="63" t="str">
        <f aca="false">VLOOKUP(A179,BD_ORDENES!A:BG,12,FALSE())</f>
        <v>__export__.product_product_245343_df9a25a3</v>
      </c>
      <c r="C179" s="64" t="n">
        <v>172</v>
      </c>
      <c r="D179" s="65" t="str">
        <f aca="false">VLOOKUP(A179,BD_ORDENES!A:BE,10,0)</f>
        <v>HOME</v>
      </c>
      <c r="E179" s="66" t="n">
        <f aca="false">VLOOKUP(A179,BD_ORDENES!A:BG,4,FALSE())</f>
        <v>13919180</v>
      </c>
      <c r="F179" s="66" t="str">
        <f aca="false">VLOOKUP(A179,BD_ORDENES!A:BE,56,FALSE())</f>
        <v>S269469</v>
      </c>
      <c r="G179" s="67" t="str">
        <f aca="false">VLOOKUP(A179,BD_ORDENES!A:BE,13,FALSE())</f>
        <v>MESA TORONTO JG4 MATIZ NATURAL</v>
      </c>
      <c r="H179" s="68" t="str">
        <f aca="false">VLOOKUP(A179,BD_ORDENES!A:BE,17,FALSE())</f>
        <v>MESA</v>
      </c>
      <c r="I179" s="68" t="str">
        <f aca="false">VLOOKUP(A179,BD_ORDENES!A:BE,18,FALSE())</f>
        <v>TORONTO-JG4</v>
      </c>
      <c r="J179" s="68" t="n">
        <f aca="false">VLOOKUP(A179,BD_ORDENES!A:BE,19,FALSE())</f>
        <v>0</v>
      </c>
      <c r="K179" s="68" t="str">
        <f aca="false">VLOOKUP(A179,BD_ORDENES!A:BE,20,FALSE())</f>
        <v>MATIZ-NATURAL</v>
      </c>
      <c r="L179" s="68" t="n">
        <f aca="false">VLOOKUP(A179,BD_ORDENES!A:BE,21,FALSE())</f>
        <v>0</v>
      </c>
      <c r="M179" s="69" t="n">
        <f aca="false">VLOOKUP(A179,BD_ORDENES!A:BE,14,FALSE())</f>
        <v>1</v>
      </c>
      <c r="N179" s="68" t="n">
        <f aca="false">VLOOKUP(A179,BD_ORDENES!A:BE,15,FALSE())</f>
        <v>0</v>
      </c>
      <c r="O179" s="68" t="str">
        <f aca="false">VLOOKUP(A179,BD_ORDENES!A:BE,33,FALSE())</f>
        <v>PROV. ALM. DOMICILIO</v>
      </c>
      <c r="P179" s="68" t="n">
        <f aca="false">VLOOKUP(A179,BD_ORDENES!A:BE,23,FALSE())</f>
        <v>0</v>
      </c>
      <c r="Q179" s="68" t="str">
        <f aca="false">VLOOKUP(A179,BD_ORDENES!A:BE,52,FALSE())</f>
        <v>Obtener Bajo Pedido (MTO)</v>
      </c>
      <c r="R179" s="68" t="str">
        <f aca="false">VLOOKUP(A179,BD_ORDENES!A:BE,25,FALSE())</f>
        <v>BOGOTA. D.C.</v>
      </c>
      <c r="S179" s="68" t="str">
        <f aca="false">VLOOKUP(A179,BD_ORDENES!A:BE,22,FALSE())</f>
        <v>ALMAGRICOLA SAS</v>
      </c>
      <c r="T179" s="65" t="str">
        <f aca="false">VLOOKUP(A179,BD_ORDENES!A:BE,55,FALSE())</f>
        <v>PRODUCCION</v>
      </c>
      <c r="U179" s="68" t="str">
        <f aca="false">VLOOKUP(A179,BD_ORDENES!A:BE,57,FALSE())</f>
        <v>1.1 ENVIA</v>
      </c>
      <c r="V179" s="70"/>
      <c r="W179" s="71"/>
    </row>
    <row r="180" s="72" customFormat="true" ht="98.25" hidden="false" customHeight="true" outlineLevel="0" collapsed="false">
      <c r="A180" s="62" t="n">
        <f aca="false">A179+1</f>
        <v>173</v>
      </c>
      <c r="B180" s="63" t="str">
        <f aca="false">VLOOKUP(A180,BD_ORDENES!A:BG,12,FALSE())</f>
        <v>__export__.product_product_173651_89bc3b78</v>
      </c>
      <c r="C180" s="64" t="n">
        <v>173</v>
      </c>
      <c r="D180" s="65" t="str">
        <f aca="false">VLOOKUP(A180,BD_ORDENES!A:BE,10,0)</f>
        <v>HOME</v>
      </c>
      <c r="E180" s="66" t="n">
        <f aca="false">VLOOKUP(A180,BD_ORDENES!A:BG,4,FALSE())</f>
        <v>13919180</v>
      </c>
      <c r="F180" s="66" t="str">
        <f aca="false">VLOOKUP(A180,BD_ORDENES!A:BE,56,FALSE())</f>
        <v>S269469</v>
      </c>
      <c r="G180" s="67" t="str">
        <f aca="false">VLOOKUP(A180,BD_ORDENES!A:BE,13,FALSE())</f>
        <v>SILLA VIENA DICOSTA TAUPE (METALICA NATURAL)</v>
      </c>
      <c r="H180" s="68" t="str">
        <f aca="false">VLOOKUP(A180,BD_ORDENES!A:BE,17,FALSE())</f>
        <v>SILLA</v>
      </c>
      <c r="I180" s="68" t="str">
        <f aca="false">VLOOKUP(A180,BD_ORDENES!A:BE,18,FALSE())</f>
        <v>VIENA</v>
      </c>
      <c r="J180" s="68" t="str">
        <f aca="false">VLOOKUP(A180,BD_ORDENES!A:BE,19,FALSE())</f>
        <v>DICOSTA</v>
      </c>
      <c r="K180" s="68" t="str">
        <f aca="false">VLOOKUP(A180,BD_ORDENES!A:BE,20,FALSE())</f>
        <v>TAUPE</v>
      </c>
      <c r="L180" s="68" t="str">
        <f aca="false">VLOOKUP(A180,BD_ORDENES!A:BE,21,FALSE())</f>
        <v>METALICO-MATIZ-NATURAL</v>
      </c>
      <c r="M180" s="69" t="n">
        <f aca="false">VLOOKUP(A180,BD_ORDENES!A:BE,14,FALSE())</f>
        <v>4</v>
      </c>
      <c r="N180" s="68" t="n">
        <f aca="false">VLOOKUP(A180,BD_ORDENES!A:BE,15,FALSE())</f>
        <v>0</v>
      </c>
      <c r="O180" s="68" t="str">
        <f aca="false">VLOOKUP(A180,BD_ORDENES!A:BE,33,FALSE())</f>
        <v>PROV. ALM. DOMICILIO</v>
      </c>
      <c r="P180" s="68" t="n">
        <f aca="false">VLOOKUP(A180,BD_ORDENES!A:BE,23,FALSE())</f>
        <v>0</v>
      </c>
      <c r="Q180" s="68" t="str">
        <f aca="false">VLOOKUP(A180,BD_ORDENES!A:BE,52,FALSE())</f>
        <v>Obtener Bajo Pedido (MTO)</v>
      </c>
      <c r="R180" s="68" t="str">
        <f aca="false">VLOOKUP(A180,BD_ORDENES!A:BE,25,FALSE())</f>
        <v>BOGOTA. D.C.</v>
      </c>
      <c r="S180" s="68" t="str">
        <f aca="false">VLOOKUP(A180,BD_ORDENES!A:BE,22,FALSE())</f>
        <v>ALMAGRICOLA SAS</v>
      </c>
      <c r="T180" s="65" t="str">
        <f aca="false">VLOOKUP(A180,BD_ORDENES!A:BE,55,FALSE())</f>
        <v>PRODUCCION</v>
      </c>
      <c r="U180" s="68" t="str">
        <f aca="false">VLOOKUP(A180,BD_ORDENES!A:BE,57,FALSE())</f>
        <v>1.1 ENVIA</v>
      </c>
      <c r="V180" s="70"/>
      <c r="W180" s="71"/>
    </row>
    <row r="181" s="72" customFormat="true" ht="98.25" hidden="false" customHeight="true" outlineLevel="0" collapsed="false">
      <c r="A181" s="62" t="n">
        <f aca="false">A180+1</f>
        <v>174</v>
      </c>
      <c r="B181" s="63" t="str">
        <f aca="false">VLOOKUP(A181,BD_ORDENES!A:BG,12,FALSE())</f>
        <v>__export__.product_product_332860_09a5759c</v>
      </c>
      <c r="C181" s="64" t="n">
        <v>174</v>
      </c>
      <c r="D181" s="65" t="str">
        <f aca="false">VLOOKUP(A181,BD_ORDENES!A:BE,10,0)</f>
        <v>HOME</v>
      </c>
      <c r="E181" s="66" t="n">
        <f aca="false">VLOOKUP(A181,BD_ORDENES!A:BG,4,FALSE())</f>
        <v>13918783</v>
      </c>
      <c r="F181" s="66" t="str">
        <f aca="false">VLOOKUP(A181,BD_ORDENES!A:BE,56,FALSE())</f>
        <v>S269465</v>
      </c>
      <c r="G181" s="67" t="str">
        <f aca="false">VLOOKUP(A181,BD_ORDENES!A:BE,13,FALSE())</f>
        <v>SOFA TOGO 2P SKY GRIS (METALICA LISO NEGRO)</v>
      </c>
      <c r="H181" s="68" t="str">
        <f aca="false">VLOOKUP(A181,BD_ORDENES!A:BE,17,FALSE())</f>
        <v>SOFA</v>
      </c>
      <c r="I181" s="68" t="str">
        <f aca="false">VLOOKUP(A181,BD_ORDENES!A:BE,18,FALSE())</f>
        <v>TOGO-2P</v>
      </c>
      <c r="J181" s="68" t="str">
        <f aca="false">VLOOKUP(A181,BD_ORDENES!A:BE,19,FALSE())</f>
        <v>SKY</v>
      </c>
      <c r="K181" s="68" t="str">
        <f aca="false">VLOOKUP(A181,BD_ORDENES!A:BE,20,FALSE())</f>
        <v>GRIS</v>
      </c>
      <c r="L181" s="68" t="str">
        <f aca="false">VLOOKUP(A181,BD_ORDENES!A:BE,21,FALSE())</f>
        <v>METALICO-NEGRO</v>
      </c>
      <c r="M181" s="69" t="n">
        <f aca="false">VLOOKUP(A181,BD_ORDENES!A:BE,14,FALSE())</f>
        <v>1</v>
      </c>
      <c r="N181" s="68" t="n">
        <f aca="false">VLOOKUP(A181,BD_ORDENES!A:BE,15,FALSE())</f>
        <v>0</v>
      </c>
      <c r="O181" s="68" t="str">
        <f aca="false">VLOOKUP(A181,BD_ORDENES!A:BE,33,FALSE())</f>
        <v>PROV. ALM. RETIRO EN TIENDA</v>
      </c>
      <c r="P181" s="68" t="n">
        <f aca="false">VLOOKUP(A181,BD_ORDENES!A:BE,23,FALSE())</f>
        <v>0</v>
      </c>
      <c r="Q181" s="68" t="str">
        <f aca="false">VLOOKUP(A181,BD_ORDENES!A:BE,52,FALSE())</f>
        <v>Obtener Bajo Pedido (MTO)</v>
      </c>
      <c r="R181" s="68" t="str">
        <f aca="false">VLOOKUP(A181,BD_ORDENES!A:BE,25,FALSE())</f>
        <v>RIONEGRO</v>
      </c>
      <c r="S181" s="68" t="str">
        <f aca="false">VLOOKUP(A181,BD_ORDENES!A:BE,22,FALSE())</f>
        <v>LUCAS AREIZA RUA</v>
      </c>
      <c r="T181" s="65" t="n">
        <f aca="false">VLOOKUP(A181,BD_ORDENES!A:BE,55,FALSE())</f>
        <v>0</v>
      </c>
      <c r="U181" s="68" t="str">
        <f aca="false">VLOOKUP(A181,BD_ORDENES!A:BE,57,FALSE())</f>
        <v>1.1 ENVIA</v>
      </c>
      <c r="V181" s="70"/>
      <c r="W181" s="71"/>
    </row>
    <row r="182" s="72" customFormat="true" ht="98.25" hidden="false" customHeight="true" outlineLevel="0" collapsed="false">
      <c r="A182" s="62" t="n">
        <f aca="false">A181+1</f>
        <v>175</v>
      </c>
      <c r="B182" s="63" t="str">
        <f aca="false">VLOOKUP(A182,BD_ORDENES!A:BG,12,FALSE())</f>
        <v>__export__.product_product_332862_7c25f8fd</v>
      </c>
      <c r="C182" s="64" t="n">
        <v>175</v>
      </c>
      <c r="D182" s="65" t="str">
        <f aca="false">VLOOKUP(A182,BD_ORDENES!A:BE,10,0)</f>
        <v>HOME</v>
      </c>
      <c r="E182" s="66" t="n">
        <f aca="false">VLOOKUP(A182,BD_ORDENES!A:BG,4,FALSE())</f>
        <v>13918783</v>
      </c>
      <c r="F182" s="66" t="str">
        <f aca="false">VLOOKUP(A182,BD_ORDENES!A:BE,56,FALSE())</f>
        <v>S269465</v>
      </c>
      <c r="G182" s="67" t="str">
        <f aca="false">VLOOKUP(A182,BD_ORDENES!A:BE,13,FALSE())</f>
        <v>PUFF TOGO 2P SKY GRIS (METALICA LISO NEGRO)</v>
      </c>
      <c r="H182" s="68" t="str">
        <f aca="false">VLOOKUP(A182,BD_ORDENES!A:BE,17,FALSE())</f>
        <v>PUFF</v>
      </c>
      <c r="I182" s="68" t="str">
        <f aca="false">VLOOKUP(A182,BD_ORDENES!A:BE,18,FALSE())</f>
        <v>TOGO-2P</v>
      </c>
      <c r="J182" s="68" t="str">
        <f aca="false">VLOOKUP(A182,BD_ORDENES!A:BE,19,FALSE())</f>
        <v>SKY</v>
      </c>
      <c r="K182" s="68" t="str">
        <f aca="false">VLOOKUP(A182,BD_ORDENES!A:BE,20,FALSE())</f>
        <v>GRIS</v>
      </c>
      <c r="L182" s="68" t="str">
        <f aca="false">VLOOKUP(A182,BD_ORDENES!A:BE,21,FALSE())</f>
        <v>METALICO-NEGRO</v>
      </c>
      <c r="M182" s="69" t="n">
        <f aca="false">VLOOKUP(A182,BD_ORDENES!A:BE,14,FALSE())</f>
        <v>1</v>
      </c>
      <c r="N182" s="68" t="n">
        <f aca="false">VLOOKUP(A182,BD_ORDENES!A:BE,15,FALSE())</f>
        <v>0</v>
      </c>
      <c r="O182" s="68" t="str">
        <f aca="false">VLOOKUP(A182,BD_ORDENES!A:BE,33,FALSE())</f>
        <v>PROV. ALM. RETIRO EN TIENDA</v>
      </c>
      <c r="P182" s="68" t="n">
        <f aca="false">VLOOKUP(A182,BD_ORDENES!A:BE,23,FALSE())</f>
        <v>0</v>
      </c>
      <c r="Q182" s="68" t="str">
        <f aca="false">VLOOKUP(A182,BD_ORDENES!A:BE,52,FALSE())</f>
        <v>Obtener Bajo Pedido (MTO)</v>
      </c>
      <c r="R182" s="68" t="str">
        <f aca="false">VLOOKUP(A182,BD_ORDENES!A:BE,25,FALSE())</f>
        <v>RIONEGRO</v>
      </c>
      <c r="S182" s="68" t="str">
        <f aca="false">VLOOKUP(A182,BD_ORDENES!A:BE,22,FALSE())</f>
        <v>LUCAS AREIZA RUA</v>
      </c>
      <c r="T182" s="65" t="n">
        <f aca="false">VLOOKUP(A182,BD_ORDENES!A:BE,55,FALSE())</f>
        <v>0</v>
      </c>
      <c r="U182" s="68" t="str">
        <f aca="false">VLOOKUP(A182,BD_ORDENES!A:BE,57,FALSE())</f>
        <v>1.1 ENVIA</v>
      </c>
      <c r="V182" s="70"/>
      <c r="W182" s="71"/>
    </row>
    <row r="183" s="72" customFormat="true" ht="98.25" hidden="false" customHeight="true" outlineLevel="0" collapsed="false">
      <c r="A183" s="62" t="n">
        <f aca="false">A182+1</f>
        <v>176</v>
      </c>
      <c r="B183" s="63" t="str">
        <f aca="false">VLOOKUP(A183,BD_ORDENES!A:BG,12,FALSE())</f>
        <v>__export__.product_product_176708_647005ae</v>
      </c>
      <c r="C183" s="64" t="n">
        <v>176</v>
      </c>
      <c r="D183" s="65" t="str">
        <f aca="false">VLOOKUP(A183,BD_ORDENES!A:BE,10,0)</f>
        <v>HOME</v>
      </c>
      <c r="E183" s="66" t="n">
        <f aca="false">VLOOKUP(A183,BD_ORDENES!A:BG,4,FALSE())</f>
        <v>13918120</v>
      </c>
      <c r="F183" s="66" t="str">
        <f aca="false">VLOOKUP(A183,BD_ORDENES!A:BE,56,FALSE())</f>
        <v>S269463</v>
      </c>
      <c r="G183" s="67" t="str">
        <f aca="false">VLOOKUP(A183,BD_ORDENES!A:BE,13,FALSE())</f>
        <v>SOFA OSLO DUSTER GRIS (MATIZ NATURAL)</v>
      </c>
      <c r="H183" s="68" t="str">
        <f aca="false">VLOOKUP(A183,BD_ORDENES!A:BE,17,FALSE())</f>
        <v>SOFA</v>
      </c>
      <c r="I183" s="68" t="str">
        <f aca="false">VLOOKUP(A183,BD_ORDENES!A:BE,18,FALSE())</f>
        <v>OSLO</v>
      </c>
      <c r="J183" s="68" t="str">
        <f aca="false">VLOOKUP(A183,BD_ORDENES!A:BE,19,FALSE())</f>
        <v>DUSTER</v>
      </c>
      <c r="K183" s="68" t="str">
        <f aca="false">VLOOKUP(A183,BD_ORDENES!A:BE,20,FALSE())</f>
        <v>GRIS</v>
      </c>
      <c r="L183" s="68" t="str">
        <f aca="false">VLOOKUP(A183,BD_ORDENES!A:BE,21,FALSE())</f>
        <v>MATIZ-NATURAL</v>
      </c>
      <c r="M183" s="69" t="n">
        <f aca="false">VLOOKUP(A183,BD_ORDENES!A:BE,14,FALSE())</f>
        <v>4</v>
      </c>
      <c r="N183" s="68" t="n">
        <f aca="false">VLOOKUP(A183,BD_ORDENES!A:BE,15,FALSE())</f>
        <v>0</v>
      </c>
      <c r="O183" s="68" t="str">
        <f aca="false">VLOOKUP(A183,BD_ORDENES!A:BE,33,FALSE())</f>
        <v>PROV. ALM. RETIRO EN TIENDA</v>
      </c>
      <c r="P183" s="68" t="n">
        <f aca="false">VLOOKUP(A183,BD_ORDENES!A:BE,23,FALSE())</f>
        <v>0</v>
      </c>
      <c r="Q183" s="68" t="str">
        <f aca="false">VLOOKUP(A183,BD_ORDENES!A:BE,52,FALSE())</f>
        <v>Obtener Bajo Pedido (MTO)</v>
      </c>
      <c r="R183" s="68" t="str">
        <f aca="false">VLOOKUP(A183,BD_ORDENES!A:BE,25,FALSE())</f>
        <v>VALLEDUPAR</v>
      </c>
      <c r="S183" s="68" t="str">
        <f aca="false">VLOOKUP(A183,BD_ORDENES!A:BE,22,FALSE())</f>
        <v>KEYLIS YISELL MEJIA DIAZ</v>
      </c>
      <c r="T183" s="65" t="n">
        <f aca="false">VLOOKUP(A183,BD_ORDENES!A:BE,55,FALSE())</f>
        <v>0</v>
      </c>
      <c r="U183" s="68" t="str">
        <f aca="false">VLOOKUP(A183,BD_ORDENES!A:BE,57,FALSE())</f>
        <v>1.1 ENVIA</v>
      </c>
      <c r="V183" s="70"/>
      <c r="W183" s="71"/>
    </row>
    <row r="184" s="72" customFormat="true" ht="98.25" hidden="false" customHeight="true" outlineLevel="0" collapsed="false">
      <c r="A184" s="62" t="n">
        <f aca="false">A183+1</f>
        <v>177</v>
      </c>
      <c r="B184" s="63" t="str">
        <f aca="false">VLOOKUP(A184,BD_ORDENES!A:BG,12,FALSE())</f>
        <v>__export__.product_product_331757_8f02b648</v>
      </c>
      <c r="C184" s="64" t="n">
        <v>177</v>
      </c>
      <c r="D184" s="65" t="str">
        <f aca="false">VLOOKUP(A184,BD_ORDENES!A:BE,10,0)</f>
        <v>INVENTARIO HOGAR VENECIA</v>
      </c>
      <c r="E184" s="66" t="str">
        <f aca="false">VLOOKUP(A184,BD_ORDENES!A:BG,4,FALSE())</f>
        <v>HVM26483</v>
      </c>
      <c r="F184" s="66" t="str">
        <f aca="false">VLOOKUP(A184,BD_ORDENES!A:BE,56,FALSE())</f>
        <v>S269235</v>
      </c>
      <c r="G184" s="67" t="str">
        <f aca="false">VLOOKUP(A184,BD_ORDENES!A:BE,13,FALSE())</f>
        <v>SOFA DOMINIC DENVER PLATA (MATIZ NATURAL)</v>
      </c>
      <c r="H184" s="68" t="str">
        <f aca="false">VLOOKUP(A184,BD_ORDENES!A:BE,17,FALSE())</f>
        <v>SOFA</v>
      </c>
      <c r="I184" s="68" t="str">
        <f aca="false">VLOOKUP(A184,BD_ORDENES!A:BE,18,FALSE())</f>
        <v>DOMINIC</v>
      </c>
      <c r="J184" s="68" t="str">
        <f aca="false">VLOOKUP(A184,BD_ORDENES!A:BE,19,FALSE())</f>
        <v>DENVER</v>
      </c>
      <c r="K184" s="68" t="str">
        <f aca="false">VLOOKUP(A184,BD_ORDENES!A:BE,20,FALSE())</f>
        <v>PLATA</v>
      </c>
      <c r="L184" s="68" t="str">
        <f aca="false">VLOOKUP(A184,BD_ORDENES!A:BE,21,FALSE())</f>
        <v>MATIZ-NATURAL</v>
      </c>
      <c r="M184" s="69" t="n">
        <f aca="false">VLOOKUP(A184,BD_ORDENES!A:BE,14,FALSE())</f>
        <v>1</v>
      </c>
      <c r="N184" s="68" t="n">
        <f aca="false">VLOOKUP(A184,BD_ORDENES!A:BE,15,FALSE())</f>
        <v>0</v>
      </c>
      <c r="O184" s="68" t="str">
        <f aca="false">VLOOKUP(A184,BD_ORDENES!A:BE,33,FALSE())</f>
        <v>TRANSPORTADORA</v>
      </c>
      <c r="P184" s="68" t="n">
        <f aca="false">VLOOKUP(A184,BD_ORDENES!A:BE,23,FALSE())</f>
        <v>0</v>
      </c>
      <c r="Q184" s="68" t="str">
        <f aca="false">VLOOKUP(A184,BD_ORDENES!A:BE,52,FALSE())</f>
        <v>Obtener Bajo Pedido (MTO)</v>
      </c>
      <c r="R184" s="68" t="str">
        <f aca="false">VLOOKUP(A184,BD_ORDENES!A:BE,25,FALSE())</f>
        <v>VALLEDUPAR</v>
      </c>
      <c r="S184" s="68" t="str">
        <f aca="false">VLOOKUP(A184,BD_ORDENES!A:BE,22,FALSE())</f>
        <v>INVENTARIO HOGAR VENECIA</v>
      </c>
      <c r="T184" s="65" t="n">
        <f aca="false">VLOOKUP(A184,BD_ORDENES!A:BE,55,FALSE())</f>
        <v>0</v>
      </c>
      <c r="U184" s="68" t="str">
        <f aca="false">VLOOKUP(A184,BD_ORDENES!A:BE,57,FALSE())</f>
        <v>9 INVENTARIO</v>
      </c>
      <c r="V184" s="70"/>
      <c r="W184" s="71"/>
    </row>
    <row r="185" s="72" customFormat="true" ht="98.25" hidden="false" customHeight="true" outlineLevel="0" collapsed="false">
      <c r="A185" s="62" t="n">
        <f aca="false">A184+1</f>
        <v>178</v>
      </c>
      <c r="B185" s="63" t="str">
        <f aca="false">VLOOKUP(A185,BD_ORDENES!A:BG,12,FALSE())</f>
        <v>__export__.product_product_331757_8f02b648</v>
      </c>
      <c r="C185" s="64" t="n">
        <v>178</v>
      </c>
      <c r="D185" s="65" t="str">
        <f aca="false">VLOOKUP(A185,BD_ORDENES!A:BE,10,0)</f>
        <v>INVENTARIO HOGAR VENECIA</v>
      </c>
      <c r="E185" s="66" t="str">
        <f aca="false">VLOOKUP(A185,BD_ORDENES!A:BG,4,FALSE())</f>
        <v>HVM26482</v>
      </c>
      <c r="F185" s="66" t="str">
        <f aca="false">VLOOKUP(A185,BD_ORDENES!A:BE,56,FALSE())</f>
        <v>S269234</v>
      </c>
      <c r="G185" s="67" t="str">
        <f aca="false">VLOOKUP(A185,BD_ORDENES!A:BE,13,FALSE())</f>
        <v>SOFA DOMINIC DENVER PLATA (MATIZ NATURAL)</v>
      </c>
      <c r="H185" s="68" t="str">
        <f aca="false">VLOOKUP(A185,BD_ORDENES!A:BE,17,FALSE())</f>
        <v>SOFA</v>
      </c>
      <c r="I185" s="68" t="str">
        <f aca="false">VLOOKUP(A185,BD_ORDENES!A:BE,18,FALSE())</f>
        <v>DOMINIC</v>
      </c>
      <c r="J185" s="68" t="str">
        <f aca="false">VLOOKUP(A185,BD_ORDENES!A:BE,19,FALSE())</f>
        <v>DENVER</v>
      </c>
      <c r="K185" s="68" t="str">
        <f aca="false">VLOOKUP(A185,BD_ORDENES!A:BE,20,FALSE())</f>
        <v>PLATA</v>
      </c>
      <c r="L185" s="68" t="str">
        <f aca="false">VLOOKUP(A185,BD_ORDENES!A:BE,21,FALSE())</f>
        <v>MATIZ-NATURAL</v>
      </c>
      <c r="M185" s="69" t="n">
        <f aca="false">VLOOKUP(A185,BD_ORDENES!A:BE,14,FALSE())</f>
        <v>1</v>
      </c>
      <c r="N185" s="68" t="n">
        <f aca="false">VLOOKUP(A185,BD_ORDENES!A:BE,15,FALSE())</f>
        <v>0</v>
      </c>
      <c r="O185" s="68" t="str">
        <f aca="false">VLOOKUP(A185,BD_ORDENES!A:BE,33,FALSE())</f>
        <v>TRANSPORTADORA</v>
      </c>
      <c r="P185" s="68" t="n">
        <f aca="false">VLOOKUP(A185,BD_ORDENES!A:BE,23,FALSE())</f>
        <v>0</v>
      </c>
      <c r="Q185" s="68" t="str">
        <f aca="false">VLOOKUP(A185,BD_ORDENES!A:BE,52,FALSE())</f>
        <v>Obtener Bajo Pedido (MTO)</v>
      </c>
      <c r="R185" s="68" t="str">
        <f aca="false">VLOOKUP(A185,BD_ORDENES!A:BE,25,FALSE())</f>
        <v>VALLEDUPAR</v>
      </c>
      <c r="S185" s="68" t="str">
        <f aca="false">VLOOKUP(A185,BD_ORDENES!A:BE,22,FALSE())</f>
        <v>INVENTARIO HOGAR VENECIA</v>
      </c>
      <c r="T185" s="65" t="n">
        <f aca="false">VLOOKUP(A185,BD_ORDENES!A:BE,55,FALSE())</f>
        <v>0</v>
      </c>
      <c r="U185" s="68" t="str">
        <f aca="false">VLOOKUP(A185,BD_ORDENES!A:BE,57,FALSE())</f>
        <v>9 INVENTARIO</v>
      </c>
      <c r="V185" s="70"/>
      <c r="W185" s="71"/>
    </row>
    <row r="186" s="72" customFormat="true" ht="98.25" hidden="false" customHeight="true" outlineLevel="0" collapsed="false">
      <c r="A186" s="62" t="n">
        <f aca="false">A185+1</f>
        <v>179</v>
      </c>
      <c r="B186" s="63" t="str">
        <f aca="false">VLOOKUP(A186,BD_ORDENES!A:BG,12,FALSE())</f>
        <v>__export__.product_product_239224_4cc97ade</v>
      </c>
      <c r="C186" s="64" t="n">
        <v>179</v>
      </c>
      <c r="D186" s="65" t="str">
        <f aca="false">VLOOKUP(A186,BD_ORDENES!A:BE,10,0)</f>
        <v>HOME</v>
      </c>
      <c r="E186" s="66" t="n">
        <f aca="false">VLOOKUP(A186,BD_ORDENES!A:BG,4,FALSE())</f>
        <v>13914949</v>
      </c>
      <c r="F186" s="66" t="str">
        <f aca="false">VLOOKUP(A186,BD_ORDENES!A:BE,56,FALSE())</f>
        <v>S269361</v>
      </c>
      <c r="G186" s="67" t="str">
        <f aca="false">VLOOKUP(A186,BD_ORDENES!A:BE,13,FALSE())</f>
        <v>POLTRONA BALTIMORE DICOSTA MOSTAZA (MATIZ NATURAL)</v>
      </c>
      <c r="H186" s="68" t="str">
        <f aca="false">VLOOKUP(A186,BD_ORDENES!A:BE,17,FALSE())</f>
        <v>POLTRONA</v>
      </c>
      <c r="I186" s="68" t="str">
        <f aca="false">VLOOKUP(A186,BD_ORDENES!A:BE,18,FALSE())</f>
        <v>BALTIMORE</v>
      </c>
      <c r="J186" s="68" t="str">
        <f aca="false">VLOOKUP(A186,BD_ORDENES!A:BE,19,FALSE())</f>
        <v>DICOSTA</v>
      </c>
      <c r="K186" s="68" t="str">
        <f aca="false">VLOOKUP(A186,BD_ORDENES!A:BE,20,FALSE())</f>
        <v>MOSTAZA</v>
      </c>
      <c r="L186" s="68" t="str">
        <f aca="false">VLOOKUP(A186,BD_ORDENES!A:BE,21,FALSE())</f>
        <v>MATIZ-NATURAL</v>
      </c>
      <c r="M186" s="69" t="n">
        <f aca="false">VLOOKUP(A186,BD_ORDENES!A:BE,14,FALSE())</f>
        <v>2</v>
      </c>
      <c r="N186" s="68" t="n">
        <f aca="false">VLOOKUP(A186,BD_ORDENES!A:BE,15,FALSE())</f>
        <v>0</v>
      </c>
      <c r="O186" s="68" t="str">
        <f aca="false">VLOOKUP(A186,BD_ORDENES!A:BE,33,FALSE())</f>
        <v>PROV. CLIENTE</v>
      </c>
      <c r="P186" s="68" t="n">
        <f aca="false">VLOOKUP(A186,BD_ORDENES!A:BE,23,FALSE())</f>
        <v>0</v>
      </c>
      <c r="Q186" s="68" t="str">
        <f aca="false">VLOOKUP(A186,BD_ORDENES!A:BE,52,FALSE())</f>
        <v>Obtener Bajo Pedido (MTO)</v>
      </c>
      <c r="R186" s="68" t="str">
        <f aca="false">VLOOKUP(A186,BD_ORDENES!A:BE,25,FALSE())</f>
        <v>SABANETA</v>
      </c>
      <c r="S186" s="68" t="str">
        <f aca="false">VLOOKUP(A186,BD_ORDENES!A:BE,22,FALSE())</f>
        <v>NAHOMY TORRES</v>
      </c>
      <c r="T186" s="65" t="n">
        <f aca="false">VLOOKUP(A186,BD_ORDENES!A:BE,55,FALSE())</f>
        <v>0</v>
      </c>
      <c r="U186" s="68" t="str">
        <f aca="false">VLOOKUP(A186,BD_ORDENES!A:BE,57,FALSE())</f>
        <v>2 DIC</v>
      </c>
      <c r="V186" s="70"/>
      <c r="W186" s="71"/>
    </row>
    <row r="187" s="72" customFormat="true" ht="98.25" hidden="false" customHeight="true" outlineLevel="0" collapsed="false">
      <c r="A187" s="62" t="n">
        <f aca="false">A186+1</f>
        <v>180</v>
      </c>
      <c r="B187" s="63" t="str">
        <f aca="false">VLOOKUP(A187,BD_ORDENES!A:BG,12,FALSE())</f>
        <v>__export__.product_product_286664_727824ec</v>
      </c>
      <c r="C187" s="64" t="n">
        <v>180</v>
      </c>
      <c r="D187" s="65" t="str">
        <f aca="false">VLOOKUP(A187,BD_ORDENES!A:BE,10,0)</f>
        <v>FL.COM</v>
      </c>
      <c r="E187" s="66" t="n">
        <f aca="false">VLOOKUP(A187,BD_ORDENES!A:BG,4,FALSE())</f>
        <v>7421281</v>
      </c>
      <c r="F187" s="66" t="str">
        <f aca="false">VLOOKUP(A187,BD_ORDENES!A:BE,56,FALSE())</f>
        <v>S269355</v>
      </c>
      <c r="G187" s="67" t="str">
        <f aca="false">VLOOKUP(A187,BD_ORDENES!A:BE,13,FALSE())</f>
        <v>CAMAROTE MAKALU BLANCO (MATIZ NATURAL)</v>
      </c>
      <c r="H187" s="68" t="str">
        <f aca="false">VLOOKUP(A187,BD_ORDENES!A:BE,17,FALSE())</f>
        <v>CAMA-MADERA</v>
      </c>
      <c r="I187" s="68" t="str">
        <f aca="false">VLOOKUP(A187,BD_ORDENES!A:BE,18,FALSE())</f>
        <v>CAMAROTE-MAKALU</v>
      </c>
      <c r="J187" s="68" t="n">
        <f aca="false">VLOOKUP(A187,BD_ORDENES!A:BE,19,FALSE())</f>
        <v>0</v>
      </c>
      <c r="K187" s="68" t="str">
        <f aca="false">VLOOKUP(A187,BD_ORDENES!A:BE,20,FALSE())</f>
        <v>BLANCO</v>
      </c>
      <c r="L187" s="68" t="str">
        <f aca="false">VLOOKUP(A187,BD_ORDENES!A:BE,21,FALSE())</f>
        <v>MATIZ-NATURAL</v>
      </c>
      <c r="M187" s="69" t="n">
        <f aca="false">VLOOKUP(A187,BD_ORDENES!A:BE,14,FALSE())</f>
        <v>1</v>
      </c>
      <c r="N187" s="68" t="n">
        <f aca="false">VLOOKUP(A187,BD_ORDENES!A:BE,15,FALSE())</f>
        <v>0</v>
      </c>
      <c r="O187" s="68" t="str">
        <f aca="false">VLOOKUP(A187,BD_ORDENES!A:BE,33,FALSE())</f>
        <v>TRANSPORTADORA</v>
      </c>
      <c r="P187" s="68" t="n">
        <f aca="false">VLOOKUP(A187,BD_ORDENES!A:BE,23,FALSE())</f>
        <v>0</v>
      </c>
      <c r="Q187" s="68" t="str">
        <f aca="false">VLOOKUP(A187,BD_ORDENES!A:BE,52,FALSE())</f>
        <v>Obtener Bajo Pedido (MTO)</v>
      </c>
      <c r="R187" s="68" t="str">
        <f aca="false">VLOOKUP(A187,BD_ORDENES!A:BE,25,FALSE())</f>
        <v>CARTAGENA                     </v>
      </c>
      <c r="S187" s="68" t="str">
        <f aca="false">VLOOKUP(A187,BD_ORDENES!A:BE,22,FALSE())</f>
        <v>MARÍA DEL PILAR VÁSQUEZ LAMBIS</v>
      </c>
      <c r="T187" s="65" t="n">
        <f aca="false">VLOOKUP(A187,BD_ORDENES!A:BE,55,FALSE())</f>
        <v>0</v>
      </c>
      <c r="U187" s="68" t="str">
        <f aca="false">VLOOKUP(A187,BD_ORDENES!A:BE,57,FALSE())</f>
        <v>4 ROTTERDAN</v>
      </c>
      <c r="V187" s="70"/>
      <c r="W187" s="71"/>
    </row>
    <row r="188" s="72" customFormat="true" ht="98.25" hidden="false" customHeight="true" outlineLevel="0" collapsed="false">
      <c r="A188" s="62" t="n">
        <f aca="false">A187+1</f>
        <v>181</v>
      </c>
      <c r="B188" s="63" t="str">
        <f aca="false">VLOOKUP(A188,BD_ORDENES!A:BG,12,FALSE())</f>
        <v>__export__.product_product_180372_e726def1</v>
      </c>
      <c r="C188" s="64" t="n">
        <v>181</v>
      </c>
      <c r="D188" s="65" t="str">
        <f aca="false">VLOOKUP(A188,BD_ORDENES!A:BE,10,0)</f>
        <v>FL.COM</v>
      </c>
      <c r="E188" s="66" t="n">
        <f aca="false">VLOOKUP(A188,BD_ORDENES!A:BG,4,FALSE())</f>
        <v>7421283</v>
      </c>
      <c r="F188" s="66" t="str">
        <f aca="false">VLOOKUP(A188,BD_ORDENES!A:BE,56,FALSE())</f>
        <v>S269354</v>
      </c>
      <c r="G188" s="67" t="str">
        <f aca="false">VLOOKUP(A188,BD_ORDENES!A:BE,13,FALSE())</f>
        <v>POLTRONA SION DICOSTA TAUPE (MATIZ NATURAL)</v>
      </c>
      <c r="H188" s="68" t="str">
        <f aca="false">VLOOKUP(A188,BD_ORDENES!A:BE,17,FALSE())</f>
        <v>POLTRONA</v>
      </c>
      <c r="I188" s="68" t="str">
        <f aca="false">VLOOKUP(A188,BD_ORDENES!A:BE,18,FALSE())</f>
        <v>SION</v>
      </c>
      <c r="J188" s="68" t="str">
        <f aca="false">VLOOKUP(A188,BD_ORDENES!A:BE,19,FALSE())</f>
        <v>DICOSTA</v>
      </c>
      <c r="K188" s="68" t="str">
        <f aca="false">VLOOKUP(A188,BD_ORDENES!A:BE,20,FALSE())</f>
        <v>TAUPE</v>
      </c>
      <c r="L188" s="68" t="str">
        <f aca="false">VLOOKUP(A188,BD_ORDENES!A:BE,21,FALSE())</f>
        <v>MATIZ-NATURAL</v>
      </c>
      <c r="M188" s="69" t="n">
        <f aca="false">VLOOKUP(A188,BD_ORDENES!A:BE,14,FALSE())</f>
        <v>1</v>
      </c>
      <c r="N188" s="68" t="n">
        <f aca="false">VLOOKUP(A188,BD_ORDENES!A:BE,15,FALSE())</f>
        <v>0</v>
      </c>
      <c r="O188" s="68" t="str">
        <f aca="false">VLOOKUP(A188,BD_ORDENES!A:BE,33,FALSE())</f>
        <v>TRANSPORTADORA</v>
      </c>
      <c r="P188" s="68" t="n">
        <f aca="false">VLOOKUP(A188,BD_ORDENES!A:BE,23,FALSE())</f>
        <v>0</v>
      </c>
      <c r="Q188" s="68" t="str">
        <f aca="false">VLOOKUP(A188,BD_ORDENES!A:BE,52,FALSE())</f>
        <v>Obtener Bajo Pedido (MTO)</v>
      </c>
      <c r="R188" s="68" t="str">
        <f aca="false">VLOOKUP(A188,BD_ORDENES!A:BE,25,FALSE())</f>
        <v>FACATATIVÁ                    </v>
      </c>
      <c r="S188" s="68" t="str">
        <f aca="false">VLOOKUP(A188,BD_ORDENES!A:BE,22,FALSE())</f>
        <v>ALAN CAMILO TOBÓN VILLEGAS</v>
      </c>
      <c r="T188" s="65" t="n">
        <f aca="false">VLOOKUP(A188,BD_ORDENES!A:BE,55,FALSE())</f>
        <v>0</v>
      </c>
      <c r="U188" s="68" t="str">
        <f aca="false">VLOOKUP(A188,BD_ORDENES!A:BE,57,FALSE())</f>
        <v>4 ROTTERDAN</v>
      </c>
      <c r="V188" s="70"/>
      <c r="W188" s="71"/>
    </row>
    <row r="189" s="72" customFormat="true" ht="98.25" hidden="false" customHeight="true" outlineLevel="0" collapsed="false">
      <c r="A189" s="62" t="n">
        <f aca="false">A188+1</f>
        <v>182</v>
      </c>
      <c r="B189" s="63" t="str">
        <f aca="false">VLOOKUP(A189,BD_ORDENES!A:BG,12,FALSE())</f>
        <v>__export__.product_product_325673_ab2a9974</v>
      </c>
      <c r="C189" s="64" t="n">
        <v>182</v>
      </c>
      <c r="D189" s="65" t="str">
        <f aca="false">VLOOKUP(A189,BD_ORDENES!A:BE,10,0)</f>
        <v>FL.COM</v>
      </c>
      <c r="E189" s="66" t="n">
        <f aca="false">VLOOKUP(A189,BD_ORDENES!A:BG,4,FALSE())</f>
        <v>7420940</v>
      </c>
      <c r="F189" s="66" t="str">
        <f aca="false">VLOOKUP(A189,BD_ORDENES!A:BE,56,FALSE())</f>
        <v>S269349</v>
      </c>
      <c r="G189" s="67" t="str">
        <f aca="false">VLOOKUP(A189,BD_ORDENES!A:BE,13,FALSE())</f>
        <v>SOFA HANNOVER 3P DENVER GRIS (MATIZ CAOBA)</v>
      </c>
      <c r="H189" s="68" t="str">
        <f aca="false">VLOOKUP(A189,BD_ORDENES!A:BE,17,FALSE())</f>
        <v>SOFA</v>
      </c>
      <c r="I189" s="68" t="str">
        <f aca="false">VLOOKUP(A189,BD_ORDENES!A:BE,18,FALSE())</f>
        <v>HANNOVER-3P</v>
      </c>
      <c r="J189" s="68" t="str">
        <f aca="false">VLOOKUP(A189,BD_ORDENES!A:BE,19,FALSE())</f>
        <v>DENVER</v>
      </c>
      <c r="K189" s="68" t="str">
        <f aca="false">VLOOKUP(A189,BD_ORDENES!A:BE,20,FALSE())</f>
        <v>GRIS</v>
      </c>
      <c r="L189" s="68" t="str">
        <f aca="false">VLOOKUP(A189,BD_ORDENES!A:BE,21,FALSE())</f>
        <v>MATIZ-CAOBA</v>
      </c>
      <c r="M189" s="69" t="n">
        <f aca="false">VLOOKUP(A189,BD_ORDENES!A:BE,14,FALSE())</f>
        <v>1</v>
      </c>
      <c r="N189" s="68" t="n">
        <f aca="false">VLOOKUP(A189,BD_ORDENES!A:BE,15,FALSE())</f>
        <v>0</v>
      </c>
      <c r="O189" s="68" t="str">
        <f aca="false">VLOOKUP(A189,BD_ORDENES!A:BE,33,FALSE())</f>
        <v>TRANSPORTADORA</v>
      </c>
      <c r="P189" s="68" t="n">
        <f aca="false">VLOOKUP(A189,BD_ORDENES!A:BE,23,FALSE())</f>
        <v>0</v>
      </c>
      <c r="Q189" s="68" t="str">
        <f aca="false">VLOOKUP(A189,BD_ORDENES!A:BE,52,FALSE())</f>
        <v>Obtener Bajo Pedido (MTO)</v>
      </c>
      <c r="R189" s="68" t="str">
        <f aca="false">VLOOKUP(A189,BD_ORDENES!A:BE,25,FALSE())</f>
        <v>MEDELLÍN                      </v>
      </c>
      <c r="S189" s="68" t="str">
        <f aca="false">VLOOKUP(A189,BD_ORDENES!A:BE,22,FALSE())</f>
        <v>ANA MARÍA HIGUITA HINCAPIÉ</v>
      </c>
      <c r="T189" s="65" t="str">
        <f aca="false">VLOOKUP(A189,BD_ORDENES!A:BE,55,FALSE())</f>
        <v>PRODUCCION</v>
      </c>
      <c r="U189" s="68" t="str">
        <f aca="false">VLOOKUP(A189,BD_ORDENES!A:BE,57,FALSE())</f>
        <v>4 ROTTERDAN</v>
      </c>
      <c r="V189" s="70"/>
      <c r="W189" s="71"/>
    </row>
    <row r="190" s="72" customFormat="true" ht="98.25" hidden="false" customHeight="true" outlineLevel="0" collapsed="false">
      <c r="A190" s="62" t="n">
        <f aca="false">A189+1</f>
        <v>183</v>
      </c>
      <c r="B190" s="63" t="str">
        <f aca="false">VLOOKUP(A190,BD_ORDENES!A:BG,12,FALSE())</f>
        <v>__export__.product_product_331771_f7d515d6</v>
      </c>
      <c r="C190" s="64" t="n">
        <v>183</v>
      </c>
      <c r="D190" s="65" t="str">
        <f aca="false">VLOOKUP(A190,BD_ORDENES!A:BE,10,0)</f>
        <v>FL.COM</v>
      </c>
      <c r="E190" s="66" t="n">
        <f aca="false">VLOOKUP(A190,BD_ORDENES!A:BG,4,FALSE())</f>
        <v>7421082</v>
      </c>
      <c r="F190" s="66" t="str">
        <f aca="false">VLOOKUP(A190,BD_ORDENES!A:BE,56,FALSE())</f>
        <v>S269346</v>
      </c>
      <c r="G190" s="67" t="str">
        <f aca="false">VLOOKUP(A190,BD_ORDENES!A:BE,13,FALSE())</f>
        <v>SOFA DOMINIC DENVER GRIS (MATIZ NATURAL)</v>
      </c>
      <c r="H190" s="68" t="str">
        <f aca="false">VLOOKUP(A190,BD_ORDENES!A:BE,17,FALSE())</f>
        <v>SOFA</v>
      </c>
      <c r="I190" s="68" t="str">
        <f aca="false">VLOOKUP(A190,BD_ORDENES!A:BE,18,FALSE())</f>
        <v>DOMINIC</v>
      </c>
      <c r="J190" s="68" t="str">
        <f aca="false">VLOOKUP(A190,BD_ORDENES!A:BE,19,FALSE())</f>
        <v>DENVER</v>
      </c>
      <c r="K190" s="68" t="str">
        <f aca="false">VLOOKUP(A190,BD_ORDENES!A:BE,20,FALSE())</f>
        <v>GRIS</v>
      </c>
      <c r="L190" s="68" t="str">
        <f aca="false">VLOOKUP(A190,BD_ORDENES!A:BE,21,FALSE())</f>
        <v>MATIZ-NATURAL</v>
      </c>
      <c r="M190" s="69" t="n">
        <f aca="false">VLOOKUP(A190,BD_ORDENES!A:BE,14,FALSE())</f>
        <v>1</v>
      </c>
      <c r="N190" s="68" t="n">
        <f aca="false">VLOOKUP(A190,BD_ORDENES!A:BE,15,FALSE())</f>
        <v>0</v>
      </c>
      <c r="O190" s="68" t="str">
        <f aca="false">VLOOKUP(A190,BD_ORDENES!A:BE,33,FALSE())</f>
        <v>TRANSPORTADORA</v>
      </c>
      <c r="P190" s="68" t="n">
        <f aca="false">VLOOKUP(A190,BD_ORDENES!A:BE,23,FALSE())</f>
        <v>0</v>
      </c>
      <c r="Q190" s="68" t="str">
        <f aca="false">VLOOKUP(A190,BD_ORDENES!A:BE,52,FALSE())</f>
        <v>Obtener Bajo Pedido (MTO)</v>
      </c>
      <c r="R190" s="68" t="str">
        <f aca="false">VLOOKUP(A190,BD_ORDENES!A:BE,25,FALSE())</f>
        <v>CARTAGENA                     </v>
      </c>
      <c r="S190" s="68" t="str">
        <f aca="false">VLOOKUP(A190,BD_ORDENES!A:BE,22,FALSE())</f>
        <v>CILIA BECERRA</v>
      </c>
      <c r="T190" s="65" t="n">
        <f aca="false">VLOOKUP(A190,BD_ORDENES!A:BE,55,FALSE())</f>
        <v>0</v>
      </c>
      <c r="U190" s="68" t="str">
        <f aca="false">VLOOKUP(A190,BD_ORDENES!A:BE,57,FALSE())</f>
        <v>4 ROTTERDAN</v>
      </c>
      <c r="V190" s="70"/>
      <c r="W190" s="71"/>
    </row>
    <row r="191" s="72" customFormat="true" ht="98.25" hidden="false" customHeight="true" outlineLevel="0" collapsed="false">
      <c r="A191" s="62" t="n">
        <f aca="false">A190+1</f>
        <v>184</v>
      </c>
      <c r="B191" s="63" t="str">
        <f aca="false">VLOOKUP(A191,BD_ORDENES!A:BG,12,FALSE())</f>
        <v>__export__.product_product_332798_38eeaed2</v>
      </c>
      <c r="C191" s="64" t="n">
        <v>184</v>
      </c>
      <c r="D191" s="65" t="str">
        <f aca="false">VLOOKUP(A191,BD_ORDENES!A:BE,10,0)</f>
        <v>OTROS</v>
      </c>
      <c r="E191" s="66" t="str">
        <f aca="false">VLOOKUP(A191,BD_ORDENES!A:BG,4,FALSE())</f>
        <v>OTROS120</v>
      </c>
      <c r="F191" s="66" t="str">
        <f aca="false">VLOOKUP(A191,BD_ORDENES!A:BE,56,FALSE())</f>
        <v>S269175</v>
      </c>
      <c r="G191" s="67" t="str">
        <f aca="false">VLOOKUP(A191,BD_ORDENES!A:BE,13,FALSE())</f>
        <v>SOFA DOMINIC SKY BEIGE (MATIZ CAOBA)</v>
      </c>
      <c r="H191" s="68" t="str">
        <f aca="false">VLOOKUP(A191,BD_ORDENES!A:BE,17,FALSE())</f>
        <v>SOFA</v>
      </c>
      <c r="I191" s="68" t="str">
        <f aca="false">VLOOKUP(A191,BD_ORDENES!A:BE,18,FALSE())</f>
        <v>DOMINIC</v>
      </c>
      <c r="J191" s="68" t="str">
        <f aca="false">VLOOKUP(A191,BD_ORDENES!A:BE,19,FALSE())</f>
        <v>SKY</v>
      </c>
      <c r="K191" s="68" t="str">
        <f aca="false">VLOOKUP(A191,BD_ORDENES!A:BE,20,FALSE())</f>
        <v>BEIGE</v>
      </c>
      <c r="L191" s="68" t="str">
        <f aca="false">VLOOKUP(A191,BD_ORDENES!A:BE,21,FALSE())</f>
        <v>MATIZ-CAOBA</v>
      </c>
      <c r="M191" s="69" t="n">
        <f aca="false">VLOOKUP(A191,BD_ORDENES!A:BE,14,FALSE())</f>
        <v>1</v>
      </c>
      <c r="N191" s="68" t="n">
        <f aca="false">VLOOKUP(A191,BD_ORDENES!A:BE,15,FALSE())</f>
        <v>0</v>
      </c>
      <c r="O191" s="68" t="str">
        <f aca="false">VLOOKUP(A191,BD_ORDENES!A:BE,33,FALSE())</f>
        <v>ENVIO TUNJA - SIN SALDO</v>
      </c>
      <c r="P191" s="68" t="n">
        <f aca="false">VLOOKUP(A191,BD_ORDENES!A:BE,23,FALSE())</f>
        <v>0</v>
      </c>
      <c r="Q191" s="68" t="str">
        <f aca="false">VLOOKUP(A191,BD_ORDENES!A:BE,52,FALSE())</f>
        <v>Obtener Bajo Pedido (MTO)</v>
      </c>
      <c r="R191" s="68" t="str">
        <f aca="false">VLOOKUP(A191,BD_ORDENES!A:BE,25,FALSE())</f>
        <v>TUNJA</v>
      </c>
      <c r="S191" s="68" t="str">
        <f aca="false">VLOOKUP(A191,BD_ORDENES!A:BE,22,FALSE())</f>
        <v>ARQUIDIOCESIS DE TUNJA</v>
      </c>
      <c r="T191" s="65" t="str">
        <f aca="false">VLOOKUP(A191,BD_ORDENES!A:BE,55,FALSE())</f>
        <v>BODEGA LISTO</v>
      </c>
      <c r="U191" s="68" t="str">
        <f aca="false">VLOOKUP(A191,BD_ORDENES!A:BE,57,FALSE())</f>
        <v>0 BODEGA</v>
      </c>
      <c r="V191" s="70"/>
      <c r="W191" s="71"/>
    </row>
    <row r="192" s="72" customFormat="true" ht="98.25" hidden="false" customHeight="true" outlineLevel="0" collapsed="false">
      <c r="A192" s="62" t="n">
        <f aca="false">A191+1</f>
        <v>185</v>
      </c>
      <c r="B192" s="63" t="str">
        <f aca="false">VLOOKUP(A192,BD_ORDENES!A:BG,12,FALSE())</f>
        <v>__export__.product_product_332494_aa81ab25</v>
      </c>
      <c r="C192" s="64" t="n">
        <v>185</v>
      </c>
      <c r="D192" s="65" t="str">
        <f aca="false">VLOOKUP(A192,BD_ORDENES!A:BE,10,0)</f>
        <v>OTROS</v>
      </c>
      <c r="E192" s="66" t="str">
        <f aca="false">VLOOKUP(A192,BD_ORDENES!A:BG,4,FALSE())</f>
        <v>OTROS120</v>
      </c>
      <c r="F192" s="66" t="str">
        <f aca="false">VLOOKUP(A192,BD_ORDENES!A:BE,56,FALSE())</f>
        <v>S269175</v>
      </c>
      <c r="G192" s="67" t="str">
        <f aca="false">VLOOKUP(A192,BD_ORDENES!A:BE,13,FALSE())</f>
        <v>POLTRONA DOMINIC SKY SALMON (MATIZ CAOBA)</v>
      </c>
      <c r="H192" s="68" t="str">
        <f aca="false">VLOOKUP(A192,BD_ORDENES!A:BE,17,FALSE())</f>
        <v>POLTRONA</v>
      </c>
      <c r="I192" s="68" t="str">
        <f aca="false">VLOOKUP(A192,BD_ORDENES!A:BE,18,FALSE())</f>
        <v>DOMINIC</v>
      </c>
      <c r="J192" s="68" t="str">
        <f aca="false">VLOOKUP(A192,BD_ORDENES!A:BE,19,FALSE())</f>
        <v>SKY</v>
      </c>
      <c r="K192" s="68" t="str">
        <f aca="false">VLOOKUP(A192,BD_ORDENES!A:BE,20,FALSE())</f>
        <v>SALMON</v>
      </c>
      <c r="L192" s="68" t="str">
        <f aca="false">VLOOKUP(A192,BD_ORDENES!A:BE,21,FALSE())</f>
        <v>MATIZ-CAOBA</v>
      </c>
      <c r="M192" s="69" t="n">
        <f aca="false">VLOOKUP(A192,BD_ORDENES!A:BE,14,FALSE())</f>
        <v>2</v>
      </c>
      <c r="N192" s="68" t="n">
        <f aca="false">VLOOKUP(A192,BD_ORDENES!A:BE,15,FALSE())</f>
        <v>0</v>
      </c>
      <c r="O192" s="68" t="str">
        <f aca="false">VLOOKUP(A192,BD_ORDENES!A:BE,33,FALSE())</f>
        <v>ENVIO TUNJA - SIN SALDO</v>
      </c>
      <c r="P192" s="68" t="n">
        <f aca="false">VLOOKUP(A192,BD_ORDENES!A:BE,23,FALSE())</f>
        <v>0</v>
      </c>
      <c r="Q192" s="68" t="str">
        <f aca="false">VLOOKUP(A192,BD_ORDENES!A:BE,52,FALSE())</f>
        <v>Obtener Bajo Pedido (MTO)</v>
      </c>
      <c r="R192" s="68" t="str">
        <f aca="false">VLOOKUP(A192,BD_ORDENES!A:BE,25,FALSE())</f>
        <v>TUNJA</v>
      </c>
      <c r="S192" s="68" t="str">
        <f aca="false">VLOOKUP(A192,BD_ORDENES!A:BE,22,FALSE())</f>
        <v>ARQUIDIOCESIS DE TUNJA</v>
      </c>
      <c r="T192" s="65" t="str">
        <f aca="false">VLOOKUP(A192,BD_ORDENES!A:BE,55,FALSE())</f>
        <v>BODEGA LISTO</v>
      </c>
      <c r="U192" s="68" t="str">
        <f aca="false">VLOOKUP(A192,BD_ORDENES!A:BE,57,FALSE())</f>
        <v>0 BODEGA</v>
      </c>
      <c r="V192" s="70"/>
      <c r="W192" s="71"/>
    </row>
    <row r="193" s="72" customFormat="true" ht="98.25" hidden="false" customHeight="true" outlineLevel="0" collapsed="false">
      <c r="A193" s="62" t="n">
        <f aca="false">A192+1</f>
        <v>186</v>
      </c>
      <c r="B193" s="63" t="str">
        <f aca="false">VLOOKUP(A193,BD_ORDENES!A:BG,12,FALSE())</f>
        <v>__export__.product_product_324115_8414de5b</v>
      </c>
      <c r="C193" s="64" t="n">
        <v>186</v>
      </c>
      <c r="D193" s="65" t="str">
        <f aca="false">VLOOKUP(A193,BD_ORDENES!A:BE,10,0)</f>
        <v>OTROS</v>
      </c>
      <c r="E193" s="66" t="str">
        <f aca="false">VLOOKUP(A193,BD_ORDENES!A:BG,4,FALSE())</f>
        <v>OTROS120</v>
      </c>
      <c r="F193" s="66" t="str">
        <f aca="false">VLOOKUP(A193,BD_ORDENES!A:BE,56,FALSE())</f>
        <v>S269175</v>
      </c>
      <c r="G193" s="67" t="str">
        <f aca="false">VLOOKUP(A193,BD_ORDENES!A:BE,13,FALSE())</f>
        <v>MESA AUXILIAR ANAHEIM GRANDE BLANCO (ORO METALICO)</v>
      </c>
      <c r="H193" s="68" t="str">
        <f aca="false">VLOOKUP(A193,BD_ORDENES!A:BE,17,FALSE())</f>
        <v>MESA-AUXILIAR</v>
      </c>
      <c r="I193" s="68" t="str">
        <f aca="false">VLOOKUP(A193,BD_ORDENES!A:BE,18,FALSE())</f>
        <v>ANAHEIM-GRANDE</v>
      </c>
      <c r="J193" s="68" t="n">
        <f aca="false">VLOOKUP(A193,BD_ORDENES!A:BE,19,FALSE())</f>
        <v>0</v>
      </c>
      <c r="K193" s="68" t="str">
        <f aca="false">VLOOKUP(A193,BD_ORDENES!A:BE,20,FALSE())</f>
        <v>BLANCO</v>
      </c>
      <c r="L193" s="68" t="str">
        <f aca="false">VLOOKUP(A193,BD_ORDENES!A:BE,21,FALSE())</f>
        <v>METALICO-ORO</v>
      </c>
      <c r="M193" s="69" t="n">
        <f aca="false">VLOOKUP(A193,BD_ORDENES!A:BE,14,FALSE())</f>
        <v>1</v>
      </c>
      <c r="N193" s="68" t="n">
        <f aca="false">VLOOKUP(A193,BD_ORDENES!A:BE,15,FALSE())</f>
        <v>0</v>
      </c>
      <c r="O193" s="68" t="str">
        <f aca="false">VLOOKUP(A193,BD_ORDENES!A:BE,33,FALSE())</f>
        <v>ENVIO TUNJA - SIN SALDO</v>
      </c>
      <c r="P193" s="68" t="n">
        <f aca="false">VLOOKUP(A193,BD_ORDENES!A:BE,23,FALSE())</f>
        <v>0</v>
      </c>
      <c r="Q193" s="68" t="str">
        <f aca="false">VLOOKUP(A193,BD_ORDENES!A:BE,52,FALSE())</f>
        <v>Obtener Bajo Pedido (MTO)</v>
      </c>
      <c r="R193" s="68" t="str">
        <f aca="false">VLOOKUP(A193,BD_ORDENES!A:BE,25,FALSE())</f>
        <v>TUNJA</v>
      </c>
      <c r="S193" s="68" t="str">
        <f aca="false">VLOOKUP(A193,BD_ORDENES!A:BE,22,FALSE())</f>
        <v>ARQUIDIOCESIS DE TUNJA</v>
      </c>
      <c r="T193" s="65" t="str">
        <f aca="false">VLOOKUP(A193,BD_ORDENES!A:BE,55,FALSE())</f>
        <v>BODEGA LISTO</v>
      </c>
      <c r="U193" s="68" t="str">
        <f aca="false">VLOOKUP(A193,BD_ORDENES!A:BE,57,FALSE())</f>
        <v>0 BODEGA</v>
      </c>
      <c r="V193" s="70"/>
      <c r="W193" s="71"/>
    </row>
    <row r="194" s="72" customFormat="true" ht="98.25" hidden="false" customHeight="true" outlineLevel="0" collapsed="false">
      <c r="A194" s="62" t="n">
        <f aca="false">A193+1</f>
        <v>187</v>
      </c>
      <c r="B194" s="63" t="str">
        <f aca="false">VLOOKUP(A194,BD_ORDENES!A:BG,12,FALSE())</f>
        <v>__export__.product_product_320145_75509056</v>
      </c>
      <c r="C194" s="64" t="n">
        <v>187</v>
      </c>
      <c r="D194" s="65" t="str">
        <f aca="false">VLOOKUP(A194,BD_ORDENES!A:BE,10,0)</f>
        <v>OTROS</v>
      </c>
      <c r="E194" s="66" t="str">
        <f aca="false">VLOOKUP(A194,BD_ORDENES!A:BG,4,FALSE())</f>
        <v>OTROS120</v>
      </c>
      <c r="F194" s="66" t="str">
        <f aca="false">VLOOKUP(A194,BD_ORDENES!A:BE,56,FALSE())</f>
        <v>S269175</v>
      </c>
      <c r="G194" s="67" t="str">
        <f aca="false">VLOOKUP(A194,BD_ORDENES!A:BE,13,FALSE())</f>
        <v>MESA AUXILIAR ANAHEIM PEQUEÑA BLANCA (ORO METALICO)</v>
      </c>
      <c r="H194" s="68" t="str">
        <f aca="false">VLOOKUP(A194,BD_ORDENES!A:BE,17,FALSE())</f>
        <v>MESA-AUXILIAR</v>
      </c>
      <c r="I194" s="68" t="str">
        <f aca="false">VLOOKUP(A194,BD_ORDENES!A:BE,18,FALSE())</f>
        <v>ANAHEIM-PEQUEÑA</v>
      </c>
      <c r="J194" s="68" t="n">
        <f aca="false">VLOOKUP(A194,BD_ORDENES!A:BE,19,FALSE())</f>
        <v>0</v>
      </c>
      <c r="K194" s="68" t="str">
        <f aca="false">VLOOKUP(A194,BD_ORDENES!A:BE,20,FALSE())</f>
        <v>BLANCO</v>
      </c>
      <c r="L194" s="68" t="str">
        <f aca="false">VLOOKUP(A194,BD_ORDENES!A:BE,21,FALSE())</f>
        <v>METALICO-ORO</v>
      </c>
      <c r="M194" s="69" t="n">
        <f aca="false">VLOOKUP(A194,BD_ORDENES!A:BE,14,FALSE())</f>
        <v>1</v>
      </c>
      <c r="N194" s="68" t="n">
        <f aca="false">VLOOKUP(A194,BD_ORDENES!A:BE,15,FALSE())</f>
        <v>0</v>
      </c>
      <c r="O194" s="68" t="str">
        <f aca="false">VLOOKUP(A194,BD_ORDENES!A:BE,33,FALSE())</f>
        <v>ENVIO TUNJA - SIN SALDO</v>
      </c>
      <c r="P194" s="68" t="n">
        <f aca="false">VLOOKUP(A194,BD_ORDENES!A:BE,23,FALSE())</f>
        <v>0</v>
      </c>
      <c r="Q194" s="68" t="str">
        <f aca="false">VLOOKUP(A194,BD_ORDENES!A:BE,52,FALSE())</f>
        <v>Obtener Bajo Pedido (MTO)</v>
      </c>
      <c r="R194" s="68" t="str">
        <f aca="false">VLOOKUP(A194,BD_ORDENES!A:BE,25,FALSE())</f>
        <v>TUNJA</v>
      </c>
      <c r="S194" s="68" t="str">
        <f aca="false">VLOOKUP(A194,BD_ORDENES!A:BE,22,FALSE())</f>
        <v>ARQUIDIOCESIS DE TUNJA</v>
      </c>
      <c r="T194" s="65" t="str">
        <f aca="false">VLOOKUP(A194,BD_ORDENES!A:BE,55,FALSE())</f>
        <v>BODEGA LISTO</v>
      </c>
      <c r="U194" s="68" t="str">
        <f aca="false">VLOOKUP(A194,BD_ORDENES!A:BE,57,FALSE())</f>
        <v>0 BODEGA</v>
      </c>
      <c r="V194" s="70"/>
      <c r="W194" s="71"/>
    </row>
    <row r="195" s="72" customFormat="true" ht="98.25" hidden="false" customHeight="true" outlineLevel="0" collapsed="false">
      <c r="A195" s="62" t="n">
        <f aca="false">A194+1</f>
        <v>188</v>
      </c>
      <c r="B195" s="63" t="str">
        <f aca="false">VLOOKUP(A195,BD_ORDENES!A:BG,12,FALSE())</f>
        <v>__export__.product_product_327395_3742f1c8</v>
      </c>
      <c r="C195" s="64" t="n">
        <v>188</v>
      </c>
      <c r="D195" s="65" t="str">
        <f aca="false">VLOOKUP(A195,BD_ORDENES!A:BE,10,0)</f>
        <v>OTROS</v>
      </c>
      <c r="E195" s="66" t="str">
        <f aca="false">VLOOKUP(A195,BD_ORDENES!A:BG,4,FALSE())</f>
        <v>OTROS120</v>
      </c>
      <c r="F195" s="66" t="str">
        <f aca="false">VLOOKUP(A195,BD_ORDENES!A:BE,56,FALSE())</f>
        <v>S269175</v>
      </c>
      <c r="G195" s="67" t="str">
        <f aca="false">VLOOKUP(A195,BD_ORDENES!A:BE,13,FALSE())</f>
        <v>COJIN VENECIA SKY SALMON</v>
      </c>
      <c r="H195" s="68" t="str">
        <f aca="false">VLOOKUP(A195,BD_ORDENES!A:BE,17,FALSE())</f>
        <v>COJIN</v>
      </c>
      <c r="I195" s="68" t="str">
        <f aca="false">VLOOKUP(A195,BD_ORDENES!A:BE,18,FALSE())</f>
        <v>VENECIA</v>
      </c>
      <c r="J195" s="68" t="str">
        <f aca="false">VLOOKUP(A195,BD_ORDENES!A:BE,19,FALSE())</f>
        <v>SKY</v>
      </c>
      <c r="K195" s="68" t="str">
        <f aca="false">VLOOKUP(A195,BD_ORDENES!A:BE,20,FALSE())</f>
        <v>SALMON</v>
      </c>
      <c r="L195" s="68" t="n">
        <f aca="false">VLOOKUP(A195,BD_ORDENES!A:BE,21,FALSE())</f>
        <v>0</v>
      </c>
      <c r="M195" s="69" t="n">
        <f aca="false">VLOOKUP(A195,BD_ORDENES!A:BE,14,FALSE())</f>
        <v>2</v>
      </c>
      <c r="N195" s="68" t="n">
        <f aca="false">VLOOKUP(A195,BD_ORDENES!A:BE,15,FALSE())</f>
        <v>0</v>
      </c>
      <c r="O195" s="68" t="str">
        <f aca="false">VLOOKUP(A195,BD_ORDENES!A:BE,33,FALSE())</f>
        <v>ENVIO TUNJA - SIN SALDO</v>
      </c>
      <c r="P195" s="68" t="n">
        <f aca="false">VLOOKUP(A195,BD_ORDENES!A:BE,23,FALSE())</f>
        <v>0</v>
      </c>
      <c r="Q195" s="68" t="str">
        <f aca="false">VLOOKUP(A195,BD_ORDENES!A:BE,52,FALSE())</f>
        <v>Obtener Bajo Pedido (MTO)</v>
      </c>
      <c r="R195" s="68" t="str">
        <f aca="false">VLOOKUP(A195,BD_ORDENES!A:BE,25,FALSE())</f>
        <v>TUNJA</v>
      </c>
      <c r="S195" s="68" t="str">
        <f aca="false">VLOOKUP(A195,BD_ORDENES!A:BE,22,FALSE())</f>
        <v>ARQUIDIOCESIS DE TUNJA</v>
      </c>
      <c r="T195" s="65" t="str">
        <f aca="false">VLOOKUP(A195,BD_ORDENES!A:BE,55,FALSE())</f>
        <v>BODEGA LISTO</v>
      </c>
      <c r="U195" s="68" t="str">
        <f aca="false">VLOOKUP(A195,BD_ORDENES!A:BE,57,FALSE())</f>
        <v>0 BODEGA</v>
      </c>
      <c r="V195" s="70"/>
      <c r="W195" s="71"/>
    </row>
    <row r="196" s="72" customFormat="true" ht="98.25" hidden="false" customHeight="true" outlineLevel="0" collapsed="false">
      <c r="A196" s="62" t="n">
        <f aca="false">A195+1</f>
        <v>189</v>
      </c>
      <c r="B196" s="63" t="str">
        <f aca="false">VLOOKUP(A196,BD_ORDENES!A:BG,12,FALSE())</f>
        <v>__export__.product_product_281854_23cdb469</v>
      </c>
      <c r="C196" s="64" t="n">
        <v>189</v>
      </c>
      <c r="D196" s="65" t="str">
        <f aca="false">VLOOKUP(A196,BD_ORDENES!A:BE,10,0)</f>
        <v>OTROS</v>
      </c>
      <c r="E196" s="66" t="str">
        <f aca="false">VLOOKUP(A196,BD_ORDENES!A:BG,4,FALSE())</f>
        <v>OTROS120</v>
      </c>
      <c r="F196" s="66" t="str">
        <f aca="false">VLOOKUP(A196,BD_ORDENES!A:BE,56,FALSE())</f>
        <v>S269175</v>
      </c>
      <c r="G196" s="67" t="str">
        <f aca="false">VLOOKUP(A196,BD_ORDENES!A:BE,13,FALSE())</f>
        <v>CUADRO MUJER AFRO M (70X45)</v>
      </c>
      <c r="H196" s="68" t="str">
        <f aca="false">VLOOKUP(A196,BD_ORDENES!A:BE,17,FALSE())</f>
        <v>CUADRO</v>
      </c>
      <c r="I196" s="68" t="str">
        <f aca="false">VLOOKUP(A196,BD_ORDENES!A:BE,18,FALSE())</f>
        <v>MUJER-AFRO-M-(70X45)</v>
      </c>
      <c r="J196" s="68" t="n">
        <f aca="false">VLOOKUP(A196,BD_ORDENES!A:BE,19,FALSE())</f>
        <v>0</v>
      </c>
      <c r="K196" s="68" t="n">
        <f aca="false">VLOOKUP(A196,BD_ORDENES!A:BE,20,FALSE())</f>
        <v>0</v>
      </c>
      <c r="L196" s="68" t="n">
        <f aca="false">VLOOKUP(A196,BD_ORDENES!A:BE,21,FALSE())</f>
        <v>0</v>
      </c>
      <c r="M196" s="69" t="n">
        <f aca="false">VLOOKUP(A196,BD_ORDENES!A:BE,14,FALSE())</f>
        <v>1</v>
      </c>
      <c r="N196" s="68" t="n">
        <f aca="false">VLOOKUP(A196,BD_ORDENES!A:BE,15,FALSE())</f>
        <v>0</v>
      </c>
      <c r="O196" s="68" t="str">
        <f aca="false">VLOOKUP(A196,BD_ORDENES!A:BE,33,FALSE())</f>
        <v>ENVIO TUNJA - SIN SALDO</v>
      </c>
      <c r="P196" s="68" t="n">
        <f aca="false">VLOOKUP(A196,BD_ORDENES!A:BE,23,FALSE())</f>
        <v>0</v>
      </c>
      <c r="Q196" s="68" t="str">
        <f aca="false">VLOOKUP(A196,BD_ORDENES!A:BE,52,FALSE())</f>
        <v>Retiro Tienda FABRICA por Empacar</v>
      </c>
      <c r="R196" s="68" t="str">
        <f aca="false">VLOOKUP(A196,BD_ORDENES!A:BE,25,FALSE())</f>
        <v>TUNJA</v>
      </c>
      <c r="S196" s="68" t="str">
        <f aca="false">VLOOKUP(A196,BD_ORDENES!A:BE,22,FALSE())</f>
        <v>ARQUIDIOCESIS DE TUNJA</v>
      </c>
      <c r="T196" s="65" t="str">
        <f aca="false">VLOOKUP(A196,BD_ORDENES!A:BE,55,FALSE())</f>
        <v>BODEGA LISTO</v>
      </c>
      <c r="U196" s="68" t="str">
        <f aca="false">VLOOKUP(A196,BD_ORDENES!A:BE,57,FALSE())</f>
        <v>0 BODEGA</v>
      </c>
      <c r="V196" s="70"/>
      <c r="W196" s="71"/>
    </row>
    <row r="197" s="72" customFormat="true" ht="98.25" hidden="false" customHeight="true" outlineLevel="0" collapsed="false">
      <c r="A197" s="62" t="n">
        <f aca="false">A196+1</f>
        <v>190</v>
      </c>
      <c r="B197" s="63" t="str">
        <f aca="false">VLOOKUP(A197,BD_ORDENES!A:BG,12,FALSE())</f>
        <v>__export__.product_product_297304_7653588e</v>
      </c>
      <c r="C197" s="64" t="n">
        <v>190</v>
      </c>
      <c r="D197" s="65" t="str">
        <f aca="false">VLOOKUP(A197,BD_ORDENES!A:BE,10,0)</f>
        <v>OTROS</v>
      </c>
      <c r="E197" s="66" t="str">
        <f aca="false">VLOOKUP(A197,BD_ORDENES!A:BG,4,FALSE())</f>
        <v>OTROS120</v>
      </c>
      <c r="F197" s="66" t="str">
        <f aca="false">VLOOKUP(A197,BD_ORDENES!A:BE,56,FALSE())</f>
        <v>S269175</v>
      </c>
      <c r="G197" s="67" t="str">
        <f aca="false">VLOOKUP(A197,BD_ORDENES!A:BE,13,FALSE())</f>
        <v>CUADRO BOSQUE XL (120X80)</v>
      </c>
      <c r="H197" s="68" t="str">
        <f aca="false">VLOOKUP(A197,BD_ORDENES!A:BE,17,FALSE())</f>
        <v>CUADRO</v>
      </c>
      <c r="I197" s="68" t="str">
        <f aca="false">VLOOKUP(A197,BD_ORDENES!A:BE,18,FALSE())</f>
        <v>BOSQUE-XL-(120X80)</v>
      </c>
      <c r="J197" s="68" t="n">
        <f aca="false">VLOOKUP(A197,BD_ORDENES!A:BE,19,FALSE())</f>
        <v>0</v>
      </c>
      <c r="K197" s="68" t="n">
        <f aca="false">VLOOKUP(A197,BD_ORDENES!A:BE,20,FALSE())</f>
        <v>0</v>
      </c>
      <c r="L197" s="68" t="n">
        <f aca="false">VLOOKUP(A197,BD_ORDENES!A:BE,21,FALSE())</f>
        <v>0</v>
      </c>
      <c r="M197" s="69" t="n">
        <f aca="false">VLOOKUP(A197,BD_ORDENES!A:BE,14,FALSE())</f>
        <v>1</v>
      </c>
      <c r="N197" s="68" t="n">
        <f aca="false">VLOOKUP(A197,BD_ORDENES!A:BE,15,FALSE())</f>
        <v>0</v>
      </c>
      <c r="O197" s="68" t="str">
        <f aca="false">VLOOKUP(A197,BD_ORDENES!A:BE,33,FALSE())</f>
        <v>ENVIO TUNJA - SIN SALDO</v>
      </c>
      <c r="P197" s="68" t="n">
        <f aca="false">VLOOKUP(A197,BD_ORDENES!A:BE,23,FALSE())</f>
        <v>0</v>
      </c>
      <c r="Q197" s="68" t="str">
        <f aca="false">VLOOKUP(A197,BD_ORDENES!A:BE,52,FALSE())</f>
        <v>Retiro DECORACION POR ENTREGAR</v>
      </c>
      <c r="R197" s="68" t="str">
        <f aca="false">VLOOKUP(A197,BD_ORDENES!A:BE,25,FALSE())</f>
        <v>TUNJA</v>
      </c>
      <c r="S197" s="68" t="str">
        <f aca="false">VLOOKUP(A197,BD_ORDENES!A:BE,22,FALSE())</f>
        <v>ARQUIDIOCESIS DE TUNJA</v>
      </c>
      <c r="T197" s="65" t="str">
        <f aca="false">VLOOKUP(A197,BD_ORDENES!A:BE,55,FALSE())</f>
        <v>BODEGA LISTO</v>
      </c>
      <c r="U197" s="68" t="str">
        <f aca="false">VLOOKUP(A197,BD_ORDENES!A:BE,57,FALSE())</f>
        <v>0 BODEGA</v>
      </c>
      <c r="V197" s="70"/>
      <c r="W197" s="71"/>
    </row>
    <row r="198" s="72" customFormat="true" ht="98.25" hidden="false" customHeight="true" outlineLevel="0" collapsed="false">
      <c r="A198" s="62" t="n">
        <f aca="false">A197+1</f>
        <v>191</v>
      </c>
      <c r="B198" s="63" t="str">
        <f aca="false">VLOOKUP(A198,BD_ORDENES!A:BG,12,FALSE())</f>
        <v>__export__.product_product_281913_a00cdb34</v>
      </c>
      <c r="C198" s="64" t="n">
        <v>191</v>
      </c>
      <c r="D198" s="65" t="str">
        <f aca="false">VLOOKUP(A198,BD_ORDENES!A:BE,10,0)</f>
        <v>OTROS</v>
      </c>
      <c r="E198" s="66" t="str">
        <f aca="false">VLOOKUP(A198,BD_ORDENES!A:BG,4,FALSE())</f>
        <v>OTROS120</v>
      </c>
      <c r="F198" s="66" t="str">
        <f aca="false">VLOOKUP(A198,BD_ORDENES!A:BE,56,FALSE())</f>
        <v>S269175</v>
      </c>
      <c r="G198" s="67" t="str">
        <f aca="false">VLOOKUP(A198,BD_ORDENES!A:BE,13,FALSE())</f>
        <v>COJIN DECORATIVO HOME</v>
      </c>
      <c r="H198" s="68" t="str">
        <f aca="false">VLOOKUP(A198,BD_ORDENES!A:BE,17,FALSE())</f>
        <v>COJIN</v>
      </c>
      <c r="I198" s="68" t="str">
        <f aca="false">VLOOKUP(A198,BD_ORDENES!A:BE,18,FALSE())</f>
        <v>DECORATIVO</v>
      </c>
      <c r="J198" s="68" t="n">
        <f aca="false">VLOOKUP(A198,BD_ORDENES!A:BE,19,FALSE())</f>
        <v>0</v>
      </c>
      <c r="K198" s="68" t="str">
        <f aca="false">VLOOKUP(A198,BD_ORDENES!A:BE,20,FALSE())</f>
        <v>HOME</v>
      </c>
      <c r="L198" s="68" t="n">
        <f aca="false">VLOOKUP(A198,BD_ORDENES!A:BE,21,FALSE())</f>
        <v>0</v>
      </c>
      <c r="M198" s="69" t="n">
        <f aca="false">VLOOKUP(A198,BD_ORDENES!A:BE,14,FALSE())</f>
        <v>2</v>
      </c>
      <c r="N198" s="68" t="n">
        <f aca="false">VLOOKUP(A198,BD_ORDENES!A:BE,15,FALSE())</f>
        <v>0</v>
      </c>
      <c r="O198" s="68" t="str">
        <f aca="false">VLOOKUP(A198,BD_ORDENES!A:BE,33,FALSE())</f>
        <v>ENVIO TUNJA - SIN SALDO</v>
      </c>
      <c r="P198" s="68" t="n">
        <f aca="false">VLOOKUP(A198,BD_ORDENES!A:BE,23,FALSE())</f>
        <v>0</v>
      </c>
      <c r="Q198" s="68" t="str">
        <f aca="false">VLOOKUP(A198,BD_ORDENES!A:BE,52,FALSE())</f>
        <v>Retiro DECORACION POR ENTREGAR</v>
      </c>
      <c r="R198" s="68" t="str">
        <f aca="false">VLOOKUP(A198,BD_ORDENES!A:BE,25,FALSE())</f>
        <v>TUNJA</v>
      </c>
      <c r="S198" s="68" t="str">
        <f aca="false">VLOOKUP(A198,BD_ORDENES!A:BE,22,FALSE())</f>
        <v>ARQUIDIOCESIS DE TUNJA</v>
      </c>
      <c r="T198" s="65" t="str">
        <f aca="false">VLOOKUP(A198,BD_ORDENES!A:BE,55,FALSE())</f>
        <v>BODEGA LISTO</v>
      </c>
      <c r="U198" s="68" t="str">
        <f aca="false">VLOOKUP(A198,BD_ORDENES!A:BE,57,FALSE())</f>
        <v>0 BODEGA</v>
      </c>
      <c r="V198" s="70"/>
      <c r="W198" s="71"/>
    </row>
    <row r="199" s="72" customFormat="true" ht="98.25" hidden="false" customHeight="true" outlineLevel="0" collapsed="false">
      <c r="A199" s="62" t="n">
        <f aca="false">A198+1</f>
        <v>192</v>
      </c>
      <c r="B199" s="63" t="str">
        <f aca="false">VLOOKUP(A199,BD_ORDENES!A:BG,12,FALSE())</f>
        <v>__export__.product_product_332967_6f95b757</v>
      </c>
      <c r="C199" s="64" t="n">
        <v>192</v>
      </c>
      <c r="D199" s="65" t="str">
        <f aca="false">VLOOKUP(A199,BD_ORDENES!A:BE,10,0)</f>
        <v>OTROS</v>
      </c>
      <c r="E199" s="66" t="str">
        <f aca="false">VLOOKUP(A199,BD_ORDENES!A:BG,4,FALSE())</f>
        <v>OTROS120</v>
      </c>
      <c r="F199" s="66" t="str">
        <f aca="false">VLOOKUP(A199,BD_ORDENES!A:BE,56,FALSE())</f>
        <v>S269175</v>
      </c>
      <c r="G199" s="67" t="str">
        <f aca="false">VLOOKUP(A199,BD_ORDENES!A:BE,13,FALSE())</f>
        <v>PORCELANA AURA TERRACOTA SET</v>
      </c>
      <c r="H199" s="68" t="str">
        <f aca="false">VLOOKUP(A199,BD_ORDENES!A:BE,17,FALSE())</f>
        <v>PORCELANA</v>
      </c>
      <c r="I199" s="68" t="str">
        <f aca="false">VLOOKUP(A199,BD_ORDENES!A:BE,18,FALSE())</f>
        <v>AURA</v>
      </c>
      <c r="J199" s="68" t="n">
        <f aca="false">VLOOKUP(A199,BD_ORDENES!A:BE,19,FALSE())</f>
        <v>0</v>
      </c>
      <c r="K199" s="68" t="str">
        <f aca="false">VLOOKUP(A199,BD_ORDENES!A:BE,20,FALSE())</f>
        <v>TERRACOTA</v>
      </c>
      <c r="L199" s="68" t="n">
        <f aca="false">VLOOKUP(A199,BD_ORDENES!A:BE,21,FALSE())</f>
        <v>0</v>
      </c>
      <c r="M199" s="69" t="n">
        <f aca="false">VLOOKUP(A199,BD_ORDENES!A:BE,14,FALSE())</f>
        <v>1</v>
      </c>
      <c r="N199" s="68" t="n">
        <f aca="false">VLOOKUP(A199,BD_ORDENES!A:BE,15,FALSE())</f>
        <v>0</v>
      </c>
      <c r="O199" s="68" t="str">
        <f aca="false">VLOOKUP(A199,BD_ORDENES!A:BE,33,FALSE())</f>
        <v>ENVIO TUNJA - SIN SALDO</v>
      </c>
      <c r="P199" s="68" t="n">
        <f aca="false">VLOOKUP(A199,BD_ORDENES!A:BE,23,FALSE())</f>
        <v>0</v>
      </c>
      <c r="Q199" s="68" t="str">
        <f aca="false">VLOOKUP(A199,BD_ORDENES!A:BE,52,FALSE())</f>
        <v>Retiro DECORACION POR ENTREGAR</v>
      </c>
      <c r="R199" s="68" t="str">
        <f aca="false">VLOOKUP(A199,BD_ORDENES!A:BE,25,FALSE())</f>
        <v>TUNJA</v>
      </c>
      <c r="S199" s="68" t="str">
        <f aca="false">VLOOKUP(A199,BD_ORDENES!A:BE,22,FALSE())</f>
        <v>ARQUIDIOCESIS DE TUNJA</v>
      </c>
      <c r="T199" s="65" t="str">
        <f aca="false">VLOOKUP(A199,BD_ORDENES!A:BE,55,FALSE())</f>
        <v>BODEGA LISTO</v>
      </c>
      <c r="U199" s="68" t="str">
        <f aca="false">VLOOKUP(A199,BD_ORDENES!A:BE,57,FALSE())</f>
        <v>0 BODEGA</v>
      </c>
      <c r="V199" s="70"/>
      <c r="W199" s="71"/>
    </row>
    <row r="200" s="72" customFormat="true" ht="98.25" hidden="false" customHeight="true" outlineLevel="0" collapsed="false">
      <c r="A200" s="62" t="n">
        <f aca="false">A199+1</f>
        <v>193</v>
      </c>
      <c r="B200" s="63" t="str">
        <f aca="false">VLOOKUP(A200,BD_ORDENES!A:BG,12,FALSE())</f>
        <v>__export__.product_product_263077_6ab368f8</v>
      </c>
      <c r="C200" s="64" t="n">
        <v>193</v>
      </c>
      <c r="D200" s="65" t="str">
        <f aca="false">VLOOKUP(A200,BD_ORDENES!A:BE,10,0)</f>
        <v>OTROS</v>
      </c>
      <c r="E200" s="66" t="str">
        <f aca="false">VLOOKUP(A200,BD_ORDENES!A:BG,4,FALSE())</f>
        <v>OTROS120</v>
      </c>
      <c r="F200" s="66" t="str">
        <f aca="false">VLOOKUP(A200,BD_ORDENES!A:BE,56,FALSE())</f>
        <v>S269175</v>
      </c>
      <c r="G200" s="67" t="str">
        <f aca="false">VLOOKUP(A200,BD_ORDENES!A:BE,13,FALSE())</f>
        <v>PORCELANA ELEFANTE ORIGAMI L BRONCE</v>
      </c>
      <c r="H200" s="68" t="str">
        <f aca="false">VLOOKUP(A200,BD_ORDENES!A:BE,17,FALSE())</f>
        <v>PORCELANA</v>
      </c>
      <c r="I200" s="68" t="str">
        <f aca="false">VLOOKUP(A200,BD_ORDENES!A:BE,18,FALSE())</f>
        <v>ELEFANTE-ORIGAMI-L-BRONCE</v>
      </c>
      <c r="J200" s="68" t="n">
        <f aca="false">VLOOKUP(A200,BD_ORDENES!A:BE,19,FALSE())</f>
        <v>0</v>
      </c>
      <c r="K200" s="68" t="n">
        <f aca="false">VLOOKUP(A200,BD_ORDENES!A:BE,20,FALSE())</f>
        <v>0</v>
      </c>
      <c r="L200" s="68" t="n">
        <f aca="false">VLOOKUP(A200,BD_ORDENES!A:BE,21,FALSE())</f>
        <v>0</v>
      </c>
      <c r="M200" s="69" t="n">
        <f aca="false">VLOOKUP(A200,BD_ORDENES!A:BE,14,FALSE())</f>
        <v>1</v>
      </c>
      <c r="N200" s="68" t="n">
        <f aca="false">VLOOKUP(A200,BD_ORDENES!A:BE,15,FALSE())</f>
        <v>0</v>
      </c>
      <c r="O200" s="68" t="str">
        <f aca="false">VLOOKUP(A200,BD_ORDENES!A:BE,33,FALSE())</f>
        <v>ENVIO TUNJA - SIN SALDO</v>
      </c>
      <c r="P200" s="68" t="n">
        <f aca="false">VLOOKUP(A200,BD_ORDENES!A:BE,23,FALSE())</f>
        <v>0</v>
      </c>
      <c r="Q200" s="68" t="str">
        <f aca="false">VLOOKUP(A200,BD_ORDENES!A:BE,52,FALSE())</f>
        <v>Retiro DECORACION POR ENTREGAR</v>
      </c>
      <c r="R200" s="68" t="str">
        <f aca="false">VLOOKUP(A200,BD_ORDENES!A:BE,25,FALSE())</f>
        <v>TUNJA</v>
      </c>
      <c r="S200" s="68" t="str">
        <f aca="false">VLOOKUP(A200,BD_ORDENES!A:BE,22,FALSE())</f>
        <v>ARQUIDIOCESIS DE TUNJA</v>
      </c>
      <c r="T200" s="65" t="str">
        <f aca="false">VLOOKUP(A200,BD_ORDENES!A:BE,55,FALSE())</f>
        <v>BODEGA LISTO</v>
      </c>
      <c r="U200" s="68" t="str">
        <f aca="false">VLOOKUP(A200,BD_ORDENES!A:BE,57,FALSE())</f>
        <v>0 BODEGA</v>
      </c>
      <c r="V200" s="70"/>
      <c r="W200" s="71"/>
    </row>
    <row r="201" s="72" customFormat="true" ht="98.25" hidden="false" customHeight="true" outlineLevel="0" collapsed="false">
      <c r="A201" s="62" t="n">
        <f aca="false">A200+1</f>
        <v>194</v>
      </c>
      <c r="B201" s="63" t="str">
        <f aca="false">VLOOKUP(A201,BD_ORDENES!A:BG,12,FALSE())</f>
        <v>__export__.product_product_263078_d07c44da</v>
      </c>
      <c r="C201" s="64" t="n">
        <v>194</v>
      </c>
      <c r="D201" s="65" t="str">
        <f aca="false">VLOOKUP(A201,BD_ORDENES!A:BE,10,0)</f>
        <v>OTROS</v>
      </c>
      <c r="E201" s="66" t="str">
        <f aca="false">VLOOKUP(A201,BD_ORDENES!A:BG,4,FALSE())</f>
        <v>OTROS120</v>
      </c>
      <c r="F201" s="66" t="str">
        <f aca="false">VLOOKUP(A201,BD_ORDENES!A:BE,56,FALSE())</f>
        <v>S269175</v>
      </c>
      <c r="G201" s="67" t="str">
        <f aca="false">VLOOKUP(A201,BD_ORDENES!A:BE,13,FALSE())</f>
        <v>PORCELANA ELEFANTE ORIGAMI M BRONCE</v>
      </c>
      <c r="H201" s="68" t="str">
        <f aca="false">VLOOKUP(A201,BD_ORDENES!A:BE,17,FALSE())</f>
        <v>PORCELANA</v>
      </c>
      <c r="I201" s="68" t="str">
        <f aca="false">VLOOKUP(A201,BD_ORDENES!A:BE,18,FALSE())</f>
        <v>ELEFANTE-ORIGAMI-M-BRONCE</v>
      </c>
      <c r="J201" s="68" t="n">
        <f aca="false">VLOOKUP(A201,BD_ORDENES!A:BE,19,FALSE())</f>
        <v>0</v>
      </c>
      <c r="K201" s="68" t="n">
        <f aca="false">VLOOKUP(A201,BD_ORDENES!A:BE,20,FALSE())</f>
        <v>0</v>
      </c>
      <c r="L201" s="68" t="n">
        <f aca="false">VLOOKUP(A201,BD_ORDENES!A:BE,21,FALSE())</f>
        <v>0</v>
      </c>
      <c r="M201" s="69" t="n">
        <f aca="false">VLOOKUP(A201,BD_ORDENES!A:BE,14,FALSE())</f>
        <v>1</v>
      </c>
      <c r="N201" s="68" t="n">
        <f aca="false">VLOOKUP(A201,BD_ORDENES!A:BE,15,FALSE())</f>
        <v>0</v>
      </c>
      <c r="O201" s="68" t="str">
        <f aca="false">VLOOKUP(A201,BD_ORDENES!A:BE,33,FALSE())</f>
        <v>ENVIO TUNJA - SIN SALDO</v>
      </c>
      <c r="P201" s="68" t="n">
        <f aca="false">VLOOKUP(A201,BD_ORDENES!A:BE,23,FALSE())</f>
        <v>0</v>
      </c>
      <c r="Q201" s="68" t="str">
        <f aca="false">VLOOKUP(A201,BD_ORDENES!A:BE,52,FALSE())</f>
        <v>Retiro DECORACION POR ENTREGAR</v>
      </c>
      <c r="R201" s="68" t="str">
        <f aca="false">VLOOKUP(A201,BD_ORDENES!A:BE,25,FALSE())</f>
        <v>TUNJA</v>
      </c>
      <c r="S201" s="68" t="str">
        <f aca="false">VLOOKUP(A201,BD_ORDENES!A:BE,22,FALSE())</f>
        <v>ARQUIDIOCESIS DE TUNJA</v>
      </c>
      <c r="T201" s="65" t="str">
        <f aca="false">VLOOKUP(A201,BD_ORDENES!A:BE,55,FALSE())</f>
        <v>BODEGA LISTO</v>
      </c>
      <c r="U201" s="68" t="str">
        <f aca="false">VLOOKUP(A201,BD_ORDENES!A:BE,57,FALSE())</f>
        <v>0 BODEGA</v>
      </c>
      <c r="V201" s="70"/>
      <c r="W201" s="71"/>
    </row>
    <row r="202" s="72" customFormat="true" ht="98.25" hidden="false" customHeight="true" outlineLevel="0" collapsed="false">
      <c r="A202" s="62" t="n">
        <f aca="false">A201+1</f>
        <v>195</v>
      </c>
      <c r="B202" s="63" t="str">
        <f aca="false">VLOOKUP(A202,BD_ORDENES!A:BG,12,FALSE())</f>
        <v>__export__.product_product_263079_5ee9a9e3</v>
      </c>
      <c r="C202" s="64" t="n">
        <v>195</v>
      </c>
      <c r="D202" s="65" t="str">
        <f aca="false">VLOOKUP(A202,BD_ORDENES!A:BE,10,0)</f>
        <v>OTROS</v>
      </c>
      <c r="E202" s="66" t="str">
        <f aca="false">VLOOKUP(A202,BD_ORDENES!A:BG,4,FALSE())</f>
        <v>OTROS120</v>
      </c>
      <c r="F202" s="66" t="str">
        <f aca="false">VLOOKUP(A202,BD_ORDENES!A:BE,56,FALSE())</f>
        <v>S269175</v>
      </c>
      <c r="G202" s="67" t="str">
        <f aca="false">VLOOKUP(A202,BD_ORDENES!A:BE,13,FALSE())</f>
        <v>PORCELANA ELEFANTE ORIGAMI S BRONCE</v>
      </c>
      <c r="H202" s="68" t="str">
        <f aca="false">VLOOKUP(A202,BD_ORDENES!A:BE,17,FALSE())</f>
        <v>PORCELANA</v>
      </c>
      <c r="I202" s="68" t="str">
        <f aca="false">VLOOKUP(A202,BD_ORDENES!A:BE,18,FALSE())</f>
        <v>ELEFANTE-ORIGAMI-S-BRONCE</v>
      </c>
      <c r="J202" s="68" t="n">
        <f aca="false">VLOOKUP(A202,BD_ORDENES!A:BE,19,FALSE())</f>
        <v>0</v>
      </c>
      <c r="K202" s="68" t="n">
        <f aca="false">VLOOKUP(A202,BD_ORDENES!A:BE,20,FALSE())</f>
        <v>0</v>
      </c>
      <c r="L202" s="68" t="n">
        <f aca="false">VLOOKUP(A202,BD_ORDENES!A:BE,21,FALSE())</f>
        <v>0</v>
      </c>
      <c r="M202" s="69" t="n">
        <f aca="false">VLOOKUP(A202,BD_ORDENES!A:BE,14,FALSE())</f>
        <v>1</v>
      </c>
      <c r="N202" s="68" t="n">
        <f aca="false">VLOOKUP(A202,BD_ORDENES!A:BE,15,FALSE())</f>
        <v>0</v>
      </c>
      <c r="O202" s="68" t="str">
        <f aca="false">VLOOKUP(A202,BD_ORDENES!A:BE,33,FALSE())</f>
        <v>ENVIO TUNJA - SIN SALDO</v>
      </c>
      <c r="P202" s="68" t="n">
        <f aca="false">VLOOKUP(A202,BD_ORDENES!A:BE,23,FALSE())</f>
        <v>0</v>
      </c>
      <c r="Q202" s="68" t="str">
        <f aca="false">VLOOKUP(A202,BD_ORDENES!A:BE,52,FALSE())</f>
        <v>Retiro DECORACION POR ENTREGAR</v>
      </c>
      <c r="R202" s="68" t="str">
        <f aca="false">VLOOKUP(A202,BD_ORDENES!A:BE,25,FALSE())</f>
        <v>TUNJA</v>
      </c>
      <c r="S202" s="68" t="str">
        <f aca="false">VLOOKUP(A202,BD_ORDENES!A:BE,22,FALSE())</f>
        <v>ARQUIDIOCESIS DE TUNJA</v>
      </c>
      <c r="T202" s="65" t="str">
        <f aca="false">VLOOKUP(A202,BD_ORDENES!A:BE,55,FALSE())</f>
        <v>BODEGA LISTO</v>
      </c>
      <c r="U202" s="68" t="str">
        <f aca="false">VLOOKUP(A202,BD_ORDENES!A:BE,57,FALSE())</f>
        <v>0 BODEGA</v>
      </c>
      <c r="V202" s="70"/>
      <c r="W202" s="71"/>
    </row>
    <row r="203" s="72" customFormat="true" ht="98.25" hidden="false" customHeight="true" outlineLevel="0" collapsed="false">
      <c r="A203" s="62" t="n">
        <f aca="false">A202+1</f>
        <v>196</v>
      </c>
      <c r="B203" s="63" t="str">
        <f aca="false">VLOOKUP(A203,BD_ORDENES!A:BG,12,FALSE())</f>
        <v>__export__.product_product_333411_3a4532b4</v>
      </c>
      <c r="C203" s="64" t="n">
        <v>196</v>
      </c>
      <c r="D203" s="65" t="str">
        <f aca="false">VLOOKUP(A203,BD_ORDENES!A:BE,10,0)</f>
        <v>FB</v>
      </c>
      <c r="E203" s="66" t="str">
        <f aca="false">VLOOKUP(A203,BD_ORDENES!A:BG,4,FALSE())</f>
        <v>LN659</v>
      </c>
      <c r="F203" s="66" t="str">
        <f aca="false">VLOOKUP(A203,BD_ORDENES!A:BE,56,FALSE())</f>
        <v>S269167</v>
      </c>
      <c r="G203" s="67" t="str">
        <f aca="false">VLOOKUP(A203,BD_ORDENES!A:BE,13,FALSE())</f>
        <v>SOFA MORETTO SKY TAUPE (MATIZ CAOBA)</v>
      </c>
      <c r="H203" s="68" t="str">
        <f aca="false">VLOOKUP(A203,BD_ORDENES!A:BE,17,FALSE())</f>
        <v>SOFA</v>
      </c>
      <c r="I203" s="68" t="str">
        <f aca="false">VLOOKUP(A203,BD_ORDENES!A:BE,18,FALSE())</f>
        <v>MORETTO</v>
      </c>
      <c r="J203" s="68" t="str">
        <f aca="false">VLOOKUP(A203,BD_ORDENES!A:BE,19,FALSE())</f>
        <v>SKY</v>
      </c>
      <c r="K203" s="68" t="str">
        <f aca="false">VLOOKUP(A203,BD_ORDENES!A:BE,20,FALSE())</f>
        <v>TAUPE</v>
      </c>
      <c r="L203" s="68" t="str">
        <f aca="false">VLOOKUP(A203,BD_ORDENES!A:BE,21,FALSE())</f>
        <v>MATIZ-CAOBA</v>
      </c>
      <c r="M203" s="69" t="n">
        <f aca="false">VLOOKUP(A203,BD_ORDENES!A:BE,14,FALSE())</f>
        <v>1</v>
      </c>
      <c r="N203" s="68" t="n">
        <f aca="false">VLOOKUP(A203,BD_ORDENES!A:BE,15,FALSE())</f>
        <v>0</v>
      </c>
      <c r="O203" s="68" t="str">
        <f aca="false">VLOOKUP(A203,BD_ORDENES!A:BE,33,FALSE())</f>
        <v>GUIA CON RECAUDO</v>
      </c>
      <c r="P203" s="68" t="str">
        <f aca="false">VLOOKUP(A203,BD_ORDENES!A:BE,23,FALSE())</f>
        <v>POR FAVOR LLAMAR ANTES DE LA ENTREGA</v>
      </c>
      <c r="Q203" s="68" t="str">
        <f aca="false">VLOOKUP(A203,BD_ORDENES!A:BE,52,FALSE())</f>
        <v>Obtener Bajo Pedido (MTO)</v>
      </c>
      <c r="R203" s="68" t="str">
        <f aca="false">VLOOKUP(A203,BD_ORDENES!A:BE,25,FALSE())</f>
        <v>Cali</v>
      </c>
      <c r="S203" s="68" t="str">
        <f aca="false">VLOOKUP(A203,BD_ORDENES!A:BE,22,FALSE())</f>
        <v>PAULA LEONELA  RUIZ GRANADOS</v>
      </c>
      <c r="T203" s="65" t="str">
        <f aca="false">VLOOKUP(A203,BD_ORDENES!A:BE,55,FALSE())</f>
        <v>PRODUCCION</v>
      </c>
      <c r="U203" s="68" t="str">
        <f aca="false">VLOOKUP(A203,BD_ORDENES!A:BE,57,FALSE())</f>
        <v>6 COORDINADORA</v>
      </c>
      <c r="V203" s="70"/>
      <c r="W203" s="71"/>
    </row>
    <row r="204" s="72" customFormat="true" ht="98.25" hidden="false" customHeight="true" outlineLevel="0" collapsed="false">
      <c r="A204" s="62" t="n">
        <f aca="false">A203+1</f>
        <v>197</v>
      </c>
      <c r="B204" s="63" t="str">
        <f aca="false">VLOOKUP(A204,BD_ORDENES!A:BG,12,FALSE())</f>
        <v>__export__.product_product_326009_765c5383</v>
      </c>
      <c r="C204" s="64" t="n">
        <v>197</v>
      </c>
      <c r="D204" s="65" t="str">
        <f aca="false">VLOOKUP(A204,BD_ORDENES!A:BE,10,0)</f>
        <v>TIENDA GALERIAS</v>
      </c>
      <c r="E204" s="66" t="str">
        <f aca="false">VLOOKUP(A204,BD_ORDENES!A:BG,4,FALSE())</f>
        <v>MB763</v>
      </c>
      <c r="F204" s="66" t="str">
        <f aca="false">VLOOKUP(A204,BD_ORDENES!A:BE,56,FALSE())</f>
        <v>S269162</v>
      </c>
      <c r="G204" s="67" t="str">
        <f aca="false">VLOOKUP(A204,BD_ORDENES!A:BE,13,FALSE())</f>
        <v>MESA BRIXTON JG4 MACULA (MATIZ NEGRO)</v>
      </c>
      <c r="H204" s="68" t="str">
        <f aca="false">VLOOKUP(A204,BD_ORDENES!A:BE,17,FALSE())</f>
        <v>MESA</v>
      </c>
      <c r="I204" s="68" t="str">
        <f aca="false">VLOOKUP(A204,BD_ORDENES!A:BE,18,FALSE())</f>
        <v>BRIXTON-JG4</v>
      </c>
      <c r="J204" s="68" t="n">
        <f aca="false">VLOOKUP(A204,BD_ORDENES!A:BE,19,FALSE())</f>
        <v>0</v>
      </c>
      <c r="K204" s="68" t="str">
        <f aca="false">VLOOKUP(A204,BD_ORDENES!A:BE,20,FALSE())</f>
        <v>MACULA</v>
      </c>
      <c r="L204" s="68" t="str">
        <f aca="false">VLOOKUP(A204,BD_ORDENES!A:BE,21,FALSE())</f>
        <v>MATIZ-NEGRO</v>
      </c>
      <c r="M204" s="69" t="n">
        <f aca="false">VLOOKUP(A204,BD_ORDENES!A:BE,14,FALSE())</f>
        <v>1</v>
      </c>
      <c r="N204" s="68" t="n">
        <f aca="false">VLOOKUP(A204,BD_ORDENES!A:BE,15,FALSE())</f>
        <v>0</v>
      </c>
      <c r="O204" s="68" t="str">
        <f aca="false">VLOOKUP(A204,BD_ORDENES!A:BE,33,FALSE())</f>
        <v>TRANSPORTADORA</v>
      </c>
      <c r="P204" s="68" t="n">
        <f aca="false">VLOOKUP(A204,BD_ORDENES!A:BE,23,FALSE())</f>
        <v>0</v>
      </c>
      <c r="Q204" s="68" t="str">
        <f aca="false">VLOOKUP(A204,BD_ORDENES!A:BE,52,FALSE())</f>
        <v>Obtener Bajo Pedido (MTO)</v>
      </c>
      <c r="R204" s="68" t="str">
        <f aca="false">VLOOKUP(A204,BD_ORDENES!A:BE,25,FALSE())</f>
        <v>BOGOTA</v>
      </c>
      <c r="S204" s="68" t="str">
        <f aca="false">VLOOKUP(A204,BD_ORDENES!A:BE,22,FALSE())</f>
        <v>NATALIA ROMERO RAMIREZ</v>
      </c>
      <c r="T204" s="65" t="str">
        <f aca="false">VLOOKUP(A204,BD_ORDENES!A:BE,55,FALSE())</f>
        <v>PRODUCCION</v>
      </c>
      <c r="U204" s="68" t="str">
        <f aca="false">VLOOKUP(A204,BD_ORDENES!A:BE,57,FALSE())</f>
        <v>1 ENVIA</v>
      </c>
      <c r="V204" s="70"/>
      <c r="W204" s="71"/>
    </row>
    <row r="205" s="72" customFormat="true" ht="98.25" hidden="false" customHeight="true" outlineLevel="0" collapsed="false">
      <c r="A205" s="62" t="n">
        <f aca="false">A204+1</f>
        <v>198</v>
      </c>
      <c r="B205" s="63" t="str">
        <f aca="false">VLOOKUP(A205,BD_ORDENES!A:BG,12,FALSE())</f>
        <v>__export__.product_product_333512_6cd223c9</v>
      </c>
      <c r="C205" s="64" t="n">
        <v>198</v>
      </c>
      <c r="D205" s="65" t="str">
        <f aca="false">VLOOKUP(A205,BD_ORDENES!A:BE,10,0)</f>
        <v>TIENDA GALERIAS</v>
      </c>
      <c r="E205" s="66" t="str">
        <f aca="false">VLOOKUP(A205,BD_ORDENES!A:BG,4,FALSE())</f>
        <v>MB763</v>
      </c>
      <c r="F205" s="66" t="str">
        <f aca="false">VLOOKUP(A205,BD_ORDENES!A:BE,56,FALSE())</f>
        <v>S269162</v>
      </c>
      <c r="G205" s="67" t="str">
        <f aca="false">VLOOKUP(A205,BD_ORDENES!A:BE,13,FALSE())</f>
        <v>SILLA NOTO DENVER NEGRO (MATIZ CAOBA)</v>
      </c>
      <c r="H205" s="68" t="str">
        <f aca="false">VLOOKUP(A205,BD_ORDENES!A:BE,17,FALSE())</f>
        <v>SILLA</v>
      </c>
      <c r="I205" s="68" t="str">
        <f aca="false">VLOOKUP(A205,BD_ORDENES!A:BE,18,FALSE())</f>
        <v>NOTO</v>
      </c>
      <c r="J205" s="68" t="str">
        <f aca="false">VLOOKUP(A205,BD_ORDENES!A:BE,19,FALSE())</f>
        <v>DENVER</v>
      </c>
      <c r="K205" s="68" t="str">
        <f aca="false">VLOOKUP(A205,BD_ORDENES!A:BE,20,FALSE())</f>
        <v>NEGRO</v>
      </c>
      <c r="L205" s="68" t="str">
        <f aca="false">VLOOKUP(A205,BD_ORDENES!A:BE,21,FALSE())</f>
        <v>MATIZ-CAOBA</v>
      </c>
      <c r="M205" s="69" t="n">
        <f aca="false">VLOOKUP(A205,BD_ORDENES!A:BE,14,FALSE())</f>
        <v>4</v>
      </c>
      <c r="N205" s="68" t="n">
        <f aca="false">VLOOKUP(A205,BD_ORDENES!A:BE,15,FALSE())</f>
        <v>0</v>
      </c>
      <c r="O205" s="68" t="str">
        <f aca="false">VLOOKUP(A205,BD_ORDENES!A:BE,33,FALSE())</f>
        <v>TRANSPORTADORA</v>
      </c>
      <c r="P205" s="68" t="n">
        <f aca="false">VLOOKUP(A205,BD_ORDENES!A:BE,23,FALSE())</f>
        <v>0</v>
      </c>
      <c r="Q205" s="68" t="str">
        <f aca="false">VLOOKUP(A205,BD_ORDENES!A:BE,52,FALSE())</f>
        <v>Obtener Bajo Pedido (MTO)</v>
      </c>
      <c r="R205" s="68" t="str">
        <f aca="false">VLOOKUP(A205,BD_ORDENES!A:BE,25,FALSE())</f>
        <v>BOGOTA</v>
      </c>
      <c r="S205" s="68" t="str">
        <f aca="false">VLOOKUP(A205,BD_ORDENES!A:BE,22,FALSE())</f>
        <v>NATALIA ROMERO RAMIREZ</v>
      </c>
      <c r="T205" s="65" t="str">
        <f aca="false">VLOOKUP(A205,BD_ORDENES!A:BE,55,FALSE())</f>
        <v>PRODUCCION</v>
      </c>
      <c r="U205" s="68" t="str">
        <f aca="false">VLOOKUP(A205,BD_ORDENES!A:BE,57,FALSE())</f>
        <v>1 ENVIA</v>
      </c>
      <c r="V205" s="70"/>
      <c r="W205" s="71"/>
    </row>
    <row r="206" s="72" customFormat="true" ht="98.25" hidden="false" customHeight="true" outlineLevel="0" collapsed="false">
      <c r="A206" s="62" t="n">
        <f aca="false">A205+1</f>
        <v>199</v>
      </c>
      <c r="B206" s="63" t="str">
        <f aca="false">VLOOKUP(A206,BD_ORDENES!A:BG,12,FALSE())</f>
        <v>__export__.product_product_296967_56c6d251</v>
      </c>
      <c r="C206" s="64" t="n">
        <v>199</v>
      </c>
      <c r="D206" s="65" t="str">
        <f aca="false">VLOOKUP(A206,BD_ORDENES!A:BE,10,0)</f>
        <v>FB</v>
      </c>
      <c r="E206" s="66" t="str">
        <f aca="false">VLOOKUP(A206,BD_ORDENES!A:BG,4,FALSE())</f>
        <v>NG3500</v>
      </c>
      <c r="F206" s="66" t="str">
        <f aca="false">VLOOKUP(A206,BD_ORDENES!A:BE,56,FALSE())</f>
        <v>S269159</v>
      </c>
      <c r="G206" s="67" t="str">
        <f aca="false">VLOOKUP(A206,BD_ORDENES!A:BE,13,FALSE())</f>
        <v>MESA VORU MADERA JG4 BLANCO (MATIZ NATURAL)</v>
      </c>
      <c r="H206" s="68" t="str">
        <f aca="false">VLOOKUP(A206,BD_ORDENES!A:BE,17,FALSE())</f>
        <v>MESA</v>
      </c>
      <c r="I206" s="68" t="str">
        <f aca="false">VLOOKUP(A206,BD_ORDENES!A:BE,18,FALSE())</f>
        <v>VORU-MADERA-JG4</v>
      </c>
      <c r="J206" s="68" t="n">
        <f aca="false">VLOOKUP(A206,BD_ORDENES!A:BE,19,FALSE())</f>
        <v>0</v>
      </c>
      <c r="K206" s="68" t="str">
        <f aca="false">VLOOKUP(A206,BD_ORDENES!A:BE,20,FALSE())</f>
        <v>BLANCO</v>
      </c>
      <c r="L206" s="68" t="str">
        <f aca="false">VLOOKUP(A206,BD_ORDENES!A:BE,21,FALSE())</f>
        <v>MATIZ-NATURAL</v>
      </c>
      <c r="M206" s="69" t="n">
        <f aca="false">VLOOKUP(A206,BD_ORDENES!A:BE,14,FALSE())</f>
        <v>1</v>
      </c>
      <c r="N206" s="68" t="n">
        <f aca="false">VLOOKUP(A206,BD_ORDENES!A:BE,15,FALSE())</f>
        <v>0</v>
      </c>
      <c r="O206" s="68" t="str">
        <f aca="false">VLOOKUP(A206,BD_ORDENES!A:BE,33,FALSE())</f>
        <v>CONTRA ENTREGA SALDO</v>
      </c>
      <c r="P206" s="68" t="n">
        <f aca="false">VLOOKUP(A206,BD_ORDENES!A:BE,23,FALSE())</f>
        <v>0</v>
      </c>
      <c r="Q206" s="68" t="str">
        <f aca="false">VLOOKUP(A206,BD_ORDENES!A:BE,52,FALSE())</f>
        <v>Obtener Bajo Pedido (MTO)</v>
      </c>
      <c r="R206" s="68" t="str">
        <f aca="false">VLOOKUP(A206,BD_ORDENES!A:BE,25,FALSE())</f>
        <v>TUNJA</v>
      </c>
      <c r="S206" s="68" t="str">
        <f aca="false">VLOOKUP(A206,BD_ORDENES!A:BE,22,FALSE())</f>
        <v>ANAMARIA ROJAS GONZALEZ</v>
      </c>
      <c r="T206" s="65" t="str">
        <f aca="false">VLOOKUP(A206,BD_ORDENES!A:BE,55,FALSE())</f>
        <v>BODEGA LISTO</v>
      </c>
      <c r="U206" s="68" t="str">
        <f aca="false">VLOOKUP(A206,BD_ORDENES!A:BE,57,FALSE())</f>
        <v>0 BODEGA</v>
      </c>
      <c r="V206" s="70"/>
      <c r="W206" s="71"/>
    </row>
    <row r="207" s="72" customFormat="true" ht="98.25" hidden="false" customHeight="true" outlineLevel="0" collapsed="false">
      <c r="A207" s="62" t="n">
        <f aca="false">A206+1</f>
        <v>200</v>
      </c>
      <c r="B207" s="63" t="str">
        <f aca="false">VLOOKUP(A207,BD_ORDENES!A:BG,12,FALSE())</f>
        <v>__export__.product_product_322511_cf721947</v>
      </c>
      <c r="C207" s="64" t="n">
        <v>200</v>
      </c>
      <c r="D207" s="65" t="str">
        <f aca="false">VLOOKUP(A207,BD_ORDENES!A:BE,10,0)</f>
        <v>FB</v>
      </c>
      <c r="E207" s="66" t="str">
        <f aca="false">VLOOKUP(A207,BD_ORDENES!A:BG,4,FALSE())</f>
        <v>NG3500</v>
      </c>
      <c r="F207" s="66" t="str">
        <f aca="false">VLOOKUP(A207,BD_ORDENES!A:BE,56,FALSE())</f>
        <v>S269159</v>
      </c>
      <c r="G207" s="67" t="str">
        <f aca="false">VLOOKUP(A207,BD_ORDENES!A:BE,13,FALSE())</f>
        <v>SILLA BANFIELD BLANCO (MATIZ NATURAL)</v>
      </c>
      <c r="H207" s="68" t="str">
        <f aca="false">VLOOKUP(A207,BD_ORDENES!A:BE,17,FALSE())</f>
        <v>SILLA</v>
      </c>
      <c r="I207" s="68" t="str">
        <f aca="false">VLOOKUP(A207,BD_ORDENES!A:BE,18,FALSE())</f>
        <v>BANFIELD</v>
      </c>
      <c r="J207" s="68" t="n">
        <f aca="false">VLOOKUP(A207,BD_ORDENES!A:BE,19,FALSE())</f>
        <v>0</v>
      </c>
      <c r="K207" s="68" t="str">
        <f aca="false">VLOOKUP(A207,BD_ORDENES!A:BE,20,FALSE())</f>
        <v>BLANCO</v>
      </c>
      <c r="L207" s="68" t="str">
        <f aca="false">VLOOKUP(A207,BD_ORDENES!A:BE,21,FALSE())</f>
        <v>MATIZ-NATURAL</v>
      </c>
      <c r="M207" s="69" t="n">
        <f aca="false">VLOOKUP(A207,BD_ORDENES!A:BE,14,FALSE())</f>
        <v>4</v>
      </c>
      <c r="N207" s="68" t="n">
        <f aca="false">VLOOKUP(A207,BD_ORDENES!A:BE,15,FALSE())</f>
        <v>0</v>
      </c>
      <c r="O207" s="68" t="str">
        <f aca="false">VLOOKUP(A207,BD_ORDENES!A:BE,33,FALSE())</f>
        <v>CONTRA ENTREGA SALDO</v>
      </c>
      <c r="P207" s="68" t="n">
        <f aca="false">VLOOKUP(A207,BD_ORDENES!A:BE,23,FALSE())</f>
        <v>0</v>
      </c>
      <c r="Q207" s="68" t="str">
        <f aca="false">VLOOKUP(A207,BD_ORDENES!A:BE,52,FALSE())</f>
        <v>Obtener Bajo Pedido (MTO)</v>
      </c>
      <c r="R207" s="68" t="str">
        <f aca="false">VLOOKUP(A207,BD_ORDENES!A:BE,25,FALSE())</f>
        <v>TUNJA</v>
      </c>
      <c r="S207" s="68" t="str">
        <f aca="false">VLOOKUP(A207,BD_ORDENES!A:BE,22,FALSE())</f>
        <v>ANAMARIA ROJAS GONZALEZ</v>
      </c>
      <c r="T207" s="65" t="str">
        <f aca="false">VLOOKUP(A207,BD_ORDENES!A:BE,55,FALSE())</f>
        <v>BODEGA LISTO</v>
      </c>
      <c r="U207" s="68" t="str">
        <f aca="false">VLOOKUP(A207,BD_ORDENES!A:BE,57,FALSE())</f>
        <v>0 BODEGA</v>
      </c>
      <c r="V207" s="70"/>
      <c r="W207" s="71"/>
    </row>
    <row r="208" s="72" customFormat="true" ht="98.25" hidden="false" customHeight="true" outlineLevel="0" collapsed="false">
      <c r="A208" s="62" t="n">
        <f aca="false">A207+1</f>
        <v>201</v>
      </c>
      <c r="B208" s="63" t="str">
        <f aca="false">VLOOKUP(A208,BD_ORDENES!A:BG,12,FALSE())</f>
        <v>__export__.product_product_316818_393bfe88</v>
      </c>
      <c r="C208" s="64" t="n">
        <v>201</v>
      </c>
      <c r="D208" s="65" t="str">
        <f aca="false">VLOOKUP(A208,BD_ORDENES!A:BE,10,0)</f>
        <v>FB</v>
      </c>
      <c r="E208" s="66" t="str">
        <f aca="false">VLOOKUP(A208,BD_ORDENES!A:BG,4,FALSE())</f>
        <v>NG3500</v>
      </c>
      <c r="F208" s="66" t="str">
        <f aca="false">VLOOKUP(A208,BD_ORDENES!A:BE,56,FALSE())</f>
        <v>S269159</v>
      </c>
      <c r="G208" s="67" t="str">
        <f aca="false">VLOOKUP(A208,BD_ORDENES!A:BE,13,FALSE())</f>
        <v>CAMA VICTORIA SEMIDOBLE DENVER PLATA (MATIZ NATURAL)</v>
      </c>
      <c r="H208" s="68" t="str">
        <f aca="false">VLOOKUP(A208,BD_ORDENES!A:BE,17,FALSE())</f>
        <v>CAMA</v>
      </c>
      <c r="I208" s="68" t="str">
        <f aca="false">VLOOKUP(A208,BD_ORDENES!A:BE,18,FALSE())</f>
        <v>VICTORIA-SEMIDOBLE</v>
      </c>
      <c r="J208" s="68" t="str">
        <f aca="false">VLOOKUP(A208,BD_ORDENES!A:BE,19,FALSE())</f>
        <v>DENVER</v>
      </c>
      <c r="K208" s="68" t="str">
        <f aca="false">VLOOKUP(A208,BD_ORDENES!A:BE,20,FALSE())</f>
        <v>PLATA</v>
      </c>
      <c r="L208" s="68" t="str">
        <f aca="false">VLOOKUP(A208,BD_ORDENES!A:BE,21,FALSE())</f>
        <v>MATIZ-NATURAL</v>
      </c>
      <c r="M208" s="69" t="n">
        <f aca="false">VLOOKUP(A208,BD_ORDENES!A:BE,14,FALSE())</f>
        <v>1</v>
      </c>
      <c r="N208" s="68" t="n">
        <f aca="false">VLOOKUP(A208,BD_ORDENES!A:BE,15,FALSE())</f>
        <v>0</v>
      </c>
      <c r="O208" s="68" t="str">
        <f aca="false">VLOOKUP(A208,BD_ORDENES!A:BE,33,FALSE())</f>
        <v>CONTRA ENTREGA SALDO</v>
      </c>
      <c r="P208" s="68" t="n">
        <f aca="false">VLOOKUP(A208,BD_ORDENES!A:BE,23,FALSE())</f>
        <v>0</v>
      </c>
      <c r="Q208" s="68" t="str">
        <f aca="false">VLOOKUP(A208,BD_ORDENES!A:BE,52,FALSE())</f>
        <v>Obtener Bajo Pedido (MTO)</v>
      </c>
      <c r="R208" s="68" t="str">
        <f aca="false">VLOOKUP(A208,BD_ORDENES!A:BE,25,FALSE())</f>
        <v>TUNJA</v>
      </c>
      <c r="S208" s="68" t="str">
        <f aca="false">VLOOKUP(A208,BD_ORDENES!A:BE,22,FALSE())</f>
        <v>ANAMARIA ROJAS GONZALEZ</v>
      </c>
      <c r="T208" s="65" t="str">
        <f aca="false">VLOOKUP(A208,BD_ORDENES!A:BE,55,FALSE())</f>
        <v>BODEGA LISTO</v>
      </c>
      <c r="U208" s="68" t="str">
        <f aca="false">VLOOKUP(A208,BD_ORDENES!A:BE,57,FALSE())</f>
        <v>0 BODEGA</v>
      </c>
      <c r="V208" s="70"/>
      <c r="W208" s="71"/>
    </row>
    <row r="209" s="72" customFormat="true" ht="98.25" hidden="false" customHeight="true" outlineLevel="0" collapsed="false">
      <c r="A209" s="62" t="n">
        <f aca="false">A208+1</f>
        <v>202</v>
      </c>
      <c r="B209" s="63" t="str">
        <f aca="false">VLOOKUP(A209,BD_ORDENES!A:BG,12,FALSE())</f>
        <v>__export__.product_product_278718_37c08b6e</v>
      </c>
      <c r="C209" s="64" t="n">
        <v>202</v>
      </c>
      <c r="D209" s="65" t="str">
        <f aca="false">VLOOKUP(A209,BD_ORDENES!A:BE,10,0)</f>
        <v>VF</v>
      </c>
      <c r="E209" s="66" t="str">
        <f aca="false">VLOOKUP(A209,BD_ORDENES!A:BG,4,FALSE())</f>
        <v>LN658</v>
      </c>
      <c r="F209" s="66" t="str">
        <f aca="false">VLOOKUP(A209,BD_ORDENES!A:BE,56,FALSE())</f>
        <v>S269158</v>
      </c>
      <c r="G209" s="67" t="str">
        <f aca="false">VLOOKUP(A209,BD_ORDENES!A:BE,13,FALSE())</f>
        <v>SOFA MUNICH DORSEY BEIGE (MATIZ CARAMELO)</v>
      </c>
      <c r="H209" s="68" t="str">
        <f aca="false">VLOOKUP(A209,BD_ORDENES!A:BE,17,FALSE())</f>
        <v>SOFA</v>
      </c>
      <c r="I209" s="68" t="str">
        <f aca="false">VLOOKUP(A209,BD_ORDENES!A:BE,18,FALSE())</f>
        <v>MUNICH</v>
      </c>
      <c r="J209" s="68" t="str">
        <f aca="false">VLOOKUP(A209,BD_ORDENES!A:BE,19,FALSE())</f>
        <v>DORSEY</v>
      </c>
      <c r="K209" s="68" t="str">
        <f aca="false">VLOOKUP(A209,BD_ORDENES!A:BE,20,FALSE())</f>
        <v>BEIGE</v>
      </c>
      <c r="L209" s="68" t="str">
        <f aca="false">VLOOKUP(A209,BD_ORDENES!A:BE,21,FALSE())</f>
        <v>MATIZ-CARAMELO</v>
      </c>
      <c r="M209" s="69" t="n">
        <f aca="false">VLOOKUP(A209,BD_ORDENES!A:BE,14,FALSE())</f>
        <v>1</v>
      </c>
      <c r="N209" s="68" t="n">
        <f aca="false">VLOOKUP(A209,BD_ORDENES!A:BE,15,FALSE())</f>
        <v>0</v>
      </c>
      <c r="O209" s="68" t="str">
        <f aca="false">VLOOKUP(A209,BD_ORDENES!A:BE,33,FALSE())</f>
        <v>RECOGE EN FABRICA</v>
      </c>
      <c r="P209" s="68" t="n">
        <f aca="false">VLOOKUP(A209,BD_ORDENES!A:BE,23,FALSE())</f>
        <v>0</v>
      </c>
      <c r="Q209" s="68" t="str">
        <f aca="false">VLOOKUP(A209,BD_ORDENES!A:BE,52,FALSE())</f>
        <v>Obtener Bajo Pedido (MTO)</v>
      </c>
      <c r="R209" s="68" t="str">
        <f aca="false">VLOOKUP(A209,BD_ORDENES!A:BE,25,FALSE())</f>
        <v>tunja</v>
      </c>
      <c r="S209" s="68" t="str">
        <f aca="false">VLOOKUP(A209,BD_ORDENES!A:BE,22,FALSE())</f>
        <v>ALFONSO QUIROGA ESPITIA</v>
      </c>
      <c r="T209" s="65" t="str">
        <f aca="false">VLOOKUP(A209,BD_ORDENES!A:BE,55,FALSE())</f>
        <v>BODEGA LISTO</v>
      </c>
      <c r="U209" s="68" t="str">
        <f aca="false">VLOOKUP(A209,BD_ORDENES!A:BE,57,FALSE())</f>
        <v>0 BODEGA</v>
      </c>
      <c r="V209" s="70"/>
      <c r="W209" s="71"/>
    </row>
    <row r="210" s="72" customFormat="true" ht="98.25" hidden="false" customHeight="true" outlineLevel="0" collapsed="false">
      <c r="A210" s="62" t="n">
        <f aca="false">A209+1</f>
        <v>203</v>
      </c>
      <c r="B210" s="63" t="str">
        <f aca="false">VLOOKUP(A210,BD_ORDENES!A:BG,12,FALSE())</f>
        <v>__export__.product_product_187101_a12a66eb</v>
      </c>
      <c r="C210" s="64" t="n">
        <v>203</v>
      </c>
      <c r="D210" s="65" t="str">
        <f aca="false">VLOOKUP(A210,BD_ORDENES!A:BE,10,0)</f>
        <v>VF</v>
      </c>
      <c r="E210" s="66" t="str">
        <f aca="false">VLOOKUP(A210,BD_ORDENES!A:BG,4,FALSE())</f>
        <v>LN658</v>
      </c>
      <c r="F210" s="66" t="str">
        <f aca="false">VLOOKUP(A210,BD_ORDENES!A:BE,56,FALSE())</f>
        <v>S269158</v>
      </c>
      <c r="G210" s="67" t="str">
        <f aca="false">VLOOKUP(A210,BD_ORDENES!A:BE,13,FALSE())</f>
        <v>MESA DE CENTRO NOVA BLANCO (MATIZ CARAMELO)</v>
      </c>
      <c r="H210" s="68" t="str">
        <f aca="false">VLOOKUP(A210,BD_ORDENES!A:BE,17,FALSE())</f>
        <v>MESA-CENTRO</v>
      </c>
      <c r="I210" s="68" t="str">
        <f aca="false">VLOOKUP(A210,BD_ORDENES!A:BE,18,FALSE())</f>
        <v>NOVA</v>
      </c>
      <c r="J210" s="68" t="n">
        <f aca="false">VLOOKUP(A210,BD_ORDENES!A:BE,19,FALSE())</f>
        <v>0</v>
      </c>
      <c r="K210" s="68" t="str">
        <f aca="false">VLOOKUP(A210,BD_ORDENES!A:BE,20,FALSE())</f>
        <v>BLANCO</v>
      </c>
      <c r="L210" s="68" t="str">
        <f aca="false">VLOOKUP(A210,BD_ORDENES!A:BE,21,FALSE())</f>
        <v>MATIZ-CARAMELO</v>
      </c>
      <c r="M210" s="69" t="n">
        <f aca="false">VLOOKUP(A210,BD_ORDENES!A:BE,14,FALSE())</f>
        <v>1</v>
      </c>
      <c r="N210" s="68" t="n">
        <f aca="false">VLOOKUP(A210,BD_ORDENES!A:BE,15,FALSE())</f>
        <v>0</v>
      </c>
      <c r="O210" s="68" t="str">
        <f aca="false">VLOOKUP(A210,BD_ORDENES!A:BE,33,FALSE())</f>
        <v>RECOGE EN FABRICA</v>
      </c>
      <c r="P210" s="68" t="n">
        <f aca="false">VLOOKUP(A210,BD_ORDENES!A:BE,23,FALSE())</f>
        <v>0</v>
      </c>
      <c r="Q210" s="68" t="str">
        <f aca="false">VLOOKUP(A210,BD_ORDENES!A:BE,52,FALSE())</f>
        <v>Obtener Bajo Pedido (MTO)</v>
      </c>
      <c r="R210" s="68" t="str">
        <f aca="false">VLOOKUP(A210,BD_ORDENES!A:BE,25,FALSE())</f>
        <v>tunja</v>
      </c>
      <c r="S210" s="68" t="str">
        <f aca="false">VLOOKUP(A210,BD_ORDENES!A:BE,22,FALSE())</f>
        <v>ALFONSO QUIROGA ESPITIA</v>
      </c>
      <c r="T210" s="65" t="str">
        <f aca="false">VLOOKUP(A210,BD_ORDENES!A:BE,55,FALSE())</f>
        <v>BODEGA LISTO</v>
      </c>
      <c r="U210" s="68" t="str">
        <f aca="false">VLOOKUP(A210,BD_ORDENES!A:BE,57,FALSE())</f>
        <v>0 BODEGA</v>
      </c>
      <c r="V210" s="70"/>
      <c r="W210" s="71"/>
    </row>
    <row r="211" s="72" customFormat="true" ht="98.25" hidden="false" customHeight="true" outlineLevel="0" collapsed="false">
      <c r="A211" s="62" t="n">
        <f aca="false">A210+1</f>
        <v>204</v>
      </c>
      <c r="B211" s="63" t="str">
        <f aca="false">VLOOKUP(A211,BD_ORDENES!A:BG,12,FALSE())</f>
        <v>__export__.product_product_334614_60a72c9e</v>
      </c>
      <c r="C211" s="64" t="n">
        <v>204</v>
      </c>
      <c r="D211" s="65" t="str">
        <f aca="false">VLOOKUP(A211,BD_ORDENES!A:BE,10,0)</f>
        <v>VF</v>
      </c>
      <c r="E211" s="66" t="str">
        <f aca="false">VLOOKUP(A211,BD_ORDENES!A:BG,4,FALSE())</f>
        <v>LN658</v>
      </c>
      <c r="F211" s="66" t="str">
        <f aca="false">VLOOKUP(A211,BD_ORDENES!A:BE,56,FALSE())</f>
        <v>S269158</v>
      </c>
      <c r="G211" s="67" t="str">
        <f aca="false">VLOOKUP(A211,BD_ORDENES!A:BE,13,FALSE())</f>
        <v>POLTRONA MONTREAL DORSEY MOSTAZA (MATIZ CARAMELO)</v>
      </c>
      <c r="H211" s="68" t="str">
        <f aca="false">VLOOKUP(A211,BD_ORDENES!A:BE,17,FALSE())</f>
        <v>POLTRONA</v>
      </c>
      <c r="I211" s="68" t="str">
        <f aca="false">VLOOKUP(A211,BD_ORDENES!A:BE,18,FALSE())</f>
        <v>MONTREAL</v>
      </c>
      <c r="J211" s="68" t="str">
        <f aca="false">VLOOKUP(A211,BD_ORDENES!A:BE,19,FALSE())</f>
        <v>DORSEY</v>
      </c>
      <c r="K211" s="68" t="str">
        <f aca="false">VLOOKUP(A211,BD_ORDENES!A:BE,20,FALSE())</f>
        <v>MOSTAZA</v>
      </c>
      <c r="L211" s="68" t="str">
        <f aca="false">VLOOKUP(A211,BD_ORDENES!A:BE,21,FALSE())</f>
        <v>MATIZ-CARAMELO</v>
      </c>
      <c r="M211" s="69" t="n">
        <f aca="false">VLOOKUP(A211,BD_ORDENES!A:BE,14,FALSE())</f>
        <v>2</v>
      </c>
      <c r="N211" s="68" t="n">
        <f aca="false">VLOOKUP(A211,BD_ORDENES!A:BE,15,FALSE())</f>
        <v>0</v>
      </c>
      <c r="O211" s="68" t="str">
        <f aca="false">VLOOKUP(A211,BD_ORDENES!A:BE,33,FALSE())</f>
        <v>RECOGE EN FABRICA</v>
      </c>
      <c r="P211" s="68" t="n">
        <f aca="false">VLOOKUP(A211,BD_ORDENES!A:BE,23,FALSE())</f>
        <v>0</v>
      </c>
      <c r="Q211" s="68" t="str">
        <f aca="false">VLOOKUP(A211,BD_ORDENES!A:BE,52,FALSE())</f>
        <v>Obtener Bajo Pedido (MTO)</v>
      </c>
      <c r="R211" s="68" t="str">
        <f aca="false">VLOOKUP(A211,BD_ORDENES!A:BE,25,FALSE())</f>
        <v>tunja</v>
      </c>
      <c r="S211" s="68" t="str">
        <f aca="false">VLOOKUP(A211,BD_ORDENES!A:BE,22,FALSE())</f>
        <v>ALFONSO QUIROGA ESPITIA</v>
      </c>
      <c r="T211" s="65" t="str">
        <f aca="false">VLOOKUP(A211,BD_ORDENES!A:BE,55,FALSE())</f>
        <v>BODEGA LISTO</v>
      </c>
      <c r="U211" s="68" t="str">
        <f aca="false">VLOOKUP(A211,BD_ORDENES!A:BE,57,FALSE())</f>
        <v>0 BODEGA</v>
      </c>
      <c r="V211" s="70"/>
      <c r="W211" s="71"/>
    </row>
    <row r="212" s="72" customFormat="true" ht="98.25" hidden="false" customHeight="true" outlineLevel="0" collapsed="false">
      <c r="A212" s="62" t="n">
        <f aca="false">A211+1</f>
        <v>205</v>
      </c>
      <c r="B212" s="63" t="str">
        <f aca="false">VLOOKUP(A212,BD_ORDENES!A:BG,12,FALSE())</f>
        <v>__export__.product_product_334673_e23c0701</v>
      </c>
      <c r="C212" s="64" t="n">
        <v>205</v>
      </c>
      <c r="D212" s="65" t="str">
        <f aca="false">VLOOKUP(A212,BD_ORDENES!A:BE,10,0)</f>
        <v>VF</v>
      </c>
      <c r="E212" s="66" t="str">
        <f aca="false">VLOOKUP(A212,BD_ORDENES!A:BG,4,FALSE())</f>
        <v>LN658</v>
      </c>
      <c r="F212" s="66" t="str">
        <f aca="false">VLOOKUP(A212,BD_ORDENES!A:BE,56,FALSE())</f>
        <v>S269158</v>
      </c>
      <c r="G212" s="67" t="str">
        <f aca="false">VLOOKUP(A212,BD_ORDENES!A:BE,13,FALSE())</f>
        <v>POLTRONA MONTREAL DORSEY ROSA (MATIZ CARAMELO)</v>
      </c>
      <c r="H212" s="68" t="str">
        <f aca="false">VLOOKUP(A212,BD_ORDENES!A:BE,17,FALSE())</f>
        <v>POLTRONA</v>
      </c>
      <c r="I212" s="68" t="str">
        <f aca="false">VLOOKUP(A212,BD_ORDENES!A:BE,18,FALSE())</f>
        <v>MONTREAL</v>
      </c>
      <c r="J212" s="68" t="str">
        <f aca="false">VLOOKUP(A212,BD_ORDENES!A:BE,19,FALSE())</f>
        <v>DORSEY</v>
      </c>
      <c r="K212" s="68" t="str">
        <f aca="false">VLOOKUP(A212,BD_ORDENES!A:BE,20,FALSE())</f>
        <v>ROSA</v>
      </c>
      <c r="L212" s="68" t="str">
        <f aca="false">VLOOKUP(A212,BD_ORDENES!A:BE,21,FALSE())</f>
        <v>MATIZ-CARAMELO</v>
      </c>
      <c r="M212" s="69" t="n">
        <f aca="false">VLOOKUP(A212,BD_ORDENES!A:BE,14,FALSE())</f>
        <v>1</v>
      </c>
      <c r="N212" s="68" t="n">
        <f aca="false">VLOOKUP(A212,BD_ORDENES!A:BE,15,FALSE())</f>
        <v>0</v>
      </c>
      <c r="O212" s="68" t="str">
        <f aca="false">VLOOKUP(A212,BD_ORDENES!A:BE,33,FALSE())</f>
        <v>RECOGE EN FABRICA</v>
      </c>
      <c r="P212" s="68" t="n">
        <f aca="false">VLOOKUP(A212,BD_ORDENES!A:BE,23,FALSE())</f>
        <v>0</v>
      </c>
      <c r="Q212" s="68" t="str">
        <f aca="false">VLOOKUP(A212,BD_ORDENES!A:BE,52,FALSE())</f>
        <v>Obtener Bajo Pedido (MTO)</v>
      </c>
      <c r="R212" s="68" t="str">
        <f aca="false">VLOOKUP(A212,BD_ORDENES!A:BE,25,FALSE())</f>
        <v>tunja</v>
      </c>
      <c r="S212" s="68" t="str">
        <f aca="false">VLOOKUP(A212,BD_ORDENES!A:BE,22,FALSE())</f>
        <v>ALFONSO QUIROGA ESPITIA</v>
      </c>
      <c r="T212" s="65" t="str">
        <f aca="false">VLOOKUP(A212,BD_ORDENES!A:BE,55,FALSE())</f>
        <v>BODEGA LISTO</v>
      </c>
      <c r="U212" s="68" t="str">
        <f aca="false">VLOOKUP(A212,BD_ORDENES!A:BE,57,FALSE())</f>
        <v>0 BODEGA</v>
      </c>
      <c r="V212" s="70"/>
      <c r="W212" s="71"/>
    </row>
    <row r="213" s="72" customFormat="true" ht="98.25" hidden="false" customHeight="true" outlineLevel="0" collapsed="false">
      <c r="A213" s="62" t="n">
        <f aca="false">A212+1</f>
        <v>206</v>
      </c>
      <c r="B213" s="63" t="str">
        <f aca="false">VLOOKUP(A213,BD_ORDENES!A:BG,12,FALSE())</f>
        <v>__export__.product_product_194263_410fa75f</v>
      </c>
      <c r="C213" s="64" t="n">
        <v>206</v>
      </c>
      <c r="D213" s="65" t="str">
        <f aca="false">VLOOKUP(A213,BD_ORDENES!A:BE,10,0)</f>
        <v>GARANTIA</v>
      </c>
      <c r="E213" s="66" t="str">
        <f aca="false">VLOOKUP(A213,BD_ORDENES!A:BG,4,FALSE())</f>
        <v>CM351-FB</v>
      </c>
      <c r="F213" s="66" t="str">
        <f aca="false">VLOOKUP(A213,BD_ORDENES!A:BE,56,FALSE())</f>
        <v>S269148</v>
      </c>
      <c r="G213" s="67" t="str">
        <f aca="false">VLOOKUP(A213,BD_ORDENES!A:BE,13,FALSE())</f>
        <v>SOFA MUNICH DICOSTA ACERO (MATIZ NATURAL)</v>
      </c>
      <c r="H213" s="68" t="str">
        <f aca="false">VLOOKUP(A213,BD_ORDENES!A:BE,17,FALSE())</f>
        <v>SOFA</v>
      </c>
      <c r="I213" s="68" t="str">
        <f aca="false">VLOOKUP(A213,BD_ORDENES!A:BE,18,FALSE())</f>
        <v>MUNICH</v>
      </c>
      <c r="J213" s="68" t="str">
        <f aca="false">VLOOKUP(A213,BD_ORDENES!A:BE,19,FALSE())</f>
        <v>DICOSTA</v>
      </c>
      <c r="K213" s="68" t="str">
        <f aca="false">VLOOKUP(A213,BD_ORDENES!A:BE,20,FALSE())</f>
        <v>ACERO</v>
      </c>
      <c r="L213" s="68" t="str">
        <f aca="false">VLOOKUP(A213,BD_ORDENES!A:BE,21,FALSE())</f>
        <v>MATIZ-NATURAL</v>
      </c>
      <c r="M213" s="69" t="n">
        <f aca="false">VLOOKUP(A213,BD_ORDENES!A:BE,14,FALSE())</f>
        <v>1</v>
      </c>
      <c r="N213" s="68" t="n">
        <f aca="false">VLOOKUP(A213,BD_ORDENES!A:BE,15,FALSE())</f>
        <v>0</v>
      </c>
      <c r="O213" s="68" t="str">
        <f aca="false">VLOOKUP(A213,BD_ORDENES!A:BE,33,FALSE())</f>
        <v>TRANSPORTADORA</v>
      </c>
      <c r="P213" s="68" t="n">
        <f aca="false">VLOOKUP(A213,BD_ORDENES!A:BE,23,FALSE())</f>
        <v>0</v>
      </c>
      <c r="Q213" s="68" t="str">
        <f aca="false">VLOOKUP(A213,BD_ORDENES!A:BE,52,FALSE())</f>
        <v>Obtener Bajo Pedido (MTO)</v>
      </c>
      <c r="R213" s="68" t="str">
        <f aca="false">VLOOKUP(A213,BD_ORDENES!A:BE,25,FALSE())</f>
        <v>MEDELLIN</v>
      </c>
      <c r="S213" s="68" t="str">
        <f aca="false">VLOOKUP(A213,BD_ORDENES!A:BE,22,FALSE())</f>
        <v>ANDREA SANDOVAL</v>
      </c>
      <c r="T213" s="65" t="str">
        <f aca="false">VLOOKUP(A213,BD_ORDENES!A:BE,55,FALSE())</f>
        <v>PRODUCCION</v>
      </c>
      <c r="U213" s="68" t="str">
        <f aca="false">VLOOKUP(A213,BD_ORDENES!A:BE,57,FALSE())</f>
        <v>1 ENVIA</v>
      </c>
      <c r="V213" s="70"/>
      <c r="W213" s="71"/>
    </row>
    <row r="214" s="72" customFormat="true" ht="98.25" hidden="false" customHeight="true" outlineLevel="0" collapsed="false">
      <c r="A214" s="62" t="n">
        <f aca="false">A213+1</f>
        <v>207</v>
      </c>
      <c r="B214" s="63" t="str">
        <f aca="false">VLOOKUP(A214,BD_ORDENES!A:BG,12,FALSE())</f>
        <v>__export__.product_product_316240_9895f29b</v>
      </c>
      <c r="C214" s="64" t="n">
        <v>207</v>
      </c>
      <c r="D214" s="65" t="str">
        <f aca="false">VLOOKUP(A214,BD_ORDENES!A:BE,10,0)</f>
        <v>VF</v>
      </c>
      <c r="E214" s="66" t="str">
        <f aca="false">VLOOKUP(A214,BD_ORDENES!A:BG,4,FALSE())</f>
        <v>LN657</v>
      </c>
      <c r="F214" s="66" t="str">
        <f aca="false">VLOOKUP(A214,BD_ORDENES!A:BE,56,FALSE())</f>
        <v>S269123</v>
      </c>
      <c r="G214" s="67" t="str">
        <f aca="false">VLOOKUP(A214,BD_ORDENES!A:BE,13,FALSE())</f>
        <v>MESA LUGO MATIZ JG6 BLANCO (MATIZ CAOBA)</v>
      </c>
      <c r="H214" s="68" t="str">
        <f aca="false">VLOOKUP(A214,BD_ORDENES!A:BE,17,FALSE())</f>
        <v>MESA</v>
      </c>
      <c r="I214" s="68" t="str">
        <f aca="false">VLOOKUP(A214,BD_ORDENES!A:BE,18,FALSE())</f>
        <v>LUGO-MATIZ-JG6</v>
      </c>
      <c r="J214" s="68" t="n">
        <f aca="false">VLOOKUP(A214,BD_ORDENES!A:BE,19,FALSE())</f>
        <v>0</v>
      </c>
      <c r="K214" s="68" t="str">
        <f aca="false">VLOOKUP(A214,BD_ORDENES!A:BE,20,FALSE())</f>
        <v>BLANCO</v>
      </c>
      <c r="L214" s="68" t="str">
        <f aca="false">VLOOKUP(A214,BD_ORDENES!A:BE,21,FALSE())</f>
        <v>MATIZ-CAOBA</v>
      </c>
      <c r="M214" s="69" t="n">
        <f aca="false">VLOOKUP(A214,BD_ORDENES!A:BE,14,FALSE())</f>
        <v>1</v>
      </c>
      <c r="N214" s="68" t="n">
        <f aca="false">VLOOKUP(A214,BD_ORDENES!A:BE,15,FALSE())</f>
        <v>0</v>
      </c>
      <c r="O214" s="68" t="str">
        <f aca="false">VLOOKUP(A214,BD_ORDENES!A:BE,33,FALSE())</f>
        <v>CONTRA ENTREGA SALDO</v>
      </c>
      <c r="P214" s="68" t="n">
        <f aca="false">VLOOKUP(A214,BD_ORDENES!A:BE,23,FALSE())</f>
        <v>0</v>
      </c>
      <c r="Q214" s="68" t="str">
        <f aca="false">VLOOKUP(A214,BD_ORDENES!A:BE,52,FALSE())</f>
        <v>Obtener Bajo Pedido (MTO)</v>
      </c>
      <c r="R214" s="68" t="str">
        <f aca="false">VLOOKUP(A214,BD_ORDENES!A:BE,25,FALSE())</f>
        <v>TUNJA</v>
      </c>
      <c r="S214" s="68" t="str">
        <f aca="false">VLOOKUP(A214,BD_ORDENES!A:BE,22,FALSE())</f>
        <v>JUAN CAMILO ZAPATA SALAZAR</v>
      </c>
      <c r="T214" s="65" t="str">
        <f aca="false">VLOOKUP(A214,BD_ORDENES!A:BE,55,FALSE())</f>
        <v>BODEGA LISTO</v>
      </c>
      <c r="U214" s="68" t="str">
        <f aca="false">VLOOKUP(A214,BD_ORDENES!A:BE,57,FALSE())</f>
        <v>0 BODEGA</v>
      </c>
      <c r="V214" s="70"/>
      <c r="W214" s="71"/>
    </row>
    <row r="215" s="72" customFormat="true" ht="98.25" hidden="false" customHeight="true" outlineLevel="0" collapsed="false">
      <c r="A215" s="62" t="n">
        <f aca="false">A214+1</f>
        <v>208</v>
      </c>
      <c r="B215" s="63" t="str">
        <f aca="false">VLOOKUP(A215,BD_ORDENES!A:BG,12,FALSE())</f>
        <v>__export__.product_product_327029_fe1888cd</v>
      </c>
      <c r="C215" s="64" t="n">
        <v>208</v>
      </c>
      <c r="D215" s="65" t="str">
        <f aca="false">VLOOKUP(A215,BD_ORDENES!A:BE,10,0)</f>
        <v>VF</v>
      </c>
      <c r="E215" s="66" t="str">
        <f aca="false">VLOOKUP(A215,BD_ORDENES!A:BG,4,FALSE())</f>
        <v>LN657</v>
      </c>
      <c r="F215" s="66" t="str">
        <f aca="false">VLOOKUP(A215,BD_ORDENES!A:BE,56,FALSE())</f>
        <v>S269123</v>
      </c>
      <c r="G215" s="67" t="str">
        <f aca="false">VLOOKUP(A215,BD_ORDENES!A:BE,13,FALSE())</f>
        <v>SILLA LIVERPOOL SKY PLATA (MATIZ CAOBA)</v>
      </c>
      <c r="H215" s="68" t="str">
        <f aca="false">VLOOKUP(A215,BD_ORDENES!A:BE,17,FALSE())</f>
        <v>SILLA-MADERA</v>
      </c>
      <c r="I215" s="68" t="str">
        <f aca="false">VLOOKUP(A215,BD_ORDENES!A:BE,18,FALSE())</f>
        <v>LIVERPOOL</v>
      </c>
      <c r="J215" s="68" t="str">
        <f aca="false">VLOOKUP(A215,BD_ORDENES!A:BE,19,FALSE())</f>
        <v>SKY</v>
      </c>
      <c r="K215" s="68" t="str">
        <f aca="false">VLOOKUP(A215,BD_ORDENES!A:BE,20,FALSE())</f>
        <v>PLATA</v>
      </c>
      <c r="L215" s="68" t="str">
        <f aca="false">VLOOKUP(A215,BD_ORDENES!A:BE,21,FALSE())</f>
        <v>MATIZ-CAOBA</v>
      </c>
      <c r="M215" s="69" t="n">
        <f aca="false">VLOOKUP(A215,BD_ORDENES!A:BE,14,FALSE())</f>
        <v>6</v>
      </c>
      <c r="N215" s="68" t="n">
        <f aca="false">VLOOKUP(A215,BD_ORDENES!A:BE,15,FALSE())</f>
        <v>0</v>
      </c>
      <c r="O215" s="68" t="str">
        <f aca="false">VLOOKUP(A215,BD_ORDENES!A:BE,33,FALSE())</f>
        <v>CONTRA ENTREGA SALDO</v>
      </c>
      <c r="P215" s="68" t="n">
        <f aca="false">VLOOKUP(A215,BD_ORDENES!A:BE,23,FALSE())</f>
        <v>0</v>
      </c>
      <c r="Q215" s="68" t="str">
        <f aca="false">VLOOKUP(A215,BD_ORDENES!A:BE,52,FALSE())</f>
        <v>Obtener Bajo Pedido (MTO)</v>
      </c>
      <c r="R215" s="68" t="str">
        <f aca="false">VLOOKUP(A215,BD_ORDENES!A:BE,25,FALSE())</f>
        <v>TUNJA</v>
      </c>
      <c r="S215" s="68" t="str">
        <f aca="false">VLOOKUP(A215,BD_ORDENES!A:BE,22,FALSE())</f>
        <v>JUAN CAMILO ZAPATA SALAZAR</v>
      </c>
      <c r="T215" s="65" t="str">
        <f aca="false">VLOOKUP(A215,BD_ORDENES!A:BE,55,FALSE())</f>
        <v>BODEGA LISTO</v>
      </c>
      <c r="U215" s="68" t="str">
        <f aca="false">VLOOKUP(A215,BD_ORDENES!A:BE,57,FALSE())</f>
        <v>0 BODEGA</v>
      </c>
      <c r="V215" s="70"/>
      <c r="W215" s="71"/>
    </row>
    <row r="216" s="72" customFormat="true" ht="98.25" hidden="false" customHeight="true" outlineLevel="0" collapsed="false">
      <c r="A216" s="62" t="n">
        <f aca="false">A215+1</f>
        <v>209</v>
      </c>
      <c r="B216" s="63" t="str">
        <f aca="false">VLOOKUP(A216,BD_ORDENES!A:BG,12,FALSE())</f>
        <v>__export__.product_product_325442_2b990ba8</v>
      </c>
      <c r="C216" s="64" t="n">
        <v>209</v>
      </c>
      <c r="D216" s="65" t="str">
        <f aca="false">VLOOKUP(A216,BD_ORDENES!A:BE,10,0)</f>
        <v>VF</v>
      </c>
      <c r="E216" s="66" t="str">
        <f aca="false">VLOOKUP(A216,BD_ORDENES!A:BG,4,FALSE())</f>
        <v>LN656</v>
      </c>
      <c r="F216" s="66" t="str">
        <f aca="false">VLOOKUP(A216,BD_ORDENES!A:BE,56,FALSE())</f>
        <v>S269120</v>
      </c>
      <c r="G216" s="67" t="str">
        <f aca="false">VLOOKUP(A216,BD_ORDENES!A:BE,13,FALSE())</f>
        <v>SOFA PORTO SKY GRIS (MATIZ CAOBA)</v>
      </c>
      <c r="H216" s="68" t="str">
        <f aca="false">VLOOKUP(A216,BD_ORDENES!A:BE,17,FALSE())</f>
        <v>SOFA</v>
      </c>
      <c r="I216" s="68" t="str">
        <f aca="false">VLOOKUP(A216,BD_ORDENES!A:BE,18,FALSE())</f>
        <v>PORTO</v>
      </c>
      <c r="J216" s="68" t="str">
        <f aca="false">VLOOKUP(A216,BD_ORDENES!A:BE,19,FALSE())</f>
        <v>SKY</v>
      </c>
      <c r="K216" s="68" t="str">
        <f aca="false">VLOOKUP(A216,BD_ORDENES!A:BE,20,FALSE())</f>
        <v>GRIS</v>
      </c>
      <c r="L216" s="68" t="str">
        <f aca="false">VLOOKUP(A216,BD_ORDENES!A:BE,21,FALSE())</f>
        <v>MATIZ-CAOBA</v>
      </c>
      <c r="M216" s="69" t="n">
        <f aca="false">VLOOKUP(A216,BD_ORDENES!A:BE,14,FALSE())</f>
        <v>1</v>
      </c>
      <c r="N216" s="68" t="n">
        <f aca="false">VLOOKUP(A216,BD_ORDENES!A:BE,15,FALSE())</f>
        <v>0</v>
      </c>
      <c r="O216" s="68" t="str">
        <f aca="false">VLOOKUP(A216,BD_ORDENES!A:BE,33,FALSE())</f>
        <v>ENVIO TUNJA - SIN SALDO</v>
      </c>
      <c r="P216" s="68" t="n">
        <f aca="false">VLOOKUP(A216,BD_ORDENES!A:BE,23,FALSE())</f>
        <v>0</v>
      </c>
      <c r="Q216" s="68" t="str">
        <f aca="false">VLOOKUP(A216,BD_ORDENES!A:BE,52,FALSE())</f>
        <v>Obtener Bajo Pedido (MTO)</v>
      </c>
      <c r="R216" s="68" t="str">
        <f aca="false">VLOOKUP(A216,BD_ORDENES!A:BE,25,FALSE())</f>
        <v>TUNJA</v>
      </c>
      <c r="S216" s="68" t="str">
        <f aca="false">VLOOKUP(A216,BD_ORDENES!A:BE,22,FALSE())</f>
        <v>EDGAR ROLANDO  DUITAMA VERGARA</v>
      </c>
      <c r="T216" s="65" t="str">
        <f aca="false">VLOOKUP(A216,BD_ORDENES!A:BE,55,FALSE())</f>
        <v>BODEGA LISTO</v>
      </c>
      <c r="U216" s="68" t="str">
        <f aca="false">VLOOKUP(A216,BD_ORDENES!A:BE,57,FALSE())</f>
        <v>0 BODEGA</v>
      </c>
      <c r="V216" s="70"/>
      <c r="W216" s="71"/>
    </row>
    <row r="217" s="72" customFormat="true" ht="98.25" hidden="false" customHeight="true" outlineLevel="0" collapsed="false">
      <c r="A217" s="62" t="n">
        <f aca="false">A216+1</f>
        <v>210</v>
      </c>
      <c r="B217" s="63" t="str">
        <f aca="false">VLOOKUP(A217,BD_ORDENES!A:BG,12,FALSE())</f>
        <v>__export__.product_product_327053_f6ec6a9b</v>
      </c>
      <c r="C217" s="64" t="n">
        <v>210</v>
      </c>
      <c r="D217" s="65" t="str">
        <f aca="false">VLOOKUP(A217,BD_ORDENES!A:BE,10,0)</f>
        <v>VF</v>
      </c>
      <c r="E217" s="66" t="str">
        <f aca="false">VLOOKUP(A217,BD_ORDENES!A:BG,4,FALSE())</f>
        <v>LN656</v>
      </c>
      <c r="F217" s="66" t="str">
        <f aca="false">VLOOKUP(A217,BD_ORDENES!A:BE,56,FALSE())</f>
        <v>S269120</v>
      </c>
      <c r="G217" s="67" t="str">
        <f aca="false">VLOOKUP(A217,BD_ORDENES!A:BE,13,FALSE())</f>
        <v>PUFF PORTO SKY GRIS (MATIZ CAOBA)</v>
      </c>
      <c r="H217" s="68" t="str">
        <f aca="false">VLOOKUP(A217,BD_ORDENES!A:BE,17,FALSE())</f>
        <v>PUFF</v>
      </c>
      <c r="I217" s="68" t="str">
        <f aca="false">VLOOKUP(A217,BD_ORDENES!A:BE,18,FALSE())</f>
        <v>PORTO</v>
      </c>
      <c r="J217" s="68" t="str">
        <f aca="false">VLOOKUP(A217,BD_ORDENES!A:BE,19,FALSE())</f>
        <v>SKY</v>
      </c>
      <c r="K217" s="68" t="str">
        <f aca="false">VLOOKUP(A217,BD_ORDENES!A:BE,20,FALSE())</f>
        <v>GRIS</v>
      </c>
      <c r="L217" s="68" t="str">
        <f aca="false">VLOOKUP(A217,BD_ORDENES!A:BE,21,FALSE())</f>
        <v>MATIZ-CAOBA</v>
      </c>
      <c r="M217" s="69" t="n">
        <f aca="false">VLOOKUP(A217,BD_ORDENES!A:BE,14,FALSE())</f>
        <v>1</v>
      </c>
      <c r="N217" s="68" t="n">
        <f aca="false">VLOOKUP(A217,BD_ORDENES!A:BE,15,FALSE())</f>
        <v>0</v>
      </c>
      <c r="O217" s="68" t="str">
        <f aca="false">VLOOKUP(A217,BD_ORDENES!A:BE,33,FALSE())</f>
        <v>ENVIO TUNJA - SIN SALDO</v>
      </c>
      <c r="P217" s="68" t="n">
        <f aca="false">VLOOKUP(A217,BD_ORDENES!A:BE,23,FALSE())</f>
        <v>0</v>
      </c>
      <c r="Q217" s="68" t="str">
        <f aca="false">VLOOKUP(A217,BD_ORDENES!A:BE,52,FALSE())</f>
        <v>Obtener Bajo Pedido (MTO)</v>
      </c>
      <c r="R217" s="68" t="str">
        <f aca="false">VLOOKUP(A217,BD_ORDENES!A:BE,25,FALSE())</f>
        <v>TUNJA</v>
      </c>
      <c r="S217" s="68" t="str">
        <f aca="false">VLOOKUP(A217,BD_ORDENES!A:BE,22,FALSE())</f>
        <v>EDGAR ROLANDO  DUITAMA VERGARA</v>
      </c>
      <c r="T217" s="65" t="str">
        <f aca="false">VLOOKUP(A217,BD_ORDENES!A:BE,55,FALSE())</f>
        <v>BODEGA LISTO</v>
      </c>
      <c r="U217" s="68" t="str">
        <f aca="false">VLOOKUP(A217,BD_ORDENES!A:BE,57,FALSE())</f>
        <v>0 BODEGA</v>
      </c>
      <c r="V217" s="70"/>
      <c r="W217" s="71"/>
    </row>
    <row r="218" s="72" customFormat="true" ht="98.25" hidden="false" customHeight="true" outlineLevel="0" collapsed="false">
      <c r="A218" s="62" t="n">
        <f aca="false">A217+1</f>
        <v>211</v>
      </c>
      <c r="B218" s="63" t="str">
        <f aca="false">VLOOKUP(A218,BD_ORDENES!A:BG,12,FALSE())</f>
        <v>__export__.product_product_326706_2b9ad6d1</v>
      </c>
      <c r="C218" s="64" t="n">
        <v>211</v>
      </c>
      <c r="D218" s="65" t="str">
        <f aca="false">VLOOKUP(A218,BD_ORDENES!A:BE,10,0)</f>
        <v>VF</v>
      </c>
      <c r="E218" s="66" t="str">
        <f aca="false">VLOOKUP(A218,BD_ORDENES!A:BG,4,FALSE())</f>
        <v>LN656</v>
      </c>
      <c r="F218" s="66" t="str">
        <f aca="false">VLOOKUP(A218,BD_ORDENES!A:BE,56,FALSE())</f>
        <v>S269120</v>
      </c>
      <c r="G218" s="67" t="str">
        <f aca="false">VLOOKUP(A218,BD_ORDENES!A:BE,13,FALSE())</f>
        <v>POLTRONA PORTO SKY AZUL (MATIZ CAOBA)</v>
      </c>
      <c r="H218" s="68" t="str">
        <f aca="false">VLOOKUP(A218,BD_ORDENES!A:BE,17,FALSE())</f>
        <v>POLTRONA</v>
      </c>
      <c r="I218" s="68" t="str">
        <f aca="false">VLOOKUP(A218,BD_ORDENES!A:BE,18,FALSE())</f>
        <v>PORTO</v>
      </c>
      <c r="J218" s="68" t="str">
        <f aca="false">VLOOKUP(A218,BD_ORDENES!A:BE,19,FALSE())</f>
        <v>SKY</v>
      </c>
      <c r="K218" s="68" t="str">
        <f aca="false">VLOOKUP(A218,BD_ORDENES!A:BE,20,FALSE())</f>
        <v>AZUL</v>
      </c>
      <c r="L218" s="68" t="str">
        <f aca="false">VLOOKUP(A218,BD_ORDENES!A:BE,21,FALSE())</f>
        <v>MATIZ-CAOBA</v>
      </c>
      <c r="M218" s="69" t="n">
        <f aca="false">VLOOKUP(A218,BD_ORDENES!A:BE,14,FALSE())</f>
        <v>1</v>
      </c>
      <c r="N218" s="68" t="n">
        <f aca="false">VLOOKUP(A218,BD_ORDENES!A:BE,15,FALSE())</f>
        <v>0</v>
      </c>
      <c r="O218" s="68" t="str">
        <f aca="false">VLOOKUP(A218,BD_ORDENES!A:BE,33,FALSE())</f>
        <v>ENVIO TUNJA - SIN SALDO</v>
      </c>
      <c r="P218" s="68" t="n">
        <f aca="false">VLOOKUP(A218,BD_ORDENES!A:BE,23,FALSE())</f>
        <v>0</v>
      </c>
      <c r="Q218" s="68" t="str">
        <f aca="false">VLOOKUP(A218,BD_ORDENES!A:BE,52,FALSE())</f>
        <v>Obtener Bajo Pedido (MTO)</v>
      </c>
      <c r="R218" s="68" t="str">
        <f aca="false">VLOOKUP(A218,BD_ORDENES!A:BE,25,FALSE())</f>
        <v>TUNJA</v>
      </c>
      <c r="S218" s="68" t="str">
        <f aca="false">VLOOKUP(A218,BD_ORDENES!A:BE,22,FALSE())</f>
        <v>EDGAR ROLANDO  DUITAMA VERGARA</v>
      </c>
      <c r="T218" s="65" t="str">
        <f aca="false">VLOOKUP(A218,BD_ORDENES!A:BE,55,FALSE())</f>
        <v>BODEGA LISTO</v>
      </c>
      <c r="U218" s="68" t="str">
        <f aca="false">VLOOKUP(A218,BD_ORDENES!A:BE,57,FALSE())</f>
        <v>0 BODEGA</v>
      </c>
      <c r="V218" s="70"/>
      <c r="W218" s="71"/>
    </row>
    <row r="219" s="72" customFormat="true" ht="98.25" hidden="false" customHeight="true" outlineLevel="0" collapsed="false">
      <c r="A219" s="62" t="n">
        <f aca="false">A218+1</f>
        <v>212</v>
      </c>
      <c r="B219" s="63" t="str">
        <f aca="false">VLOOKUP(A219,BD_ORDENES!A:BG,12,FALSE())</f>
        <v>__export__.product_product_316167_dcaf9150</v>
      </c>
      <c r="C219" s="64" t="n">
        <v>212</v>
      </c>
      <c r="D219" s="65" t="str">
        <f aca="false">VLOOKUP(A219,BD_ORDENES!A:BE,10,0)</f>
        <v>VF</v>
      </c>
      <c r="E219" s="66" t="str">
        <f aca="false">VLOOKUP(A219,BD_ORDENES!A:BG,4,FALSE())</f>
        <v>LN656</v>
      </c>
      <c r="F219" s="66" t="str">
        <f aca="false">VLOOKUP(A219,BD_ORDENES!A:BE,56,FALSE())</f>
        <v>S269120</v>
      </c>
      <c r="G219" s="67" t="str">
        <f aca="false">VLOOKUP(A219,BD_ORDENES!A:BE,13,FALSE())</f>
        <v>MESA DE CENTRO NOVA BLANCO (MATIZ CAOBA)</v>
      </c>
      <c r="H219" s="68" t="str">
        <f aca="false">VLOOKUP(A219,BD_ORDENES!A:BE,17,FALSE())</f>
        <v>MESA-CENTRO</v>
      </c>
      <c r="I219" s="68" t="str">
        <f aca="false">VLOOKUP(A219,BD_ORDENES!A:BE,18,FALSE())</f>
        <v>NOVA</v>
      </c>
      <c r="J219" s="68" t="n">
        <f aca="false">VLOOKUP(A219,BD_ORDENES!A:BE,19,FALSE())</f>
        <v>0</v>
      </c>
      <c r="K219" s="68" t="str">
        <f aca="false">VLOOKUP(A219,BD_ORDENES!A:BE,20,FALSE())</f>
        <v>BLANCO</v>
      </c>
      <c r="L219" s="68" t="str">
        <f aca="false">VLOOKUP(A219,BD_ORDENES!A:BE,21,FALSE())</f>
        <v>MATIZ-CAOBA</v>
      </c>
      <c r="M219" s="69" t="n">
        <f aca="false">VLOOKUP(A219,BD_ORDENES!A:BE,14,FALSE())</f>
        <v>1</v>
      </c>
      <c r="N219" s="68" t="n">
        <f aca="false">VLOOKUP(A219,BD_ORDENES!A:BE,15,FALSE())</f>
        <v>0</v>
      </c>
      <c r="O219" s="68" t="str">
        <f aca="false">VLOOKUP(A219,BD_ORDENES!A:BE,33,FALSE())</f>
        <v>ENVIO TUNJA - SIN SALDO</v>
      </c>
      <c r="P219" s="68" t="n">
        <f aca="false">VLOOKUP(A219,BD_ORDENES!A:BE,23,FALSE())</f>
        <v>0</v>
      </c>
      <c r="Q219" s="68" t="str">
        <f aca="false">VLOOKUP(A219,BD_ORDENES!A:BE,52,FALSE())</f>
        <v>Obtener Bajo Pedido (MTO)</v>
      </c>
      <c r="R219" s="68" t="str">
        <f aca="false">VLOOKUP(A219,BD_ORDENES!A:BE,25,FALSE())</f>
        <v>TUNJA</v>
      </c>
      <c r="S219" s="68" t="str">
        <f aca="false">VLOOKUP(A219,BD_ORDENES!A:BE,22,FALSE())</f>
        <v>EDGAR ROLANDO  DUITAMA VERGARA</v>
      </c>
      <c r="T219" s="65" t="str">
        <f aca="false">VLOOKUP(A219,BD_ORDENES!A:BE,55,FALSE())</f>
        <v>BODEGA LISTO</v>
      </c>
      <c r="U219" s="68" t="str">
        <f aca="false">VLOOKUP(A219,BD_ORDENES!A:BE,57,FALSE())</f>
        <v>0 BODEGA</v>
      </c>
      <c r="V219" s="70"/>
      <c r="W219" s="71"/>
    </row>
    <row r="220" s="72" customFormat="true" ht="98.25" hidden="false" customHeight="true" outlineLevel="0" collapsed="false">
      <c r="A220" s="62" t="n">
        <f aca="false">A219+1</f>
        <v>213</v>
      </c>
      <c r="B220" s="63" t="str">
        <f aca="false">VLOOKUP(A220,BD_ORDENES!A:BG,12,FALSE())</f>
        <v>__export__.product_product_329351_2b933bee</v>
      </c>
      <c r="C220" s="64" t="n">
        <v>213</v>
      </c>
      <c r="D220" s="65" t="str">
        <f aca="false">VLOOKUP(A220,BD_ORDENES!A:BE,10,0)</f>
        <v>VF</v>
      </c>
      <c r="E220" s="66" t="str">
        <f aca="false">VLOOKUP(A220,BD_ORDENES!A:BG,4,FALSE())</f>
        <v>LN656</v>
      </c>
      <c r="F220" s="66" t="str">
        <f aca="false">VLOOKUP(A220,BD_ORDENES!A:BE,56,FALSE())</f>
        <v>S269120</v>
      </c>
      <c r="G220" s="67" t="str">
        <f aca="false">VLOOKUP(A220,BD_ORDENES!A:BE,13,FALSE())</f>
        <v>OBSEQUIO COJIN VENECIA SKY AZUL</v>
      </c>
      <c r="H220" s="68" t="str">
        <f aca="false">VLOOKUP(A220,BD_ORDENES!A:BE,17,FALSE())</f>
        <v>COJIN</v>
      </c>
      <c r="I220" s="68" t="str">
        <f aca="false">VLOOKUP(A220,BD_ORDENES!A:BE,18,FALSE())</f>
        <v>OBSEQUIO-VENECIA</v>
      </c>
      <c r="J220" s="68" t="str">
        <f aca="false">VLOOKUP(A220,BD_ORDENES!A:BE,19,FALSE())</f>
        <v>SKY</v>
      </c>
      <c r="K220" s="68" t="str">
        <f aca="false">VLOOKUP(A220,BD_ORDENES!A:BE,20,FALSE())</f>
        <v>AZUL</v>
      </c>
      <c r="L220" s="68" t="n">
        <f aca="false">VLOOKUP(A220,BD_ORDENES!A:BE,21,FALSE())</f>
        <v>0</v>
      </c>
      <c r="M220" s="69" t="n">
        <f aca="false">VLOOKUP(A220,BD_ORDENES!A:BE,14,FALSE())</f>
        <v>1</v>
      </c>
      <c r="N220" s="68" t="n">
        <f aca="false">VLOOKUP(A220,BD_ORDENES!A:BE,15,FALSE())</f>
        <v>0</v>
      </c>
      <c r="O220" s="68" t="str">
        <f aca="false">VLOOKUP(A220,BD_ORDENES!A:BE,33,FALSE())</f>
        <v>ENVIO TUNJA - SIN SALDO</v>
      </c>
      <c r="P220" s="68" t="n">
        <f aca="false">VLOOKUP(A220,BD_ORDENES!A:BE,23,FALSE())</f>
        <v>0</v>
      </c>
      <c r="Q220" s="68" t="str">
        <f aca="false">VLOOKUP(A220,BD_ORDENES!A:BE,52,FALSE())</f>
        <v>Obtener Bajo Pedido (MTO)</v>
      </c>
      <c r="R220" s="68" t="str">
        <f aca="false">VLOOKUP(A220,BD_ORDENES!A:BE,25,FALSE())</f>
        <v>TUNJA</v>
      </c>
      <c r="S220" s="68" t="str">
        <f aca="false">VLOOKUP(A220,BD_ORDENES!A:BE,22,FALSE())</f>
        <v>EDGAR ROLANDO  DUITAMA VERGARA</v>
      </c>
      <c r="T220" s="65" t="str">
        <f aca="false">VLOOKUP(A220,BD_ORDENES!A:BE,55,FALSE())</f>
        <v>BODEGA LISTO</v>
      </c>
      <c r="U220" s="68" t="str">
        <f aca="false">VLOOKUP(A220,BD_ORDENES!A:BE,57,FALSE())</f>
        <v>0 BODEGA</v>
      </c>
      <c r="V220" s="70"/>
      <c r="W220" s="71"/>
    </row>
    <row r="221" s="72" customFormat="true" ht="98.25" hidden="false" customHeight="true" outlineLevel="0" collapsed="false">
      <c r="A221" s="62" t="n">
        <f aca="false">A220+1</f>
        <v>214</v>
      </c>
      <c r="B221" s="63" t="str">
        <f aca="false">VLOOKUP(A221,BD_ORDENES!A:BG,12,FALSE())</f>
        <v>__export__.product_product_333487_8022648a</v>
      </c>
      <c r="C221" s="64" t="n">
        <v>214</v>
      </c>
      <c r="D221" s="65" t="str">
        <f aca="false">VLOOKUP(A221,BD_ORDENES!A:BE,10,0)</f>
        <v>FB</v>
      </c>
      <c r="E221" s="66" t="str">
        <f aca="false">VLOOKUP(A221,BD_ORDENES!A:BG,4,FALSE())</f>
        <v>NDR368</v>
      </c>
      <c r="F221" s="66" t="str">
        <f aca="false">VLOOKUP(A221,BD_ORDENES!A:BE,56,FALSE())</f>
        <v>S269114</v>
      </c>
      <c r="G221" s="67" t="str">
        <f aca="false">VLOOKUP(A221,BD_ORDENES!A:BE,13,FALSE())</f>
        <v>SOFA FELTON DICOSTA INDIGO</v>
      </c>
      <c r="H221" s="68" t="str">
        <f aca="false">VLOOKUP(A221,BD_ORDENES!A:BE,17,FALSE())</f>
        <v>SOFA</v>
      </c>
      <c r="I221" s="68" t="str">
        <f aca="false">VLOOKUP(A221,BD_ORDENES!A:BE,18,FALSE())</f>
        <v>BOSNIA</v>
      </c>
      <c r="J221" s="68" t="str">
        <f aca="false">VLOOKUP(A221,BD_ORDENES!A:BE,19,FALSE())</f>
        <v>DICOSTA</v>
      </c>
      <c r="K221" s="68" t="str">
        <f aca="false">VLOOKUP(A221,BD_ORDENES!A:BE,20,FALSE())</f>
        <v>INDIGO</v>
      </c>
      <c r="L221" s="68" t="n">
        <f aca="false">VLOOKUP(A221,BD_ORDENES!A:BE,21,FALSE())</f>
        <v>0</v>
      </c>
      <c r="M221" s="69" t="n">
        <f aca="false">VLOOKUP(A221,BD_ORDENES!A:BE,14,FALSE())</f>
        <v>1</v>
      </c>
      <c r="N221" s="68" t="n">
        <f aca="false">VLOOKUP(A221,BD_ORDENES!A:BE,15,FALSE())</f>
        <v>0</v>
      </c>
      <c r="O221" s="68" t="str">
        <f aca="false">VLOOKUP(A221,BD_ORDENES!A:BE,33,FALSE())</f>
        <v>TRANSPORTADORA</v>
      </c>
      <c r="P221" s="68" t="str">
        <f aca="false">VLOOKUP(A221,BD_ORDENES!A:BE,23,FALSE())</f>
        <v>LLAMAR ANTES DE LA ENTREGA</v>
      </c>
      <c r="Q221" s="68" t="str">
        <f aca="false">VLOOKUP(A221,BD_ORDENES!A:BE,52,FALSE())</f>
        <v>Obtener Bajo Pedido (MTO)</v>
      </c>
      <c r="R221" s="68" t="str">
        <f aca="false">VLOOKUP(A221,BD_ORDENES!A:BE,25,FALSE())</f>
        <v>Bogotá</v>
      </c>
      <c r="S221" s="68" t="str">
        <f aca="false">VLOOKUP(A221,BD_ORDENES!A:BE,22,FALSE())</f>
        <v>SEBASTIAN RIOS GRANADOS</v>
      </c>
      <c r="T221" s="65" t="str">
        <f aca="false">VLOOKUP(A221,BD_ORDENES!A:BE,55,FALSE())</f>
        <v>PRODUCCION</v>
      </c>
      <c r="U221" s="68" t="str">
        <f aca="false">VLOOKUP(A221,BD_ORDENES!A:BE,57,FALSE())</f>
        <v>1 ENVIA</v>
      </c>
      <c r="V221" s="70"/>
      <c r="W221" s="71"/>
    </row>
    <row r="222" s="72" customFormat="true" ht="98.25" hidden="false" customHeight="true" outlineLevel="0" collapsed="false">
      <c r="A222" s="62" t="n">
        <f aca="false">A221+1</f>
        <v>215</v>
      </c>
      <c r="B222" s="63" t="str">
        <f aca="false">VLOOKUP(A222,BD_ORDENES!A:BG,12,FALSE())</f>
        <v>__export__.product_product_327096_476e037e</v>
      </c>
      <c r="C222" s="64" t="n">
        <v>215</v>
      </c>
      <c r="D222" s="65" t="str">
        <f aca="false">VLOOKUP(A222,BD_ORDENES!A:BE,10,0)</f>
        <v>FL.COM</v>
      </c>
      <c r="E222" s="66" t="n">
        <f aca="false">VLOOKUP(A222,BD_ORDENES!A:BG,4,FALSE())</f>
        <v>7420494</v>
      </c>
      <c r="F222" s="66" t="str">
        <f aca="false">VLOOKUP(A222,BD_ORDENES!A:BE,56,FALSE())</f>
        <v>S269362</v>
      </c>
      <c r="G222" s="67" t="str">
        <f aca="false">VLOOKUP(A222,BD_ORDENES!A:BE,13,FALSE())</f>
        <v>POLTRONA THOR DORSEY INDIGO (MATIZ NEGRO)</v>
      </c>
      <c r="H222" s="68" t="str">
        <f aca="false">VLOOKUP(A222,BD_ORDENES!A:BE,17,FALSE())</f>
        <v>POLTRONA</v>
      </c>
      <c r="I222" s="68" t="str">
        <f aca="false">VLOOKUP(A222,BD_ORDENES!A:BE,18,FALSE())</f>
        <v>THOR</v>
      </c>
      <c r="J222" s="68" t="str">
        <f aca="false">VLOOKUP(A222,BD_ORDENES!A:BE,19,FALSE())</f>
        <v>DORSEY</v>
      </c>
      <c r="K222" s="68" t="str">
        <f aca="false">VLOOKUP(A222,BD_ORDENES!A:BE,20,FALSE())</f>
        <v>INDIGO</v>
      </c>
      <c r="L222" s="68" t="str">
        <f aca="false">VLOOKUP(A222,BD_ORDENES!A:BE,21,FALSE())</f>
        <v>MATIZ-NEGRO</v>
      </c>
      <c r="M222" s="69" t="n">
        <f aca="false">VLOOKUP(A222,BD_ORDENES!A:BE,14,FALSE())</f>
        <v>2</v>
      </c>
      <c r="N222" s="68" t="n">
        <f aca="false">VLOOKUP(A222,BD_ORDENES!A:BE,15,FALSE())</f>
        <v>0</v>
      </c>
      <c r="O222" s="68" t="str">
        <f aca="false">VLOOKUP(A222,BD_ORDENES!A:BE,33,FALSE())</f>
        <v>TRANSPORTADORA</v>
      </c>
      <c r="P222" s="68" t="n">
        <f aca="false">VLOOKUP(A222,BD_ORDENES!A:BE,23,FALSE())</f>
        <v>0</v>
      </c>
      <c r="Q222" s="68" t="str">
        <f aca="false">VLOOKUP(A222,BD_ORDENES!A:BE,52,FALSE())</f>
        <v>Obtener Bajo Pedido (MTO)</v>
      </c>
      <c r="R222" s="68" t="str">
        <f aca="false">VLOOKUP(A222,BD_ORDENES!A:BE,25,FALSE())</f>
        <v>ENGATIVÁ                      </v>
      </c>
      <c r="S222" s="68" t="str">
        <f aca="false">VLOOKUP(A222,BD_ORDENES!A:BE,22,FALSE())</f>
        <v>CONSTRUCCCION Y MANTENIMIENTO HOBRE</v>
      </c>
      <c r="T222" s="65" t="str">
        <f aca="false">VLOOKUP(A222,BD_ORDENES!A:BE,55,FALSE())</f>
        <v>PRODUCCION</v>
      </c>
      <c r="U222" s="68" t="str">
        <f aca="false">VLOOKUP(A222,BD_ORDENES!A:BE,57,FALSE())</f>
        <v>4 ROTTERDAN</v>
      </c>
      <c r="V222" s="70"/>
      <c r="W222" s="71"/>
    </row>
    <row r="223" s="72" customFormat="true" ht="98.25" hidden="false" customHeight="true" outlineLevel="0" collapsed="false">
      <c r="A223" s="62" t="n">
        <f aca="false">A222+1</f>
        <v>216</v>
      </c>
      <c r="B223" s="63" t="str">
        <f aca="false">VLOOKUP(A223,BD_ORDENES!A:BG,12,FALSE())</f>
        <v>__export__.product_product_326009_765c5383</v>
      </c>
      <c r="C223" s="64" t="n">
        <v>216</v>
      </c>
      <c r="D223" s="65" t="str">
        <f aca="false">VLOOKUP(A223,BD_ORDENES!A:BE,10,0)</f>
        <v>FL.COM</v>
      </c>
      <c r="E223" s="66" t="n">
        <f aca="false">VLOOKUP(A223,BD_ORDENES!A:BG,4,FALSE())</f>
        <v>7420573</v>
      </c>
      <c r="F223" s="66" t="str">
        <f aca="false">VLOOKUP(A223,BD_ORDENES!A:BE,56,FALSE())</f>
        <v>S269218</v>
      </c>
      <c r="G223" s="67" t="str">
        <f aca="false">VLOOKUP(A223,BD_ORDENES!A:BE,13,FALSE())</f>
        <v>MESA BRIXTON JG4 MACULA (MATIZ NEGRO)</v>
      </c>
      <c r="H223" s="68" t="str">
        <f aca="false">VLOOKUP(A223,BD_ORDENES!A:BE,17,FALSE())</f>
        <v>MESA</v>
      </c>
      <c r="I223" s="68" t="str">
        <f aca="false">VLOOKUP(A223,BD_ORDENES!A:BE,18,FALSE())</f>
        <v>BRIXTON-JG4</v>
      </c>
      <c r="J223" s="68" t="n">
        <f aca="false">VLOOKUP(A223,BD_ORDENES!A:BE,19,FALSE())</f>
        <v>0</v>
      </c>
      <c r="K223" s="68" t="str">
        <f aca="false">VLOOKUP(A223,BD_ORDENES!A:BE,20,FALSE())</f>
        <v>MACULA</v>
      </c>
      <c r="L223" s="68" t="str">
        <f aca="false">VLOOKUP(A223,BD_ORDENES!A:BE,21,FALSE())</f>
        <v>MATIZ-NEGRO</v>
      </c>
      <c r="M223" s="69" t="n">
        <f aca="false">VLOOKUP(A223,BD_ORDENES!A:BE,14,FALSE())</f>
        <v>1</v>
      </c>
      <c r="N223" s="68" t="n">
        <f aca="false">VLOOKUP(A223,BD_ORDENES!A:BE,15,FALSE())</f>
        <v>0</v>
      </c>
      <c r="O223" s="68" t="str">
        <f aca="false">VLOOKUP(A223,BD_ORDENES!A:BE,33,FALSE())</f>
        <v>TRANSPORTADORA</v>
      </c>
      <c r="P223" s="68" t="n">
        <f aca="false">VLOOKUP(A223,BD_ORDENES!A:BE,23,FALSE())</f>
        <v>0</v>
      </c>
      <c r="Q223" s="68" t="str">
        <f aca="false">VLOOKUP(A223,BD_ORDENES!A:BE,52,FALSE())</f>
        <v>Obtener Bajo Pedido (MTO)</v>
      </c>
      <c r="R223" s="68" t="str">
        <f aca="false">VLOOKUP(A223,BD_ORDENES!A:BE,25,FALSE())</f>
        <v>ARMENIA                       </v>
      </c>
      <c r="S223" s="68" t="str">
        <f aca="false">VLOOKUP(A223,BD_ORDENES!A:BE,22,FALSE())</f>
        <v>LUISA OSPINA</v>
      </c>
      <c r="T223" s="65" t="str">
        <f aca="false">VLOOKUP(A223,BD_ORDENES!A:BE,55,FALSE())</f>
        <v>PRODUCCION</v>
      </c>
      <c r="U223" s="68" t="str">
        <f aca="false">VLOOKUP(A223,BD_ORDENES!A:BE,57,FALSE())</f>
        <v>4 ROTTERDAN</v>
      </c>
      <c r="V223" s="70"/>
      <c r="W223" s="71"/>
    </row>
    <row r="224" s="72" customFormat="true" ht="98.25" hidden="false" customHeight="true" outlineLevel="0" collapsed="false">
      <c r="A224" s="62" t="n">
        <f aca="false">A223+1</f>
        <v>217</v>
      </c>
      <c r="B224" s="63" t="str">
        <f aca="false">VLOOKUP(A224,BD_ORDENES!A:BG,12,FALSE())</f>
        <v>__export__.product_product_325673_ab2a9974</v>
      </c>
      <c r="C224" s="64" t="n">
        <v>217</v>
      </c>
      <c r="D224" s="65" t="str">
        <f aca="false">VLOOKUP(A224,BD_ORDENES!A:BE,10,0)</f>
        <v>FL.COM</v>
      </c>
      <c r="E224" s="66" t="n">
        <f aca="false">VLOOKUP(A224,BD_ORDENES!A:BG,4,FALSE())</f>
        <v>7420340</v>
      </c>
      <c r="F224" s="66" t="str">
        <f aca="false">VLOOKUP(A224,BD_ORDENES!A:BE,56,FALSE())</f>
        <v>S269209</v>
      </c>
      <c r="G224" s="67" t="str">
        <f aca="false">VLOOKUP(A224,BD_ORDENES!A:BE,13,FALSE())</f>
        <v>SOFA HANNOVER 3P DENVER GRIS (MATIZ CAOBA)</v>
      </c>
      <c r="H224" s="68" t="str">
        <f aca="false">VLOOKUP(A224,BD_ORDENES!A:BE,17,FALSE())</f>
        <v>SOFA</v>
      </c>
      <c r="I224" s="68" t="str">
        <f aca="false">VLOOKUP(A224,BD_ORDENES!A:BE,18,FALSE())</f>
        <v>HANNOVER-3P</v>
      </c>
      <c r="J224" s="68" t="str">
        <f aca="false">VLOOKUP(A224,BD_ORDENES!A:BE,19,FALSE())</f>
        <v>DENVER</v>
      </c>
      <c r="K224" s="68" t="str">
        <f aca="false">VLOOKUP(A224,BD_ORDENES!A:BE,20,FALSE())</f>
        <v>GRIS</v>
      </c>
      <c r="L224" s="68" t="str">
        <f aca="false">VLOOKUP(A224,BD_ORDENES!A:BE,21,FALSE())</f>
        <v>MATIZ-CAOBA</v>
      </c>
      <c r="M224" s="69" t="n">
        <f aca="false">VLOOKUP(A224,BD_ORDENES!A:BE,14,FALSE())</f>
        <v>1</v>
      </c>
      <c r="N224" s="68" t="n">
        <f aca="false">VLOOKUP(A224,BD_ORDENES!A:BE,15,FALSE())</f>
        <v>0</v>
      </c>
      <c r="O224" s="68" t="str">
        <f aca="false">VLOOKUP(A224,BD_ORDENES!A:BE,33,FALSE())</f>
        <v>TRANSPORTADORA</v>
      </c>
      <c r="P224" s="68" t="n">
        <f aca="false">VLOOKUP(A224,BD_ORDENES!A:BE,23,FALSE())</f>
        <v>0</v>
      </c>
      <c r="Q224" s="68" t="str">
        <f aca="false">VLOOKUP(A224,BD_ORDENES!A:BE,52,FALSE())</f>
        <v>Retiro Inventario Bodega</v>
      </c>
      <c r="R224" s="68" t="str">
        <f aca="false">VLOOKUP(A224,BD_ORDENES!A:BE,25,FALSE())</f>
        <v>ITAGUI                        </v>
      </c>
      <c r="S224" s="68" t="str">
        <f aca="false">VLOOKUP(A224,BD_ORDENES!A:BE,22,FALSE())</f>
        <v>DAVID JARAMILLO</v>
      </c>
      <c r="T224" s="65" t="str">
        <f aca="false">VLOOKUP(A224,BD_ORDENES!A:BE,55,FALSE())</f>
        <v>PRODUCCION</v>
      </c>
      <c r="U224" s="68" t="str">
        <f aca="false">VLOOKUP(A224,BD_ORDENES!A:BE,57,FALSE())</f>
        <v>4 ROTTERDAN</v>
      </c>
      <c r="V224" s="70"/>
      <c r="W224" s="71"/>
    </row>
    <row r="225" s="72" customFormat="true" ht="98.25" hidden="false" customHeight="true" outlineLevel="0" collapsed="false">
      <c r="A225" s="62" t="n">
        <f aca="false">A224+1</f>
        <v>218</v>
      </c>
      <c r="B225" s="63" t="str">
        <f aca="false">VLOOKUP(A225,BD_ORDENES!A:BG,12,FALSE())</f>
        <v>__export__.product_product_320774_3167a78d</v>
      </c>
      <c r="C225" s="64" t="n">
        <v>218</v>
      </c>
      <c r="D225" s="65" t="str">
        <f aca="false">VLOOKUP(A225,BD_ORDENES!A:BE,10,0)</f>
        <v>TIENDA SUBA</v>
      </c>
      <c r="E225" s="66" t="str">
        <f aca="false">VLOOKUP(A225,BD_ORDENES!A:BG,4,FALSE())</f>
        <v>ET2309</v>
      </c>
      <c r="F225" s="66" t="str">
        <f aca="false">VLOOKUP(A225,BD_ORDENES!A:BE,56,FALSE())</f>
        <v>S269033</v>
      </c>
      <c r="G225" s="67" t="str">
        <f aca="false">VLOOKUP(A225,BD_ORDENES!A:BE,13,FALSE())</f>
        <v>MESA LUXOR JG4 CHANTILLY (MATIZ CAOBA)</v>
      </c>
      <c r="H225" s="68" t="str">
        <f aca="false">VLOOKUP(A225,BD_ORDENES!A:BE,17,FALSE())</f>
        <v>MESA</v>
      </c>
      <c r="I225" s="68" t="str">
        <f aca="false">VLOOKUP(A225,BD_ORDENES!A:BE,18,FALSE())</f>
        <v>LUXOR-JG4</v>
      </c>
      <c r="J225" s="68" t="n">
        <f aca="false">VLOOKUP(A225,BD_ORDENES!A:BE,19,FALSE())</f>
        <v>0</v>
      </c>
      <c r="K225" s="68" t="str">
        <f aca="false">VLOOKUP(A225,BD_ORDENES!A:BE,20,FALSE())</f>
        <v>CHANTILLY</v>
      </c>
      <c r="L225" s="68" t="str">
        <f aca="false">VLOOKUP(A225,BD_ORDENES!A:BE,21,FALSE())</f>
        <v>MATIZ-CAOBA</v>
      </c>
      <c r="M225" s="69" t="n">
        <f aca="false">VLOOKUP(A225,BD_ORDENES!A:BE,14,FALSE())</f>
        <v>1</v>
      </c>
      <c r="N225" s="68" t="n">
        <f aca="false">VLOOKUP(A225,BD_ORDENES!A:BE,15,FALSE())</f>
        <v>0</v>
      </c>
      <c r="O225" s="68" t="str">
        <f aca="false">VLOOKUP(A225,BD_ORDENES!A:BE,33,FALSE())</f>
        <v>TRANSPORTADORA HVM BGT</v>
      </c>
      <c r="P225" s="68" t="str">
        <f aca="false">VLOOKUP(A225,BD_ORDENES!A:BE,23,FALSE())</f>
        <v>CLIENTE NO PUEDE RECIBIR DESPUÉS DE LAS 5 PM</v>
      </c>
      <c r="Q225" s="68" t="str">
        <f aca="false">VLOOKUP(A225,BD_ORDENES!A:BE,52,FALSE())</f>
        <v>Obtener Bajo Pedido (MTO)</v>
      </c>
      <c r="R225" s="68" t="str">
        <f aca="false">VLOOKUP(A225,BD_ORDENES!A:BE,25,FALSE())</f>
        <v>BOGOTA</v>
      </c>
      <c r="S225" s="68" t="str">
        <f aca="false">VLOOKUP(A225,BD_ORDENES!A:BE,22,FALSE())</f>
        <v>FREDDY ANDRÉS GUEVARA PINTO</v>
      </c>
      <c r="T225" s="65" t="str">
        <f aca="false">VLOOKUP(A225,BD_ORDENES!A:BE,55,FALSE())</f>
        <v>BODEGA LISTO</v>
      </c>
      <c r="U225" s="68" t="str">
        <f aca="false">VLOOKUP(A225,BD_ORDENES!A:BE,57,FALSE())</f>
        <v>8 VENECIA</v>
      </c>
      <c r="V225" s="70"/>
      <c r="W225" s="71"/>
    </row>
    <row r="226" s="72" customFormat="true" ht="98.25" hidden="false" customHeight="true" outlineLevel="0" collapsed="false">
      <c r="A226" s="62" t="n">
        <f aca="false">A225+1</f>
        <v>219</v>
      </c>
      <c r="B226" s="63" t="str">
        <f aca="false">VLOOKUP(A226,BD_ORDENES!A:BG,12,FALSE())</f>
        <v>__export__.product_product_330968_d71ad6f0</v>
      </c>
      <c r="C226" s="64" t="n">
        <v>219</v>
      </c>
      <c r="D226" s="65" t="str">
        <f aca="false">VLOOKUP(A226,BD_ORDENES!A:BE,10,0)</f>
        <v>TIENDA SUBA</v>
      </c>
      <c r="E226" s="66" t="str">
        <f aca="false">VLOOKUP(A226,BD_ORDENES!A:BG,4,FALSE())</f>
        <v>ET2309</v>
      </c>
      <c r="F226" s="66" t="str">
        <f aca="false">VLOOKUP(A226,BD_ORDENES!A:BE,56,FALSE())</f>
        <v>S269033</v>
      </c>
      <c r="G226" s="67" t="str">
        <f aca="false">VLOOKUP(A226,BD_ORDENES!A:BE,13,FALSE())</f>
        <v>SILLA NOTO DORSEY MOSTAZA (MATIZ CAOBA)</v>
      </c>
      <c r="H226" s="68" t="str">
        <f aca="false">VLOOKUP(A226,BD_ORDENES!A:BE,17,FALSE())</f>
        <v>SILLA</v>
      </c>
      <c r="I226" s="68" t="str">
        <f aca="false">VLOOKUP(A226,BD_ORDENES!A:BE,18,FALSE())</f>
        <v>NOTO</v>
      </c>
      <c r="J226" s="68" t="str">
        <f aca="false">VLOOKUP(A226,BD_ORDENES!A:BE,19,FALSE())</f>
        <v>DORSEY</v>
      </c>
      <c r="K226" s="68" t="str">
        <f aca="false">VLOOKUP(A226,BD_ORDENES!A:BE,20,FALSE())</f>
        <v>MOSTAZA</v>
      </c>
      <c r="L226" s="68" t="str">
        <f aca="false">VLOOKUP(A226,BD_ORDENES!A:BE,21,FALSE())</f>
        <v>MATIZ-CAOBA</v>
      </c>
      <c r="M226" s="69" t="n">
        <f aca="false">VLOOKUP(A226,BD_ORDENES!A:BE,14,FALSE())</f>
        <v>4</v>
      </c>
      <c r="N226" s="68" t="n">
        <f aca="false">VLOOKUP(A226,BD_ORDENES!A:BE,15,FALSE())</f>
        <v>0</v>
      </c>
      <c r="O226" s="68" t="str">
        <f aca="false">VLOOKUP(A226,BD_ORDENES!A:BE,33,FALSE())</f>
        <v>TRANSPORTADORA HVM BGT</v>
      </c>
      <c r="P226" s="68" t="str">
        <f aca="false">VLOOKUP(A226,BD_ORDENES!A:BE,23,FALSE())</f>
        <v>CLIENTE NO PUEDE RECIBIR DESPUÉS DE LAS 5 PM</v>
      </c>
      <c r="Q226" s="68" t="str">
        <f aca="false">VLOOKUP(A226,BD_ORDENES!A:BE,52,FALSE())</f>
        <v>Obtener Bajo Pedido (MTO)</v>
      </c>
      <c r="R226" s="68" t="str">
        <f aca="false">VLOOKUP(A226,BD_ORDENES!A:BE,25,FALSE())</f>
        <v>BOGOTA</v>
      </c>
      <c r="S226" s="68" t="str">
        <f aca="false">VLOOKUP(A226,BD_ORDENES!A:BE,22,FALSE())</f>
        <v>FREDDY ANDRÉS GUEVARA PINTO</v>
      </c>
      <c r="T226" s="65" t="str">
        <f aca="false">VLOOKUP(A226,BD_ORDENES!A:BE,55,FALSE())</f>
        <v>BODEGA LISTO</v>
      </c>
      <c r="U226" s="68" t="str">
        <f aca="false">VLOOKUP(A226,BD_ORDENES!A:BE,57,FALSE())</f>
        <v>8 VENECIA</v>
      </c>
      <c r="V226" s="70"/>
      <c r="W226" s="71"/>
    </row>
    <row r="227" s="72" customFormat="true" ht="98.25" hidden="false" customHeight="true" outlineLevel="0" collapsed="false">
      <c r="A227" s="62" t="n">
        <f aca="false">A226+1</f>
        <v>220</v>
      </c>
      <c r="B227" s="63" t="str">
        <f aca="false">VLOOKUP(A227,BD_ORDENES!A:BG,12,FALSE())</f>
        <v>__export__.product_product_331098_6114c7d7</v>
      </c>
      <c r="C227" s="64" t="n">
        <v>220</v>
      </c>
      <c r="D227" s="65" t="str">
        <f aca="false">VLOOKUP(A227,BD_ORDENES!A:BE,10,0)</f>
        <v>TIENDA SUBA</v>
      </c>
      <c r="E227" s="66" t="str">
        <f aca="false">VLOOKUP(A227,BD_ORDENES!A:BG,4,FALSE())</f>
        <v>ET2309</v>
      </c>
      <c r="F227" s="66" t="str">
        <f aca="false">VLOOKUP(A227,BD_ORDENES!A:BE,56,FALSE())</f>
        <v>S269033</v>
      </c>
      <c r="G227" s="67" t="str">
        <f aca="false">VLOOKUP(A227,BD_ORDENES!A:BE,13,FALSE())</f>
        <v>SOFA BARBADOS DICOSTA GRIS (MATIZ CAOBA)</v>
      </c>
      <c r="H227" s="68" t="str">
        <f aca="false">VLOOKUP(A227,BD_ORDENES!A:BE,17,FALSE())</f>
        <v>SOFA</v>
      </c>
      <c r="I227" s="68" t="str">
        <f aca="false">VLOOKUP(A227,BD_ORDENES!A:BE,18,FALSE())</f>
        <v>BARBADOS</v>
      </c>
      <c r="J227" s="68" t="str">
        <f aca="false">VLOOKUP(A227,BD_ORDENES!A:BE,19,FALSE())</f>
        <v>DICOSTA</v>
      </c>
      <c r="K227" s="68" t="str">
        <f aca="false">VLOOKUP(A227,BD_ORDENES!A:BE,20,FALSE())</f>
        <v>GRIS</v>
      </c>
      <c r="L227" s="68" t="str">
        <f aca="false">VLOOKUP(A227,BD_ORDENES!A:BE,21,FALSE())</f>
        <v>MATIZ-CAOBA</v>
      </c>
      <c r="M227" s="69" t="n">
        <f aca="false">VLOOKUP(A227,BD_ORDENES!A:BE,14,FALSE())</f>
        <v>1</v>
      </c>
      <c r="N227" s="68" t="n">
        <f aca="false">VLOOKUP(A227,BD_ORDENES!A:BE,15,FALSE())</f>
        <v>0</v>
      </c>
      <c r="O227" s="68" t="str">
        <f aca="false">VLOOKUP(A227,BD_ORDENES!A:BE,33,FALSE())</f>
        <v>TRANSPORTADORA HVM BGT</v>
      </c>
      <c r="P227" s="68" t="str">
        <f aca="false">VLOOKUP(A227,BD_ORDENES!A:BE,23,FALSE())</f>
        <v>CLIENTE NO PUEDE RECIBIR DESPUÉS DE LAS 5 PM</v>
      </c>
      <c r="Q227" s="68" t="str">
        <f aca="false">VLOOKUP(A227,BD_ORDENES!A:BE,52,FALSE())</f>
        <v>Obtener Bajo Pedido (MTO)</v>
      </c>
      <c r="R227" s="68" t="str">
        <f aca="false">VLOOKUP(A227,BD_ORDENES!A:BE,25,FALSE())</f>
        <v>BOGOTA</v>
      </c>
      <c r="S227" s="68" t="str">
        <f aca="false">VLOOKUP(A227,BD_ORDENES!A:BE,22,FALSE())</f>
        <v>FREDDY ANDRÉS GUEVARA PINTO</v>
      </c>
      <c r="T227" s="65" t="str">
        <f aca="false">VLOOKUP(A227,BD_ORDENES!A:BE,55,FALSE())</f>
        <v>BODEGA LISTO</v>
      </c>
      <c r="U227" s="68" t="str">
        <f aca="false">VLOOKUP(A227,BD_ORDENES!A:BE,57,FALSE())</f>
        <v>8 VENECIA</v>
      </c>
      <c r="V227" s="70"/>
      <c r="W227" s="71"/>
    </row>
    <row r="228" s="72" customFormat="true" ht="98.25" hidden="false" customHeight="true" outlineLevel="0" collapsed="false">
      <c r="A228" s="62" t="n">
        <f aca="false">A227+1</f>
        <v>221</v>
      </c>
      <c r="B228" s="63" t="str">
        <f aca="false">VLOOKUP(A228,BD_ORDENES!A:BG,12,FALSE())</f>
        <v>__export__.product_product_330335_b9f3de3d</v>
      </c>
      <c r="C228" s="64" t="n">
        <v>221</v>
      </c>
      <c r="D228" s="65" t="str">
        <f aca="false">VLOOKUP(A228,BD_ORDENES!A:BE,10,0)</f>
        <v>TIENDA SUBA</v>
      </c>
      <c r="E228" s="66" t="str">
        <f aca="false">VLOOKUP(A228,BD_ORDENES!A:BG,4,FALSE())</f>
        <v>ET2309</v>
      </c>
      <c r="F228" s="66" t="str">
        <f aca="false">VLOOKUP(A228,BD_ORDENES!A:BE,56,FALSE())</f>
        <v>S269033</v>
      </c>
      <c r="G228" s="67" t="str">
        <f aca="false">VLOOKUP(A228,BD_ORDENES!A:BE,13,FALSE())</f>
        <v>OBSEQUIO COJIN VENECIA DICOSTA AQUA</v>
      </c>
      <c r="H228" s="68" t="str">
        <f aca="false">VLOOKUP(A228,BD_ORDENES!A:BE,17,FALSE())</f>
        <v>COJIN</v>
      </c>
      <c r="I228" s="68" t="str">
        <f aca="false">VLOOKUP(A228,BD_ORDENES!A:BE,18,FALSE())</f>
        <v>OBSEQUIO-VENECIA</v>
      </c>
      <c r="J228" s="68" t="str">
        <f aca="false">VLOOKUP(A228,BD_ORDENES!A:BE,19,FALSE())</f>
        <v>DICOSTA</v>
      </c>
      <c r="K228" s="68" t="str">
        <f aca="false">VLOOKUP(A228,BD_ORDENES!A:BE,20,FALSE())</f>
        <v>AQUA</v>
      </c>
      <c r="L228" s="68" t="n">
        <f aca="false">VLOOKUP(A228,BD_ORDENES!A:BE,21,FALSE())</f>
        <v>0</v>
      </c>
      <c r="M228" s="69" t="n">
        <f aca="false">VLOOKUP(A228,BD_ORDENES!A:BE,14,FALSE())</f>
        <v>2</v>
      </c>
      <c r="N228" s="68" t="n">
        <f aca="false">VLOOKUP(A228,BD_ORDENES!A:BE,15,FALSE())</f>
        <v>0</v>
      </c>
      <c r="O228" s="68" t="str">
        <f aca="false">VLOOKUP(A228,BD_ORDENES!A:BE,33,FALSE())</f>
        <v>TRANSPORTADORA HVM BGT</v>
      </c>
      <c r="P228" s="68" t="str">
        <f aca="false">VLOOKUP(A228,BD_ORDENES!A:BE,23,FALSE())</f>
        <v>CLIENTE NO PUEDE RECIBIR DESPUÉS DE LAS 5 PM</v>
      </c>
      <c r="Q228" s="68" t="str">
        <f aca="false">VLOOKUP(A228,BD_ORDENES!A:BE,52,FALSE())</f>
        <v>Obtener Bajo Pedido (MTO)</v>
      </c>
      <c r="R228" s="68" t="str">
        <f aca="false">VLOOKUP(A228,BD_ORDENES!A:BE,25,FALSE())</f>
        <v>BOGOTA</v>
      </c>
      <c r="S228" s="68" t="str">
        <f aca="false">VLOOKUP(A228,BD_ORDENES!A:BE,22,FALSE())</f>
        <v>FREDDY ANDRÉS GUEVARA PINTO</v>
      </c>
      <c r="T228" s="65" t="str">
        <f aca="false">VLOOKUP(A228,BD_ORDENES!A:BE,55,FALSE())</f>
        <v>BODEGA LISTO</v>
      </c>
      <c r="U228" s="68" t="str">
        <f aca="false">VLOOKUP(A228,BD_ORDENES!A:BE,57,FALSE())</f>
        <v>8 VENECIA</v>
      </c>
      <c r="V228" s="70"/>
      <c r="W228" s="71"/>
    </row>
    <row r="229" s="72" customFormat="true" ht="98.25" hidden="false" customHeight="true" outlineLevel="0" collapsed="false">
      <c r="A229" s="62" t="n">
        <f aca="false">A228+1</f>
        <v>222</v>
      </c>
      <c r="B229" s="63" t="str">
        <f aca="false">VLOOKUP(A229,BD_ORDENES!A:BG,12,FALSE())</f>
        <v>__export__.product_product_191479_f7af5c80</v>
      </c>
      <c r="C229" s="64" t="n">
        <v>222</v>
      </c>
      <c r="D229" s="65" t="str">
        <f aca="false">VLOOKUP(A229,BD_ORDENES!A:BE,10,0)</f>
        <v>FB</v>
      </c>
      <c r="E229" s="66" t="str">
        <f aca="false">VLOOKUP(A229,BD_ORDENES!A:BG,4,FALSE())</f>
        <v>LN655</v>
      </c>
      <c r="F229" s="66" t="str">
        <f aca="false">VLOOKUP(A229,BD_ORDENES!A:BE,56,FALSE())</f>
        <v>S269028</v>
      </c>
      <c r="G229" s="67" t="str">
        <f aca="false">VLOOKUP(A229,BD_ORDENES!A:BE,13,FALSE())</f>
        <v>SOFA TOULOUSE DUSTER AZUL (MATIZ NATURAL)</v>
      </c>
      <c r="H229" s="68" t="str">
        <f aca="false">VLOOKUP(A229,BD_ORDENES!A:BE,17,FALSE())</f>
        <v>SOFA</v>
      </c>
      <c r="I229" s="68" t="str">
        <f aca="false">VLOOKUP(A229,BD_ORDENES!A:BE,18,FALSE())</f>
        <v>TOULOUSE</v>
      </c>
      <c r="J229" s="68" t="str">
        <f aca="false">VLOOKUP(A229,BD_ORDENES!A:BE,19,FALSE())</f>
        <v>DUSTER</v>
      </c>
      <c r="K229" s="68" t="str">
        <f aca="false">VLOOKUP(A229,BD_ORDENES!A:BE,20,FALSE())</f>
        <v>AZUL</v>
      </c>
      <c r="L229" s="68" t="str">
        <f aca="false">VLOOKUP(A229,BD_ORDENES!A:BE,21,FALSE())</f>
        <v>MATIZ-NATURAL</v>
      </c>
      <c r="M229" s="69" t="n">
        <f aca="false">VLOOKUP(A229,BD_ORDENES!A:BE,14,FALSE())</f>
        <v>1</v>
      </c>
      <c r="N229" s="68" t="n">
        <f aca="false">VLOOKUP(A229,BD_ORDENES!A:BE,15,FALSE())</f>
        <v>0</v>
      </c>
      <c r="O229" s="68" t="str">
        <f aca="false">VLOOKUP(A229,BD_ORDENES!A:BE,33,FALSE())</f>
        <v>TRANSPORTADORA</v>
      </c>
      <c r="P229" s="68" t="n">
        <f aca="false">VLOOKUP(A229,BD_ORDENES!A:BE,23,FALSE())</f>
        <v>0</v>
      </c>
      <c r="Q229" s="68" t="str">
        <f aca="false">VLOOKUP(A229,BD_ORDENES!A:BE,52,FALSE())</f>
        <v>Obtener Bajo Pedido (MTO)</v>
      </c>
      <c r="R229" s="68" t="str">
        <f aca="false">VLOOKUP(A229,BD_ORDENES!A:BE,25,FALSE())</f>
        <v>Montenegro</v>
      </c>
      <c r="S229" s="68" t="str">
        <f aca="false">VLOOKUP(A229,BD_ORDENES!A:BE,22,FALSE())</f>
        <v>FABIAN MAURICIO JARAMILLO GALLEGO</v>
      </c>
      <c r="T229" s="65" t="str">
        <f aca="false">VLOOKUP(A229,BD_ORDENES!A:BE,55,FALSE())</f>
        <v>PRODUCCION</v>
      </c>
      <c r="U229" s="68" t="str">
        <f aca="false">VLOOKUP(A229,BD_ORDENES!A:BE,57,FALSE())</f>
        <v>1 ENVIA</v>
      </c>
      <c r="V229" s="70"/>
      <c r="W229" s="71"/>
    </row>
    <row r="230" s="72" customFormat="true" ht="98.25" hidden="false" customHeight="true" outlineLevel="0" collapsed="false">
      <c r="A230" s="62" t="n">
        <f aca="false">A229+1</f>
        <v>223</v>
      </c>
      <c r="B230" s="63" t="str">
        <f aca="false">VLOOKUP(A230,BD_ORDENES!A:BG,12,FALSE())</f>
        <v>__export__.product_product_189805_8adf235e</v>
      </c>
      <c r="C230" s="64" t="n">
        <v>223</v>
      </c>
      <c r="D230" s="65" t="str">
        <f aca="false">VLOOKUP(A230,BD_ORDENES!A:BE,10,0)</f>
        <v>FB</v>
      </c>
      <c r="E230" s="66" t="str">
        <f aca="false">VLOOKUP(A230,BD_ORDENES!A:BG,4,FALSE())</f>
        <v>LN655</v>
      </c>
      <c r="F230" s="66" t="str">
        <f aca="false">VLOOKUP(A230,BD_ORDENES!A:BE,56,FALSE())</f>
        <v>S269028</v>
      </c>
      <c r="G230" s="67" t="str">
        <f aca="false">VLOOKUP(A230,BD_ORDENES!A:BE,13,FALSE())</f>
        <v>POLTRONA TOULOUSE DUSTER AZUL (MATIZ NATURAL)</v>
      </c>
      <c r="H230" s="68" t="str">
        <f aca="false">VLOOKUP(A230,BD_ORDENES!A:BE,17,FALSE())</f>
        <v>POLTRONA</v>
      </c>
      <c r="I230" s="68" t="str">
        <f aca="false">VLOOKUP(A230,BD_ORDENES!A:BE,18,FALSE())</f>
        <v>TOULOUSE</v>
      </c>
      <c r="J230" s="68" t="str">
        <f aca="false">VLOOKUP(A230,BD_ORDENES!A:BE,19,FALSE())</f>
        <v>DUSTER</v>
      </c>
      <c r="K230" s="68" t="str">
        <f aca="false">VLOOKUP(A230,BD_ORDENES!A:BE,20,FALSE())</f>
        <v>AZUL</v>
      </c>
      <c r="L230" s="68" t="str">
        <f aca="false">VLOOKUP(A230,BD_ORDENES!A:BE,21,FALSE())</f>
        <v>MATIZ-NATURAL</v>
      </c>
      <c r="M230" s="69" t="n">
        <f aca="false">VLOOKUP(A230,BD_ORDENES!A:BE,14,FALSE())</f>
        <v>1</v>
      </c>
      <c r="N230" s="68" t="n">
        <f aca="false">VLOOKUP(A230,BD_ORDENES!A:BE,15,FALSE())</f>
        <v>0</v>
      </c>
      <c r="O230" s="68" t="str">
        <f aca="false">VLOOKUP(A230,BD_ORDENES!A:BE,33,FALSE())</f>
        <v>TRANSPORTADORA</v>
      </c>
      <c r="P230" s="68" t="n">
        <f aca="false">VLOOKUP(A230,BD_ORDENES!A:BE,23,FALSE())</f>
        <v>0</v>
      </c>
      <c r="Q230" s="68" t="str">
        <f aca="false">VLOOKUP(A230,BD_ORDENES!A:BE,52,FALSE())</f>
        <v>Obtener Bajo Pedido (MTO)</v>
      </c>
      <c r="R230" s="68" t="str">
        <f aca="false">VLOOKUP(A230,BD_ORDENES!A:BE,25,FALSE())</f>
        <v>Montenegro</v>
      </c>
      <c r="S230" s="68" t="str">
        <f aca="false">VLOOKUP(A230,BD_ORDENES!A:BE,22,FALSE())</f>
        <v>FABIAN MAURICIO JARAMILLO GALLEGO</v>
      </c>
      <c r="T230" s="65" t="str">
        <f aca="false">VLOOKUP(A230,BD_ORDENES!A:BE,55,FALSE())</f>
        <v>PRODUCCION</v>
      </c>
      <c r="U230" s="68" t="str">
        <f aca="false">VLOOKUP(A230,BD_ORDENES!A:BE,57,FALSE())</f>
        <v>1 ENVIA</v>
      </c>
      <c r="V230" s="70"/>
      <c r="W230" s="71"/>
    </row>
    <row r="231" s="72" customFormat="true" ht="98.25" hidden="false" customHeight="true" outlineLevel="0" collapsed="false">
      <c r="A231" s="62" t="n">
        <f aca="false">A230+1</f>
        <v>224</v>
      </c>
      <c r="B231" s="63" t="str">
        <f aca="false">VLOOKUP(A231,BD_ORDENES!A:BG,12,FALSE())</f>
        <v>__export__.product_product_186898_2d403f30</v>
      </c>
      <c r="C231" s="64" t="n">
        <v>224</v>
      </c>
      <c r="D231" s="65" t="str">
        <f aca="false">VLOOKUP(A231,BD_ORDENES!A:BE,10,0)</f>
        <v>FB</v>
      </c>
      <c r="E231" s="66" t="str">
        <f aca="false">VLOOKUP(A231,BD_ORDENES!A:BG,4,FALSE())</f>
        <v>LN655</v>
      </c>
      <c r="F231" s="66" t="str">
        <f aca="false">VLOOKUP(A231,BD_ORDENES!A:BE,56,FALSE())</f>
        <v>S269028</v>
      </c>
      <c r="G231" s="67" t="str">
        <f aca="false">VLOOKUP(A231,BD_ORDENES!A:BE,13,FALSE())</f>
        <v>MESA DE CENTRO CANNES M BLANCO (MATIZ NATURAL)</v>
      </c>
      <c r="H231" s="68" t="str">
        <f aca="false">VLOOKUP(A231,BD_ORDENES!A:BE,17,FALSE())</f>
        <v>MESA-CENTRO</v>
      </c>
      <c r="I231" s="68" t="str">
        <f aca="false">VLOOKUP(A231,BD_ORDENES!A:BE,18,FALSE())</f>
        <v>CANNES-M</v>
      </c>
      <c r="J231" s="68" t="n">
        <f aca="false">VLOOKUP(A231,BD_ORDENES!A:BE,19,FALSE())</f>
        <v>0</v>
      </c>
      <c r="K231" s="68" t="str">
        <f aca="false">VLOOKUP(A231,BD_ORDENES!A:BE,20,FALSE())</f>
        <v>BLANCO</v>
      </c>
      <c r="L231" s="68" t="str">
        <f aca="false">VLOOKUP(A231,BD_ORDENES!A:BE,21,FALSE())</f>
        <v>MATIZ-NATURAL</v>
      </c>
      <c r="M231" s="69" t="n">
        <f aca="false">VLOOKUP(A231,BD_ORDENES!A:BE,14,FALSE())</f>
        <v>1</v>
      </c>
      <c r="N231" s="68" t="n">
        <f aca="false">VLOOKUP(A231,BD_ORDENES!A:BE,15,FALSE())</f>
        <v>0</v>
      </c>
      <c r="O231" s="68" t="str">
        <f aca="false">VLOOKUP(A231,BD_ORDENES!A:BE,33,FALSE())</f>
        <v>TRANSPORTADORA</v>
      </c>
      <c r="P231" s="68" t="n">
        <f aca="false">VLOOKUP(A231,BD_ORDENES!A:BE,23,FALSE())</f>
        <v>0</v>
      </c>
      <c r="Q231" s="68" t="str">
        <f aca="false">VLOOKUP(A231,BD_ORDENES!A:BE,52,FALSE())</f>
        <v>Obtener Bajo Pedido (MTO)</v>
      </c>
      <c r="R231" s="68" t="str">
        <f aca="false">VLOOKUP(A231,BD_ORDENES!A:BE,25,FALSE())</f>
        <v>Montenegro</v>
      </c>
      <c r="S231" s="68" t="str">
        <f aca="false">VLOOKUP(A231,BD_ORDENES!A:BE,22,FALSE())</f>
        <v>FABIAN MAURICIO JARAMILLO GALLEGO</v>
      </c>
      <c r="T231" s="65" t="str">
        <f aca="false">VLOOKUP(A231,BD_ORDENES!A:BE,55,FALSE())</f>
        <v>PRODUCCION</v>
      </c>
      <c r="U231" s="68" t="str">
        <f aca="false">VLOOKUP(A231,BD_ORDENES!A:BE,57,FALSE())</f>
        <v>1 ENVIA</v>
      </c>
      <c r="V231" s="70"/>
      <c r="W231" s="71"/>
    </row>
    <row r="232" s="72" customFormat="true" ht="98.25" hidden="false" customHeight="true" outlineLevel="0" collapsed="false">
      <c r="A232" s="62" t="n">
        <f aca="false">A231+1</f>
        <v>225</v>
      </c>
      <c r="B232" s="63" t="str">
        <f aca="false">VLOOKUP(A232,BD_ORDENES!A:BG,12,FALSE())</f>
        <v>__export__.product_product_176897_4c03ccef</v>
      </c>
      <c r="C232" s="64" t="n">
        <v>225</v>
      </c>
      <c r="D232" s="65" t="str">
        <f aca="false">VLOOKUP(A232,BD_ORDENES!A:BE,10,0)</f>
        <v>FB</v>
      </c>
      <c r="E232" s="66" t="str">
        <f aca="false">VLOOKUP(A232,BD_ORDENES!A:BG,4,FALSE())</f>
        <v>LN655</v>
      </c>
      <c r="F232" s="66" t="str">
        <f aca="false">VLOOKUP(A232,BD_ORDENES!A:BE,56,FALSE())</f>
        <v>S269028</v>
      </c>
      <c r="G232" s="67" t="str">
        <f aca="false">VLOOKUP(A232,BD_ORDENES!A:BE,13,FALSE())</f>
        <v>SOFA PORTO DUSTER AZUL (MATIZ NATURAL)</v>
      </c>
      <c r="H232" s="68" t="str">
        <f aca="false">VLOOKUP(A232,BD_ORDENES!A:BE,17,FALSE())</f>
        <v>SOFA</v>
      </c>
      <c r="I232" s="68" t="str">
        <f aca="false">VLOOKUP(A232,BD_ORDENES!A:BE,18,FALSE())</f>
        <v>PORTO</v>
      </c>
      <c r="J232" s="68" t="str">
        <f aca="false">VLOOKUP(A232,BD_ORDENES!A:BE,19,FALSE())</f>
        <v>DUSTER</v>
      </c>
      <c r="K232" s="68" t="str">
        <f aca="false">VLOOKUP(A232,BD_ORDENES!A:BE,20,FALSE())</f>
        <v>AZUL</v>
      </c>
      <c r="L232" s="68" t="str">
        <f aca="false">VLOOKUP(A232,BD_ORDENES!A:BE,21,FALSE())</f>
        <v>MATIZ-NATURAL</v>
      </c>
      <c r="M232" s="69" t="n">
        <f aca="false">VLOOKUP(A232,BD_ORDENES!A:BE,14,FALSE())</f>
        <v>1</v>
      </c>
      <c r="N232" s="68" t="n">
        <f aca="false">VLOOKUP(A232,BD_ORDENES!A:BE,15,FALSE())</f>
        <v>0</v>
      </c>
      <c r="O232" s="68" t="str">
        <f aca="false">VLOOKUP(A232,BD_ORDENES!A:BE,33,FALSE())</f>
        <v>TRANSPORTADORA</v>
      </c>
      <c r="P232" s="68" t="n">
        <f aca="false">VLOOKUP(A232,BD_ORDENES!A:BE,23,FALSE())</f>
        <v>0</v>
      </c>
      <c r="Q232" s="68" t="str">
        <f aca="false">VLOOKUP(A232,BD_ORDENES!A:BE,52,FALSE())</f>
        <v>Obtener Bajo Pedido (MTO)</v>
      </c>
      <c r="R232" s="68" t="str">
        <f aca="false">VLOOKUP(A232,BD_ORDENES!A:BE,25,FALSE())</f>
        <v>Montenegro</v>
      </c>
      <c r="S232" s="68" t="str">
        <f aca="false">VLOOKUP(A232,BD_ORDENES!A:BE,22,FALSE())</f>
        <v>FABIAN MAURICIO JARAMILLO GALLEGO</v>
      </c>
      <c r="T232" s="65" t="str">
        <f aca="false">VLOOKUP(A232,BD_ORDENES!A:BE,55,FALSE())</f>
        <v>PRODUCCION</v>
      </c>
      <c r="U232" s="68" t="str">
        <f aca="false">VLOOKUP(A232,BD_ORDENES!A:BE,57,FALSE())</f>
        <v>1 ENVIA</v>
      </c>
      <c r="V232" s="70"/>
      <c r="W232" s="71"/>
    </row>
    <row r="233" s="72" customFormat="true" ht="98.25" hidden="false" customHeight="true" outlineLevel="0" collapsed="false">
      <c r="A233" s="62" t="n">
        <f aca="false">A232+1</f>
        <v>226</v>
      </c>
      <c r="B233" s="63" t="str">
        <f aca="false">VLOOKUP(A233,BD_ORDENES!A:BG,12,FALSE())</f>
        <v>__export__.product_product_315970_0499c360</v>
      </c>
      <c r="C233" s="64" t="n">
        <v>226</v>
      </c>
      <c r="D233" s="65" t="str">
        <f aca="false">VLOOKUP(A233,BD_ORDENES!A:BE,10,0)</f>
        <v>FB</v>
      </c>
      <c r="E233" s="66" t="str">
        <f aca="false">VLOOKUP(A233,BD_ORDENES!A:BG,4,FALSE())</f>
        <v>LN655</v>
      </c>
      <c r="F233" s="66" t="str">
        <f aca="false">VLOOKUP(A233,BD_ORDENES!A:BE,56,FALSE())</f>
        <v>S269028</v>
      </c>
      <c r="G233" s="67" t="str">
        <f aca="false">VLOOKUP(A233,BD_ORDENES!A:BE,13,FALSE())</f>
        <v>MESA DE CENTRO DAKOTA BLANCO (MATIZ NATURAL)</v>
      </c>
      <c r="H233" s="68" t="str">
        <f aca="false">VLOOKUP(A233,BD_ORDENES!A:BE,17,FALSE())</f>
        <v>MESA-CENTRO</v>
      </c>
      <c r="I233" s="68" t="str">
        <f aca="false">VLOOKUP(A233,BD_ORDENES!A:BE,18,FALSE())</f>
        <v>DAKOTA</v>
      </c>
      <c r="J233" s="68" t="n">
        <f aca="false">VLOOKUP(A233,BD_ORDENES!A:BE,19,FALSE())</f>
        <v>0</v>
      </c>
      <c r="K233" s="68" t="str">
        <f aca="false">VLOOKUP(A233,BD_ORDENES!A:BE,20,FALSE())</f>
        <v>BLANCO</v>
      </c>
      <c r="L233" s="68" t="str">
        <f aca="false">VLOOKUP(A233,BD_ORDENES!A:BE,21,FALSE())</f>
        <v>MATIZ-NATURAL</v>
      </c>
      <c r="M233" s="69" t="n">
        <f aca="false">VLOOKUP(A233,BD_ORDENES!A:BE,14,FALSE())</f>
        <v>1</v>
      </c>
      <c r="N233" s="68" t="n">
        <f aca="false">VLOOKUP(A233,BD_ORDENES!A:BE,15,FALSE())</f>
        <v>0</v>
      </c>
      <c r="O233" s="68" t="str">
        <f aca="false">VLOOKUP(A233,BD_ORDENES!A:BE,33,FALSE())</f>
        <v>TRANSPORTADORA</v>
      </c>
      <c r="P233" s="68" t="n">
        <f aca="false">VLOOKUP(A233,BD_ORDENES!A:BE,23,FALSE())</f>
        <v>0</v>
      </c>
      <c r="Q233" s="68" t="str">
        <f aca="false">VLOOKUP(A233,BD_ORDENES!A:BE,52,FALSE())</f>
        <v>Obtener Bajo Pedido (MTO)</v>
      </c>
      <c r="R233" s="68" t="str">
        <f aca="false">VLOOKUP(A233,BD_ORDENES!A:BE,25,FALSE())</f>
        <v>Montenegro</v>
      </c>
      <c r="S233" s="68" t="str">
        <f aca="false">VLOOKUP(A233,BD_ORDENES!A:BE,22,FALSE())</f>
        <v>FABIAN MAURICIO JARAMILLO GALLEGO</v>
      </c>
      <c r="T233" s="65" t="str">
        <f aca="false">VLOOKUP(A233,BD_ORDENES!A:BE,55,FALSE())</f>
        <v>PRODUCCION</v>
      </c>
      <c r="U233" s="68" t="str">
        <f aca="false">VLOOKUP(A233,BD_ORDENES!A:BE,57,FALSE())</f>
        <v>1 ENVIA</v>
      </c>
      <c r="V233" s="70"/>
      <c r="W233" s="71"/>
    </row>
    <row r="234" s="72" customFormat="true" ht="98.25" hidden="false" customHeight="true" outlineLevel="0" collapsed="false">
      <c r="A234" s="62" t="n">
        <f aca="false">A233+1</f>
        <v>227</v>
      </c>
      <c r="B234" s="63" t="str">
        <f aca="false">VLOOKUP(A234,BD_ORDENES!A:BG,12,FALSE())</f>
        <v>__export__.product_product_308431_8772986a</v>
      </c>
      <c r="C234" s="64" t="n">
        <v>227</v>
      </c>
      <c r="D234" s="65" t="str">
        <f aca="false">VLOOKUP(A234,BD_ORDENES!A:BE,10,0)</f>
        <v>FB</v>
      </c>
      <c r="E234" s="66" t="str">
        <f aca="false">VLOOKUP(A234,BD_ORDENES!A:BG,4,FALSE())</f>
        <v>DL1815</v>
      </c>
      <c r="F234" s="66" t="str">
        <f aca="false">VLOOKUP(A234,BD_ORDENES!A:BE,56,FALSE())</f>
        <v>S268991</v>
      </c>
      <c r="G234" s="67" t="str">
        <f aca="false">VLOOKUP(A234,BD_ORDENES!A:BE,13,FALSE())</f>
        <v>CAMA LANUS DOBLE BLANCO - MATIZ NATURAL</v>
      </c>
      <c r="H234" s="68" t="str">
        <f aca="false">VLOOKUP(A234,BD_ORDENES!A:BE,17,FALSE())</f>
        <v>CAMA</v>
      </c>
      <c r="I234" s="68" t="str">
        <f aca="false">VLOOKUP(A234,BD_ORDENES!A:BE,18,FALSE())</f>
        <v>LANUS-DOBLE</v>
      </c>
      <c r="J234" s="68" t="n">
        <f aca="false">VLOOKUP(A234,BD_ORDENES!A:BE,19,FALSE())</f>
        <v>0</v>
      </c>
      <c r="K234" s="68" t="str">
        <f aca="false">VLOOKUP(A234,BD_ORDENES!A:BE,20,FALSE())</f>
        <v>BLANCO-MATIZ-NATURAL</v>
      </c>
      <c r="L234" s="68" t="str">
        <f aca="false">VLOOKUP(A234,BD_ORDENES!A:BE,21,FALSE())</f>
        <v>MATIZ-NATURAL</v>
      </c>
      <c r="M234" s="69" t="n">
        <f aca="false">VLOOKUP(A234,BD_ORDENES!A:BE,14,FALSE())</f>
        <v>1</v>
      </c>
      <c r="N234" s="68" t="n">
        <f aca="false">VLOOKUP(A234,BD_ORDENES!A:BE,15,FALSE())</f>
        <v>0</v>
      </c>
      <c r="O234" s="68" t="str">
        <f aca="false">VLOOKUP(A234,BD_ORDENES!A:BE,33,FALSE())</f>
        <v>CONTRA ENTREGA SALDO</v>
      </c>
      <c r="P234" s="68" t="str">
        <f aca="false">VLOOKUP(A234,BD_ORDENES!A:BE,23,FALSE())</f>
        <v>SERVICIO DE ARMADO</v>
      </c>
      <c r="Q234" s="68" t="str">
        <f aca="false">VLOOKUP(A234,BD_ORDENES!A:BE,52,FALSE())</f>
        <v>Obtener Bajo Pedido (MTO)</v>
      </c>
      <c r="R234" s="68" t="str">
        <f aca="false">VLOOKUP(A234,BD_ORDENES!A:BE,25,FALSE())</f>
        <v>TUNJA</v>
      </c>
      <c r="S234" s="68" t="str">
        <f aca="false">VLOOKUP(A234,BD_ORDENES!A:BE,22,FALSE())</f>
        <v>MARIA ALEJANDRA VALERO CALDERON</v>
      </c>
      <c r="T234" s="65" t="str">
        <f aca="false">VLOOKUP(A234,BD_ORDENES!A:BE,55,FALSE())</f>
        <v>BODEGA LISTO</v>
      </c>
      <c r="U234" s="68" t="str">
        <f aca="false">VLOOKUP(A234,BD_ORDENES!A:BE,57,FALSE())</f>
        <v>0 BODEGA</v>
      </c>
      <c r="V234" s="70"/>
      <c r="W234" s="71"/>
    </row>
    <row r="235" s="72" customFormat="true" ht="98.25" hidden="false" customHeight="true" outlineLevel="0" collapsed="false">
      <c r="A235" s="62" t="n">
        <f aca="false">A234+1</f>
        <v>228</v>
      </c>
      <c r="B235" s="63" t="str">
        <f aca="false">VLOOKUP(A235,BD_ORDENES!A:BG,12,FALSE())</f>
        <v>__export__.product_product_189766_fb5329ca</v>
      </c>
      <c r="C235" s="64" t="n">
        <v>228</v>
      </c>
      <c r="D235" s="65" t="str">
        <f aca="false">VLOOKUP(A235,BD_ORDENES!A:BE,10,0)</f>
        <v>FB</v>
      </c>
      <c r="E235" s="66" t="str">
        <f aca="false">VLOOKUP(A235,BD_ORDENES!A:BG,4,FALSE())</f>
        <v>DL1815</v>
      </c>
      <c r="F235" s="66" t="str">
        <f aca="false">VLOOKUP(A235,BD_ORDENES!A:BE,56,FALSE())</f>
        <v>S268991</v>
      </c>
      <c r="G235" s="67" t="str">
        <f aca="false">VLOOKUP(A235,BD_ORDENES!A:BE,13,FALSE())</f>
        <v>POLTRONA TOULOUSE DICOSTA BEIGE (MATIZ NATURAL)</v>
      </c>
      <c r="H235" s="68" t="str">
        <f aca="false">VLOOKUP(A235,BD_ORDENES!A:BE,17,FALSE())</f>
        <v>POLTRONA</v>
      </c>
      <c r="I235" s="68" t="str">
        <f aca="false">VLOOKUP(A235,BD_ORDENES!A:BE,18,FALSE())</f>
        <v>TOULOUSE</v>
      </c>
      <c r="J235" s="68" t="str">
        <f aca="false">VLOOKUP(A235,BD_ORDENES!A:BE,19,FALSE())</f>
        <v>DICOSTA</v>
      </c>
      <c r="K235" s="68" t="str">
        <f aca="false">VLOOKUP(A235,BD_ORDENES!A:BE,20,FALSE())</f>
        <v>BEIGE</v>
      </c>
      <c r="L235" s="68" t="str">
        <f aca="false">VLOOKUP(A235,BD_ORDENES!A:BE,21,FALSE())</f>
        <v>MATIZ-NATURAL</v>
      </c>
      <c r="M235" s="69" t="n">
        <f aca="false">VLOOKUP(A235,BD_ORDENES!A:BE,14,FALSE())</f>
        <v>1</v>
      </c>
      <c r="N235" s="68" t="n">
        <f aca="false">VLOOKUP(A235,BD_ORDENES!A:BE,15,FALSE())</f>
        <v>0</v>
      </c>
      <c r="O235" s="68" t="str">
        <f aca="false">VLOOKUP(A235,BD_ORDENES!A:BE,33,FALSE())</f>
        <v>CONTRA ENTREGA SALDO</v>
      </c>
      <c r="P235" s="68" t="str">
        <f aca="false">VLOOKUP(A235,BD_ORDENES!A:BE,23,FALSE())</f>
        <v>SERVICIO DE ARMADO</v>
      </c>
      <c r="Q235" s="68" t="str">
        <f aca="false">VLOOKUP(A235,BD_ORDENES!A:BE,52,FALSE())</f>
        <v>Obtener Bajo Pedido (MTO)</v>
      </c>
      <c r="R235" s="68" t="str">
        <f aca="false">VLOOKUP(A235,BD_ORDENES!A:BE,25,FALSE())</f>
        <v>TUNJA</v>
      </c>
      <c r="S235" s="68" t="str">
        <f aca="false">VLOOKUP(A235,BD_ORDENES!A:BE,22,FALSE())</f>
        <v>MARIA ALEJANDRA VALERO CALDERON</v>
      </c>
      <c r="T235" s="65" t="str">
        <f aca="false">VLOOKUP(A235,BD_ORDENES!A:BE,55,FALSE())</f>
        <v>BODEGA LISTO</v>
      </c>
      <c r="U235" s="68" t="str">
        <f aca="false">VLOOKUP(A235,BD_ORDENES!A:BE,57,FALSE())</f>
        <v>0 BODEGA</v>
      </c>
      <c r="V235" s="70"/>
      <c r="W235" s="71"/>
    </row>
    <row r="236" s="72" customFormat="true" ht="98.25" hidden="false" customHeight="true" outlineLevel="0" collapsed="false">
      <c r="A236" s="62" t="n">
        <f aca="false">A235+1</f>
        <v>229</v>
      </c>
      <c r="B236" s="63" t="str">
        <f aca="false">VLOOKUP(A236,BD_ORDENES!A:BG,12,FALSE())</f>
        <v>__export__.product_product_162440_b8f04890</v>
      </c>
      <c r="C236" s="64" t="n">
        <v>229</v>
      </c>
      <c r="D236" s="65" t="str">
        <f aca="false">VLOOKUP(A236,BD_ORDENES!A:BE,10,0)</f>
        <v>FB</v>
      </c>
      <c r="E236" s="66" t="str">
        <f aca="false">VLOOKUP(A236,BD_ORDENES!A:BG,4,FALSE())</f>
        <v>DL1815</v>
      </c>
      <c r="F236" s="66" t="str">
        <f aca="false">VLOOKUP(A236,BD_ORDENES!A:BE,56,FALSE())</f>
        <v>S268991</v>
      </c>
      <c r="G236" s="67" t="str">
        <f aca="false">VLOOKUP(A236,BD_ORDENES!A:BE,13,FALSE())</f>
        <v>MESA DE NOCHE LIBIA BLANCO-DUNA (MATIZ NATURAL)</v>
      </c>
      <c r="H236" s="68" t="str">
        <f aca="false">VLOOKUP(A236,BD_ORDENES!A:BE,17,FALSE())</f>
        <v>MESA-NOCHE</v>
      </c>
      <c r="I236" s="68" t="str">
        <f aca="false">VLOOKUP(A236,BD_ORDENES!A:BE,18,FALSE())</f>
        <v>LIBIA</v>
      </c>
      <c r="J236" s="68" t="n">
        <f aca="false">VLOOKUP(A236,BD_ORDENES!A:BE,19,FALSE())</f>
        <v>0</v>
      </c>
      <c r="K236" s="68" t="str">
        <f aca="false">VLOOKUP(A236,BD_ORDENES!A:BE,20,FALSE())</f>
        <v>BLANCO-DUNA</v>
      </c>
      <c r="L236" s="68" t="str">
        <f aca="false">VLOOKUP(A236,BD_ORDENES!A:BE,21,FALSE())</f>
        <v>MATIZ-NATURAL</v>
      </c>
      <c r="M236" s="69" t="n">
        <f aca="false">VLOOKUP(A236,BD_ORDENES!A:BE,14,FALSE())</f>
        <v>1</v>
      </c>
      <c r="N236" s="68" t="n">
        <f aca="false">VLOOKUP(A236,BD_ORDENES!A:BE,15,FALSE())</f>
        <v>0</v>
      </c>
      <c r="O236" s="68" t="str">
        <f aca="false">VLOOKUP(A236,BD_ORDENES!A:BE,33,FALSE())</f>
        <v>CONTRA ENTREGA SALDO</v>
      </c>
      <c r="P236" s="68" t="str">
        <f aca="false">VLOOKUP(A236,BD_ORDENES!A:BE,23,FALSE())</f>
        <v>SERVICIO DE ARMADO</v>
      </c>
      <c r="Q236" s="68" t="str">
        <f aca="false">VLOOKUP(A236,BD_ORDENES!A:BE,52,FALSE())</f>
        <v>Obtener Bajo Pedido (MTO)</v>
      </c>
      <c r="R236" s="68" t="str">
        <f aca="false">VLOOKUP(A236,BD_ORDENES!A:BE,25,FALSE())</f>
        <v>TUNJA</v>
      </c>
      <c r="S236" s="68" t="str">
        <f aca="false">VLOOKUP(A236,BD_ORDENES!A:BE,22,FALSE())</f>
        <v>MARIA ALEJANDRA VALERO CALDERON</v>
      </c>
      <c r="T236" s="65" t="str">
        <f aca="false">VLOOKUP(A236,BD_ORDENES!A:BE,55,FALSE())</f>
        <v>BODEGA LISTO</v>
      </c>
      <c r="U236" s="68" t="str">
        <f aca="false">VLOOKUP(A236,BD_ORDENES!A:BE,57,FALSE())</f>
        <v>0 BODEGA</v>
      </c>
      <c r="V236" s="70"/>
      <c r="W236" s="71"/>
    </row>
    <row r="237" s="72" customFormat="true" ht="98.25" hidden="false" customHeight="true" outlineLevel="0" collapsed="false">
      <c r="A237" s="62" t="n">
        <f aca="false">A236+1</f>
        <v>230</v>
      </c>
      <c r="B237" s="63" t="str">
        <f aca="false">VLOOKUP(A237,BD_ORDENES!A:BG,12,FALSE())</f>
        <v>__export__.product_product_322166_fb2b05f7</v>
      </c>
      <c r="C237" s="64" t="n">
        <v>230</v>
      </c>
      <c r="D237" s="65" t="str">
        <f aca="false">VLOOKUP(A237,BD_ORDENES!A:BE,10,0)</f>
        <v>EXHIBICION TIENDA GALERIAS</v>
      </c>
      <c r="E237" s="66" t="str">
        <f aca="false">VLOOKUP(A237,BD_ORDENES!A:BG,4,FALSE())</f>
        <v>TBG161</v>
      </c>
      <c r="F237" s="66" t="str">
        <f aca="false">VLOOKUP(A237,BD_ORDENES!A:BE,56,FALSE())</f>
        <v>S268854</v>
      </c>
      <c r="G237" s="67" t="str">
        <f aca="false">VLOOKUP(A237,BD_ORDENES!A:BE,13,FALSE())</f>
        <v>CUADRO ARCOIRIS L INFANTIL (60X60)</v>
      </c>
      <c r="H237" s="68" t="str">
        <f aca="false">VLOOKUP(A237,BD_ORDENES!A:BE,17,FALSE())</f>
        <v>CUADRO</v>
      </c>
      <c r="I237" s="68" t="str">
        <f aca="false">VLOOKUP(A237,BD_ORDENES!A:BE,18,FALSE())</f>
        <v>ARCOIRIS-L-(60X60)</v>
      </c>
      <c r="J237" s="68" t="n">
        <f aca="false">VLOOKUP(A237,BD_ORDENES!A:BE,19,FALSE())</f>
        <v>0</v>
      </c>
      <c r="K237" s="68" t="n">
        <f aca="false">VLOOKUP(A237,BD_ORDENES!A:BE,20,FALSE())</f>
        <v>0</v>
      </c>
      <c r="L237" s="68" t="n">
        <f aca="false">VLOOKUP(A237,BD_ORDENES!A:BE,21,FALSE())</f>
        <v>0</v>
      </c>
      <c r="M237" s="69" t="n">
        <f aca="false">VLOOKUP(A237,BD_ORDENES!A:BE,14,FALSE())</f>
        <v>1</v>
      </c>
      <c r="N237" s="68" t="n">
        <f aca="false">VLOOKUP(A237,BD_ORDENES!A:BE,15,FALSE())</f>
        <v>0</v>
      </c>
      <c r="O237" s="68" t="str">
        <f aca="false">VLOOKUP(A237,BD_ORDENES!A:BE,33,FALSE())</f>
        <v>TRANSPORTADORA HVM BGT</v>
      </c>
      <c r="P237" s="68" t="n">
        <f aca="false">VLOOKUP(A237,BD_ORDENES!A:BE,23,FALSE())</f>
        <v>0</v>
      </c>
      <c r="Q237" s="68" t="str">
        <f aca="false">VLOOKUP(A237,BD_ORDENES!A:BE,52,FALSE())</f>
        <v>Retiro DECORACION POR ENTREGAR</v>
      </c>
      <c r="R237" s="68" t="str">
        <f aca="false">VLOOKUP(A237,BD_ORDENES!A:BE,25,FALSE())</f>
        <v>BOGOTA</v>
      </c>
      <c r="S237" s="68" t="str">
        <f aca="false">VLOOKUP(A237,BD_ORDENES!A:BE,22,FALSE())</f>
        <v>EXHIBICION TIENDA GALERIAS</v>
      </c>
      <c r="T237" s="65" t="str">
        <f aca="false">VLOOKUP(A237,BD_ORDENES!A:BE,55,FALSE())</f>
        <v>PRODUCCION</v>
      </c>
      <c r="U237" s="68" t="str">
        <f aca="false">VLOOKUP(A237,BD_ORDENES!A:BE,57,FALSE())</f>
        <v>8 VENECIA</v>
      </c>
      <c r="V237" s="70"/>
      <c r="W237" s="71"/>
    </row>
    <row r="238" s="72" customFormat="true" ht="98.25" hidden="false" customHeight="true" outlineLevel="0" collapsed="false">
      <c r="A238" s="62" t="n">
        <f aca="false">A237+1</f>
        <v>231</v>
      </c>
      <c r="B238" s="63" t="str">
        <f aca="false">VLOOKUP(A238,BD_ORDENES!A:BG,12,FALSE())</f>
        <v>__export__.product_product_332970_fb8a4776</v>
      </c>
      <c r="C238" s="64" t="n">
        <v>231</v>
      </c>
      <c r="D238" s="65" t="str">
        <f aca="false">VLOOKUP(A238,BD_ORDENES!A:BE,10,0)</f>
        <v>EXHIBICION TIENDA GALERIAS</v>
      </c>
      <c r="E238" s="66" t="str">
        <f aca="false">VLOOKUP(A238,BD_ORDENES!A:BG,4,FALSE())</f>
        <v>TBG161</v>
      </c>
      <c r="F238" s="66" t="str">
        <f aca="false">VLOOKUP(A238,BD_ORDENES!A:BE,56,FALSE())</f>
        <v>S268854</v>
      </c>
      <c r="G238" s="67" t="str">
        <f aca="false">VLOOKUP(A238,BD_ORDENES!A:BE,13,FALSE())</f>
        <v>CUADRO ARCOIRIS S INFANTIL (30X30)</v>
      </c>
      <c r="H238" s="68" t="str">
        <f aca="false">VLOOKUP(A238,BD_ORDENES!A:BE,17,FALSE())</f>
        <v>CUADRO</v>
      </c>
      <c r="I238" s="68" t="str">
        <f aca="false">VLOOKUP(A238,BD_ORDENES!A:BE,18,FALSE())</f>
        <v>ARCOIRIS-S-INFANTIL-(30X30)</v>
      </c>
      <c r="J238" s="68" t="n">
        <f aca="false">VLOOKUP(A238,BD_ORDENES!A:BE,19,FALSE())</f>
        <v>0</v>
      </c>
      <c r="K238" s="68" t="n">
        <f aca="false">VLOOKUP(A238,BD_ORDENES!A:BE,20,FALSE())</f>
        <v>0</v>
      </c>
      <c r="L238" s="68" t="n">
        <f aca="false">VLOOKUP(A238,BD_ORDENES!A:BE,21,FALSE())</f>
        <v>0</v>
      </c>
      <c r="M238" s="69" t="n">
        <f aca="false">VLOOKUP(A238,BD_ORDENES!A:BE,14,FALSE())</f>
        <v>1</v>
      </c>
      <c r="N238" s="68" t="n">
        <f aca="false">VLOOKUP(A238,BD_ORDENES!A:BE,15,FALSE())</f>
        <v>0</v>
      </c>
      <c r="O238" s="68" t="str">
        <f aca="false">VLOOKUP(A238,BD_ORDENES!A:BE,33,FALSE())</f>
        <v>TRANSPORTADORA HVM BGT</v>
      </c>
      <c r="P238" s="68" t="n">
        <f aca="false">VLOOKUP(A238,BD_ORDENES!A:BE,23,FALSE())</f>
        <v>0</v>
      </c>
      <c r="Q238" s="68" t="str">
        <f aca="false">VLOOKUP(A238,BD_ORDENES!A:BE,52,FALSE())</f>
        <v>Retiro DECORACION POR ENTREGAR</v>
      </c>
      <c r="R238" s="68" t="str">
        <f aca="false">VLOOKUP(A238,BD_ORDENES!A:BE,25,FALSE())</f>
        <v>BOGOTA</v>
      </c>
      <c r="S238" s="68" t="str">
        <f aca="false">VLOOKUP(A238,BD_ORDENES!A:BE,22,FALSE())</f>
        <v>EXHIBICION TIENDA GALERIAS</v>
      </c>
      <c r="T238" s="65" t="str">
        <f aca="false">VLOOKUP(A238,BD_ORDENES!A:BE,55,FALSE())</f>
        <v>PRODUCCION</v>
      </c>
      <c r="U238" s="68" t="str">
        <f aca="false">VLOOKUP(A238,BD_ORDENES!A:BE,57,FALSE())</f>
        <v>8 VENECIA</v>
      </c>
      <c r="V238" s="70"/>
      <c r="W238" s="71"/>
    </row>
    <row r="239" s="72" customFormat="true" ht="98.25" hidden="false" customHeight="true" outlineLevel="0" collapsed="false">
      <c r="A239" s="62" t="n">
        <f aca="false">A238+1</f>
        <v>232</v>
      </c>
      <c r="B239" s="63" t="str">
        <f aca="false">VLOOKUP(A239,BD_ORDENES!A:BG,12,FALSE())</f>
        <v>__export__.product_product_283803_318db1db</v>
      </c>
      <c r="C239" s="64" t="n">
        <v>232</v>
      </c>
      <c r="D239" s="65" t="str">
        <f aca="false">VLOOKUP(A239,BD_ORDENES!A:BE,10,0)</f>
        <v>EXHIBICION TIENDA GALERIAS</v>
      </c>
      <c r="E239" s="66" t="str">
        <f aca="false">VLOOKUP(A239,BD_ORDENES!A:BG,4,FALSE())</f>
        <v>TBG161</v>
      </c>
      <c r="F239" s="66" t="str">
        <f aca="false">VLOOKUP(A239,BD_ORDENES!A:BE,56,FALSE())</f>
        <v>S268854</v>
      </c>
      <c r="G239" s="67" t="str">
        <f aca="false">VLOOKUP(A239,BD_ORDENES!A:BE,13,FALSE())</f>
        <v>CUADRO ARTE ABSTRACT L (60X60)</v>
      </c>
      <c r="H239" s="68" t="str">
        <f aca="false">VLOOKUP(A239,BD_ORDENES!A:BE,17,FALSE())</f>
        <v>CUADRO</v>
      </c>
      <c r="I239" s="68" t="str">
        <f aca="false">VLOOKUP(A239,BD_ORDENES!A:BE,18,FALSE())</f>
        <v>ARTE-ABSTRACT-L-(60X60)</v>
      </c>
      <c r="J239" s="68" t="n">
        <f aca="false">VLOOKUP(A239,BD_ORDENES!A:BE,19,FALSE())</f>
        <v>0</v>
      </c>
      <c r="K239" s="68" t="n">
        <f aca="false">VLOOKUP(A239,BD_ORDENES!A:BE,20,FALSE())</f>
        <v>0</v>
      </c>
      <c r="L239" s="68" t="n">
        <f aca="false">VLOOKUP(A239,BD_ORDENES!A:BE,21,FALSE())</f>
        <v>0</v>
      </c>
      <c r="M239" s="69" t="n">
        <f aca="false">VLOOKUP(A239,BD_ORDENES!A:BE,14,FALSE())</f>
        <v>1</v>
      </c>
      <c r="N239" s="68" t="n">
        <f aca="false">VLOOKUP(A239,BD_ORDENES!A:BE,15,FALSE())</f>
        <v>0</v>
      </c>
      <c r="O239" s="68" t="str">
        <f aca="false">VLOOKUP(A239,BD_ORDENES!A:BE,33,FALSE())</f>
        <v>TRANSPORTADORA HVM BGT</v>
      </c>
      <c r="P239" s="68" t="n">
        <f aca="false">VLOOKUP(A239,BD_ORDENES!A:BE,23,FALSE())</f>
        <v>0</v>
      </c>
      <c r="Q239" s="68" t="str">
        <f aca="false">VLOOKUP(A239,BD_ORDENES!A:BE,52,FALSE())</f>
        <v>Retiro DECORACION POR ENTREGAR</v>
      </c>
      <c r="R239" s="68" t="str">
        <f aca="false">VLOOKUP(A239,BD_ORDENES!A:BE,25,FALSE())</f>
        <v>BOGOTA</v>
      </c>
      <c r="S239" s="68" t="str">
        <f aca="false">VLOOKUP(A239,BD_ORDENES!A:BE,22,FALSE())</f>
        <v>EXHIBICION TIENDA GALERIAS</v>
      </c>
      <c r="T239" s="65" t="str">
        <f aca="false">VLOOKUP(A239,BD_ORDENES!A:BE,55,FALSE())</f>
        <v>PRODUCCION</v>
      </c>
      <c r="U239" s="68" t="str">
        <f aca="false">VLOOKUP(A239,BD_ORDENES!A:BE,57,FALSE())</f>
        <v>8 VENECIA</v>
      </c>
      <c r="V239" s="70"/>
      <c r="W239" s="71"/>
    </row>
    <row r="240" s="72" customFormat="true" ht="98.25" hidden="false" customHeight="true" outlineLevel="0" collapsed="false">
      <c r="A240" s="62" t="n">
        <f aca="false">A239+1</f>
        <v>233</v>
      </c>
      <c r="B240" s="63" t="str">
        <f aca="false">VLOOKUP(A240,BD_ORDENES!A:BG,12,FALSE())</f>
        <v>__export__.product_product_283801_12372af4</v>
      </c>
      <c r="C240" s="64" t="n">
        <v>233</v>
      </c>
      <c r="D240" s="65" t="str">
        <f aca="false">VLOOKUP(A240,BD_ORDENES!A:BE,10,0)</f>
        <v>EXHIBICION TIENDA GALERIAS</v>
      </c>
      <c r="E240" s="66" t="str">
        <f aca="false">VLOOKUP(A240,BD_ORDENES!A:BG,4,FALSE())</f>
        <v>TBG161</v>
      </c>
      <c r="F240" s="66" t="str">
        <f aca="false">VLOOKUP(A240,BD_ORDENES!A:BE,56,FALSE())</f>
        <v>S268854</v>
      </c>
      <c r="G240" s="67" t="str">
        <f aca="false">VLOOKUP(A240,BD_ORDENES!A:BE,13,FALSE())</f>
        <v>CUADRO ARTE ABSTRACT M (70X45)</v>
      </c>
      <c r="H240" s="68" t="str">
        <f aca="false">VLOOKUP(A240,BD_ORDENES!A:BE,17,FALSE())</f>
        <v>CUADRO</v>
      </c>
      <c r="I240" s="68" t="str">
        <f aca="false">VLOOKUP(A240,BD_ORDENES!A:BE,18,FALSE())</f>
        <v>ARTE-ABSTRACT-M-(70X45)</v>
      </c>
      <c r="J240" s="68" t="n">
        <f aca="false">VLOOKUP(A240,BD_ORDENES!A:BE,19,FALSE())</f>
        <v>0</v>
      </c>
      <c r="K240" s="68" t="n">
        <f aca="false">VLOOKUP(A240,BD_ORDENES!A:BE,20,FALSE())</f>
        <v>0</v>
      </c>
      <c r="L240" s="68" t="n">
        <f aca="false">VLOOKUP(A240,BD_ORDENES!A:BE,21,FALSE())</f>
        <v>0</v>
      </c>
      <c r="M240" s="69" t="n">
        <f aca="false">VLOOKUP(A240,BD_ORDENES!A:BE,14,FALSE())</f>
        <v>1</v>
      </c>
      <c r="N240" s="68" t="n">
        <f aca="false">VLOOKUP(A240,BD_ORDENES!A:BE,15,FALSE())</f>
        <v>0</v>
      </c>
      <c r="O240" s="68" t="str">
        <f aca="false">VLOOKUP(A240,BD_ORDENES!A:BE,33,FALSE())</f>
        <v>TRANSPORTADORA HVM BGT</v>
      </c>
      <c r="P240" s="68" t="n">
        <f aca="false">VLOOKUP(A240,BD_ORDENES!A:BE,23,FALSE())</f>
        <v>0</v>
      </c>
      <c r="Q240" s="68" t="str">
        <f aca="false">VLOOKUP(A240,BD_ORDENES!A:BE,52,FALSE())</f>
        <v>Retiro DECORACION POR ENTREGAR</v>
      </c>
      <c r="R240" s="68" t="str">
        <f aca="false">VLOOKUP(A240,BD_ORDENES!A:BE,25,FALSE())</f>
        <v>BOGOTA</v>
      </c>
      <c r="S240" s="68" t="str">
        <f aca="false">VLOOKUP(A240,BD_ORDENES!A:BE,22,FALSE())</f>
        <v>EXHIBICION TIENDA GALERIAS</v>
      </c>
      <c r="T240" s="65" t="str">
        <f aca="false">VLOOKUP(A240,BD_ORDENES!A:BE,55,FALSE())</f>
        <v>PRODUCCION</v>
      </c>
      <c r="U240" s="68" t="str">
        <f aca="false">VLOOKUP(A240,BD_ORDENES!A:BE,57,FALSE())</f>
        <v>8 VENECIA</v>
      </c>
      <c r="V240" s="70"/>
      <c r="W240" s="71"/>
    </row>
    <row r="241" s="72" customFormat="true" ht="98.25" hidden="false" customHeight="true" outlineLevel="0" collapsed="false">
      <c r="A241" s="62" t="n">
        <f aca="false">A240+1</f>
        <v>234</v>
      </c>
      <c r="B241" s="63" t="str">
        <f aca="false">VLOOKUP(A241,BD_ORDENES!A:BG,12,FALSE())</f>
        <v>__export__.product_product_333072_8bc58448</v>
      </c>
      <c r="C241" s="64" t="n">
        <v>234</v>
      </c>
      <c r="D241" s="65" t="str">
        <f aca="false">VLOOKUP(A241,BD_ORDENES!A:BE,10,0)</f>
        <v>EXHIBICION TIENDA GALERIAS</v>
      </c>
      <c r="E241" s="66" t="str">
        <f aca="false">VLOOKUP(A241,BD_ORDENES!A:BG,4,FALSE())</f>
        <v>TBG161</v>
      </c>
      <c r="F241" s="66" t="str">
        <f aca="false">VLOOKUP(A241,BD_ORDENES!A:BE,56,FALSE())</f>
        <v>S268854</v>
      </c>
      <c r="G241" s="67" t="str">
        <f aca="false">VLOOKUP(A241,BD_ORDENES!A:BE,13,FALSE())</f>
        <v>CUADRO AVION PRINCIPITO M (70X45)</v>
      </c>
      <c r="H241" s="68" t="str">
        <f aca="false">VLOOKUP(A241,BD_ORDENES!A:BE,17,FALSE())</f>
        <v>CUADRO</v>
      </c>
      <c r="I241" s="68" t="str">
        <f aca="false">VLOOKUP(A241,BD_ORDENES!A:BE,18,FALSE())</f>
        <v>AVION-PRINCIPITO-M-(70X45)</v>
      </c>
      <c r="J241" s="68" t="n">
        <f aca="false">VLOOKUP(A241,BD_ORDENES!A:BE,19,FALSE())</f>
        <v>0</v>
      </c>
      <c r="K241" s="68" t="n">
        <f aca="false">VLOOKUP(A241,BD_ORDENES!A:BE,20,FALSE())</f>
        <v>0</v>
      </c>
      <c r="L241" s="68" t="n">
        <f aca="false">VLOOKUP(A241,BD_ORDENES!A:BE,21,FALSE())</f>
        <v>0</v>
      </c>
      <c r="M241" s="69" t="n">
        <f aca="false">VLOOKUP(A241,BD_ORDENES!A:BE,14,FALSE())</f>
        <v>1</v>
      </c>
      <c r="N241" s="68" t="n">
        <f aca="false">VLOOKUP(A241,BD_ORDENES!A:BE,15,FALSE())</f>
        <v>0</v>
      </c>
      <c r="O241" s="68" t="str">
        <f aca="false">VLOOKUP(A241,BD_ORDENES!A:BE,33,FALSE())</f>
        <v>TRANSPORTADORA HVM BGT</v>
      </c>
      <c r="P241" s="68" t="n">
        <f aca="false">VLOOKUP(A241,BD_ORDENES!A:BE,23,FALSE())</f>
        <v>0</v>
      </c>
      <c r="Q241" s="68" t="str">
        <f aca="false">VLOOKUP(A241,BD_ORDENES!A:BE,52,FALSE())</f>
        <v>Retiro DECORACION POR ENTREGAR</v>
      </c>
      <c r="R241" s="68" t="str">
        <f aca="false">VLOOKUP(A241,BD_ORDENES!A:BE,25,FALSE())</f>
        <v>BOGOTA</v>
      </c>
      <c r="S241" s="68" t="str">
        <f aca="false">VLOOKUP(A241,BD_ORDENES!A:BE,22,FALSE())</f>
        <v>EXHIBICION TIENDA GALERIAS</v>
      </c>
      <c r="T241" s="65" t="str">
        <f aca="false">VLOOKUP(A241,BD_ORDENES!A:BE,55,FALSE())</f>
        <v>PRODUCCION</v>
      </c>
      <c r="U241" s="68" t="str">
        <f aca="false">VLOOKUP(A241,BD_ORDENES!A:BE,57,FALSE())</f>
        <v>8 VENECIA</v>
      </c>
      <c r="V241" s="70"/>
      <c r="W241" s="71"/>
    </row>
    <row r="242" s="72" customFormat="true" ht="98.25" hidden="false" customHeight="true" outlineLevel="0" collapsed="false">
      <c r="A242" s="62" t="n">
        <f aca="false">A241+1</f>
        <v>235</v>
      </c>
      <c r="B242" s="63" t="str">
        <f aca="false">VLOOKUP(A242,BD_ORDENES!A:BG,12,FALSE())</f>
        <v>__export__.product_product_208243_7b518e67</v>
      </c>
      <c r="C242" s="64" t="n">
        <v>235</v>
      </c>
      <c r="D242" s="65" t="str">
        <f aca="false">VLOOKUP(A242,BD_ORDENES!A:BE,10,0)</f>
        <v>EXHIBICION TIENDA GALERIAS</v>
      </c>
      <c r="E242" s="66" t="str">
        <f aca="false">VLOOKUP(A242,BD_ORDENES!A:BG,4,FALSE())</f>
        <v>TBG161</v>
      </c>
      <c r="F242" s="66" t="str">
        <f aca="false">VLOOKUP(A242,BD_ORDENES!A:BE,56,FALSE())</f>
        <v>S268854</v>
      </c>
      <c r="G242" s="67" t="str">
        <f aca="false">VLOOKUP(A242,BD_ORDENES!A:BE,13,FALSE())</f>
        <v>CUADRO BICICLETA L (60X60)</v>
      </c>
      <c r="H242" s="68" t="str">
        <f aca="false">VLOOKUP(A242,BD_ORDENES!A:BE,17,FALSE())</f>
        <v>CUADRO</v>
      </c>
      <c r="I242" s="68" t="str">
        <f aca="false">VLOOKUP(A242,BD_ORDENES!A:BE,18,FALSE())</f>
        <v>BICICLETA-L-(60X60)</v>
      </c>
      <c r="J242" s="68" t="n">
        <f aca="false">VLOOKUP(A242,BD_ORDENES!A:BE,19,FALSE())</f>
        <v>0</v>
      </c>
      <c r="K242" s="68" t="n">
        <f aca="false">VLOOKUP(A242,BD_ORDENES!A:BE,20,FALSE())</f>
        <v>0</v>
      </c>
      <c r="L242" s="68" t="n">
        <f aca="false">VLOOKUP(A242,BD_ORDENES!A:BE,21,FALSE())</f>
        <v>0</v>
      </c>
      <c r="M242" s="69" t="n">
        <f aca="false">VLOOKUP(A242,BD_ORDENES!A:BE,14,FALSE())</f>
        <v>1</v>
      </c>
      <c r="N242" s="68" t="n">
        <f aca="false">VLOOKUP(A242,BD_ORDENES!A:BE,15,FALSE())</f>
        <v>0</v>
      </c>
      <c r="O242" s="68" t="str">
        <f aca="false">VLOOKUP(A242,BD_ORDENES!A:BE,33,FALSE())</f>
        <v>TRANSPORTADORA HVM BGT</v>
      </c>
      <c r="P242" s="68" t="n">
        <f aca="false">VLOOKUP(A242,BD_ORDENES!A:BE,23,FALSE())</f>
        <v>0</v>
      </c>
      <c r="Q242" s="68" t="str">
        <f aca="false">VLOOKUP(A242,BD_ORDENES!A:BE,52,FALSE())</f>
        <v>Retiro DECORACION POR ENTREGAR</v>
      </c>
      <c r="R242" s="68" t="str">
        <f aca="false">VLOOKUP(A242,BD_ORDENES!A:BE,25,FALSE())</f>
        <v>BOGOTA</v>
      </c>
      <c r="S242" s="68" t="str">
        <f aca="false">VLOOKUP(A242,BD_ORDENES!A:BE,22,FALSE())</f>
        <v>EXHIBICION TIENDA GALERIAS</v>
      </c>
      <c r="T242" s="65" t="str">
        <f aca="false">VLOOKUP(A242,BD_ORDENES!A:BE,55,FALSE())</f>
        <v>PRODUCCION</v>
      </c>
      <c r="U242" s="68" t="str">
        <f aca="false">VLOOKUP(A242,BD_ORDENES!A:BE,57,FALSE())</f>
        <v>8 VENECIA</v>
      </c>
      <c r="V242" s="70"/>
      <c r="W242" s="71"/>
    </row>
    <row r="243" s="72" customFormat="true" ht="98.25" hidden="false" customHeight="true" outlineLevel="0" collapsed="false">
      <c r="A243" s="62" t="n">
        <f aca="false">A242+1</f>
        <v>236</v>
      </c>
      <c r="B243" s="63" t="str">
        <f aca="false">VLOOKUP(A243,BD_ORDENES!A:BG,12,FALSE())</f>
        <v>__export__.product_product_322903_c93ff20b</v>
      </c>
      <c r="C243" s="64" t="n">
        <v>236</v>
      </c>
      <c r="D243" s="65" t="str">
        <f aca="false">VLOOKUP(A243,BD_ORDENES!A:BE,10,0)</f>
        <v>EXHIBICION TIENDA GALERIAS</v>
      </c>
      <c r="E243" s="66" t="str">
        <f aca="false">VLOOKUP(A243,BD_ORDENES!A:BG,4,FALSE())</f>
        <v>TBG161</v>
      </c>
      <c r="F243" s="66" t="str">
        <f aca="false">VLOOKUP(A243,BD_ORDENES!A:BE,56,FALSE())</f>
        <v>S268854</v>
      </c>
      <c r="G243" s="67" t="str">
        <f aca="false">VLOOKUP(A243,BD_ORDENES!A:BE,13,FALSE())</f>
        <v>CUADRO BICICLETA S (30X30)</v>
      </c>
      <c r="H243" s="68" t="str">
        <f aca="false">VLOOKUP(A243,BD_ORDENES!A:BE,17,FALSE())</f>
        <v>CUADRO</v>
      </c>
      <c r="I243" s="68" t="str">
        <f aca="false">VLOOKUP(A243,BD_ORDENES!A:BE,18,FALSE())</f>
        <v>BICICLETA-S-(30X30)</v>
      </c>
      <c r="J243" s="68" t="n">
        <f aca="false">VLOOKUP(A243,BD_ORDENES!A:BE,19,FALSE())</f>
        <v>0</v>
      </c>
      <c r="K243" s="68" t="n">
        <f aca="false">VLOOKUP(A243,BD_ORDENES!A:BE,20,FALSE())</f>
        <v>0</v>
      </c>
      <c r="L243" s="68" t="n">
        <f aca="false">VLOOKUP(A243,BD_ORDENES!A:BE,21,FALSE())</f>
        <v>0</v>
      </c>
      <c r="M243" s="69" t="n">
        <f aca="false">VLOOKUP(A243,BD_ORDENES!A:BE,14,FALSE())</f>
        <v>1</v>
      </c>
      <c r="N243" s="68" t="n">
        <f aca="false">VLOOKUP(A243,BD_ORDENES!A:BE,15,FALSE())</f>
        <v>0</v>
      </c>
      <c r="O243" s="68" t="str">
        <f aca="false">VLOOKUP(A243,BD_ORDENES!A:BE,33,FALSE())</f>
        <v>TRANSPORTADORA HVM BGT</v>
      </c>
      <c r="P243" s="68" t="n">
        <f aca="false">VLOOKUP(A243,BD_ORDENES!A:BE,23,FALSE())</f>
        <v>0</v>
      </c>
      <c r="Q243" s="68" t="str">
        <f aca="false">VLOOKUP(A243,BD_ORDENES!A:BE,52,FALSE())</f>
        <v>Retiro DECORACION POR ENTREGAR</v>
      </c>
      <c r="R243" s="68" t="str">
        <f aca="false">VLOOKUP(A243,BD_ORDENES!A:BE,25,FALSE())</f>
        <v>BOGOTA</v>
      </c>
      <c r="S243" s="68" t="str">
        <f aca="false">VLOOKUP(A243,BD_ORDENES!A:BE,22,FALSE())</f>
        <v>EXHIBICION TIENDA GALERIAS</v>
      </c>
      <c r="T243" s="65" t="str">
        <f aca="false">VLOOKUP(A243,BD_ORDENES!A:BE,55,FALSE())</f>
        <v>PRODUCCION</v>
      </c>
      <c r="U243" s="68" t="str">
        <f aca="false">VLOOKUP(A243,BD_ORDENES!A:BE,57,FALSE())</f>
        <v>8 VENECIA</v>
      </c>
      <c r="V243" s="70"/>
      <c r="W243" s="71"/>
    </row>
    <row r="244" s="72" customFormat="true" ht="98.25" hidden="false" customHeight="true" outlineLevel="0" collapsed="false">
      <c r="A244" s="62" t="n">
        <f aca="false">A243+1</f>
        <v>237</v>
      </c>
      <c r="B244" s="63" t="str">
        <f aca="false">VLOOKUP(A244,BD_ORDENES!A:BG,12,FALSE())</f>
        <v>__export__.product_product_285087_c35447a1</v>
      </c>
      <c r="C244" s="64" t="n">
        <v>237</v>
      </c>
      <c r="D244" s="65" t="str">
        <f aca="false">VLOOKUP(A244,BD_ORDENES!A:BE,10,0)</f>
        <v>EXHIBICION TIENDA GALERIAS</v>
      </c>
      <c r="E244" s="66" t="str">
        <f aca="false">VLOOKUP(A244,BD_ORDENES!A:BG,4,FALSE())</f>
        <v>TBG161</v>
      </c>
      <c r="F244" s="66" t="str">
        <f aca="false">VLOOKUP(A244,BD_ORDENES!A:BE,56,FALSE())</f>
        <v>S268854</v>
      </c>
      <c r="G244" s="67" t="str">
        <f aca="false">VLOOKUP(A244,BD_ORDENES!A:BE,13,FALSE())</f>
        <v>CUADRO BOSQUE M (70X45)</v>
      </c>
      <c r="H244" s="68" t="str">
        <f aca="false">VLOOKUP(A244,BD_ORDENES!A:BE,17,FALSE())</f>
        <v>CUADRO</v>
      </c>
      <c r="I244" s="68" t="str">
        <f aca="false">VLOOKUP(A244,BD_ORDENES!A:BE,18,FALSE())</f>
        <v>BOSQUE-M-(70X45)</v>
      </c>
      <c r="J244" s="68" t="n">
        <f aca="false">VLOOKUP(A244,BD_ORDENES!A:BE,19,FALSE())</f>
        <v>0</v>
      </c>
      <c r="K244" s="68" t="n">
        <f aca="false">VLOOKUP(A244,BD_ORDENES!A:BE,20,FALSE())</f>
        <v>0</v>
      </c>
      <c r="L244" s="68" t="n">
        <f aca="false">VLOOKUP(A244,BD_ORDENES!A:BE,21,FALSE())</f>
        <v>0</v>
      </c>
      <c r="M244" s="69" t="n">
        <f aca="false">VLOOKUP(A244,BD_ORDENES!A:BE,14,FALSE())</f>
        <v>1</v>
      </c>
      <c r="N244" s="68" t="n">
        <f aca="false">VLOOKUP(A244,BD_ORDENES!A:BE,15,FALSE())</f>
        <v>0</v>
      </c>
      <c r="O244" s="68" t="str">
        <f aca="false">VLOOKUP(A244,BD_ORDENES!A:BE,33,FALSE())</f>
        <v>TRANSPORTADORA HVM BGT</v>
      </c>
      <c r="P244" s="68" t="n">
        <f aca="false">VLOOKUP(A244,BD_ORDENES!A:BE,23,FALSE())</f>
        <v>0</v>
      </c>
      <c r="Q244" s="68" t="str">
        <f aca="false">VLOOKUP(A244,BD_ORDENES!A:BE,52,FALSE())</f>
        <v>Retiro DECORACION POR ENTREGAR</v>
      </c>
      <c r="R244" s="68" t="str">
        <f aca="false">VLOOKUP(A244,BD_ORDENES!A:BE,25,FALSE())</f>
        <v>BOGOTA</v>
      </c>
      <c r="S244" s="68" t="str">
        <f aca="false">VLOOKUP(A244,BD_ORDENES!A:BE,22,FALSE())</f>
        <v>EXHIBICION TIENDA GALERIAS</v>
      </c>
      <c r="T244" s="65" t="str">
        <f aca="false">VLOOKUP(A244,BD_ORDENES!A:BE,55,FALSE())</f>
        <v>PRODUCCION</v>
      </c>
      <c r="U244" s="68" t="str">
        <f aca="false">VLOOKUP(A244,BD_ORDENES!A:BE,57,FALSE())</f>
        <v>8 VENECIA</v>
      </c>
      <c r="V244" s="70"/>
      <c r="W244" s="71"/>
    </row>
    <row r="245" s="72" customFormat="true" ht="98.25" hidden="false" customHeight="true" outlineLevel="0" collapsed="false">
      <c r="A245" s="62" t="n">
        <f aca="false">A244+1</f>
        <v>238</v>
      </c>
      <c r="B245" s="63" t="str">
        <f aca="false">VLOOKUP(A245,BD_ORDENES!A:BG,12,FALSE())</f>
        <v>__export__.product_product_285061_9a4bf66c</v>
      </c>
      <c r="C245" s="64" t="n">
        <v>238</v>
      </c>
      <c r="D245" s="65" t="str">
        <f aca="false">VLOOKUP(A245,BD_ORDENES!A:BE,10,0)</f>
        <v>EXHIBICION TIENDA GALERIAS</v>
      </c>
      <c r="E245" s="66" t="str">
        <f aca="false">VLOOKUP(A245,BD_ORDENES!A:BG,4,FALSE())</f>
        <v>TBG161</v>
      </c>
      <c r="F245" s="66" t="str">
        <f aca="false">VLOOKUP(A245,BD_ORDENES!A:BE,56,FALSE())</f>
        <v>S268854</v>
      </c>
      <c r="G245" s="67" t="str">
        <f aca="false">VLOOKUP(A245,BD_ORDENES!A:BE,13,FALSE())</f>
        <v>CUADRO CALLE ANTIGUA M (70X45)</v>
      </c>
      <c r="H245" s="68" t="str">
        <f aca="false">VLOOKUP(A245,BD_ORDENES!A:BE,17,FALSE())</f>
        <v>CUADRO</v>
      </c>
      <c r="I245" s="68" t="str">
        <f aca="false">VLOOKUP(A245,BD_ORDENES!A:BE,18,FALSE())</f>
        <v>CALLE-ANTIGUA-M-(70X45)</v>
      </c>
      <c r="J245" s="68" t="n">
        <f aca="false">VLOOKUP(A245,BD_ORDENES!A:BE,19,FALSE())</f>
        <v>0</v>
      </c>
      <c r="K245" s="68" t="n">
        <f aca="false">VLOOKUP(A245,BD_ORDENES!A:BE,20,FALSE())</f>
        <v>0</v>
      </c>
      <c r="L245" s="68" t="n">
        <f aca="false">VLOOKUP(A245,BD_ORDENES!A:BE,21,FALSE())</f>
        <v>0</v>
      </c>
      <c r="M245" s="69" t="n">
        <f aca="false">VLOOKUP(A245,BD_ORDENES!A:BE,14,FALSE())</f>
        <v>1</v>
      </c>
      <c r="N245" s="68" t="n">
        <f aca="false">VLOOKUP(A245,BD_ORDENES!A:BE,15,FALSE())</f>
        <v>0</v>
      </c>
      <c r="O245" s="68" t="str">
        <f aca="false">VLOOKUP(A245,BD_ORDENES!A:BE,33,FALSE())</f>
        <v>TRANSPORTADORA HVM BGT</v>
      </c>
      <c r="P245" s="68" t="n">
        <f aca="false">VLOOKUP(A245,BD_ORDENES!A:BE,23,FALSE())</f>
        <v>0</v>
      </c>
      <c r="Q245" s="68" t="str">
        <f aca="false">VLOOKUP(A245,BD_ORDENES!A:BE,52,FALSE())</f>
        <v>Retiro DECORACION POR ENTREGAR</v>
      </c>
      <c r="R245" s="68" t="str">
        <f aca="false">VLOOKUP(A245,BD_ORDENES!A:BE,25,FALSE())</f>
        <v>BOGOTA</v>
      </c>
      <c r="S245" s="68" t="str">
        <f aca="false">VLOOKUP(A245,BD_ORDENES!A:BE,22,FALSE())</f>
        <v>EXHIBICION TIENDA GALERIAS</v>
      </c>
      <c r="T245" s="65" t="str">
        <f aca="false">VLOOKUP(A245,BD_ORDENES!A:BE,55,FALSE())</f>
        <v>PRODUCCION</v>
      </c>
      <c r="U245" s="68" t="str">
        <f aca="false">VLOOKUP(A245,BD_ORDENES!A:BE,57,FALSE())</f>
        <v>8 VENECIA</v>
      </c>
      <c r="V245" s="70"/>
      <c r="W245" s="71"/>
    </row>
    <row r="246" s="72" customFormat="true" ht="98.25" hidden="false" customHeight="true" outlineLevel="0" collapsed="false">
      <c r="A246" s="62" t="n">
        <f aca="false">A245+1</f>
        <v>239</v>
      </c>
      <c r="B246" s="63" t="str">
        <f aca="false">VLOOKUP(A246,BD_ORDENES!A:BG,12,FALSE())</f>
        <v>__export__.product_product_281863_1d0e9b3c</v>
      </c>
      <c r="C246" s="64" t="n">
        <v>239</v>
      </c>
      <c r="D246" s="65" t="str">
        <f aca="false">VLOOKUP(A246,BD_ORDENES!A:BE,10,0)</f>
        <v>EXHIBICION TIENDA GALERIAS</v>
      </c>
      <c r="E246" s="66" t="str">
        <f aca="false">VLOOKUP(A246,BD_ORDENES!A:BG,4,FALSE())</f>
        <v>TBG161</v>
      </c>
      <c r="F246" s="66" t="str">
        <f aca="false">VLOOKUP(A246,BD_ORDENES!A:BE,56,FALSE())</f>
        <v>S268854</v>
      </c>
      <c r="G246" s="67" t="str">
        <f aca="false">VLOOKUP(A246,BD_ORDENES!A:BE,13,FALSE())</f>
        <v>CUADRO CALLE CUBA L (60X60)</v>
      </c>
      <c r="H246" s="68" t="str">
        <f aca="false">VLOOKUP(A246,BD_ORDENES!A:BE,17,FALSE())</f>
        <v>CUADRO</v>
      </c>
      <c r="I246" s="68" t="str">
        <f aca="false">VLOOKUP(A246,BD_ORDENES!A:BE,18,FALSE())</f>
        <v>CALLE-CUBA-L-(60X60)</v>
      </c>
      <c r="J246" s="68" t="n">
        <f aca="false">VLOOKUP(A246,BD_ORDENES!A:BE,19,FALSE())</f>
        <v>0</v>
      </c>
      <c r="K246" s="68" t="n">
        <f aca="false">VLOOKUP(A246,BD_ORDENES!A:BE,20,FALSE())</f>
        <v>0</v>
      </c>
      <c r="L246" s="68" t="n">
        <f aca="false">VLOOKUP(A246,BD_ORDENES!A:BE,21,FALSE())</f>
        <v>0</v>
      </c>
      <c r="M246" s="69" t="n">
        <f aca="false">VLOOKUP(A246,BD_ORDENES!A:BE,14,FALSE())</f>
        <v>1</v>
      </c>
      <c r="N246" s="68" t="n">
        <f aca="false">VLOOKUP(A246,BD_ORDENES!A:BE,15,FALSE())</f>
        <v>0</v>
      </c>
      <c r="O246" s="68" t="str">
        <f aca="false">VLOOKUP(A246,BD_ORDENES!A:BE,33,FALSE())</f>
        <v>TRANSPORTADORA HVM BGT</v>
      </c>
      <c r="P246" s="68" t="n">
        <f aca="false">VLOOKUP(A246,BD_ORDENES!A:BE,23,FALSE())</f>
        <v>0</v>
      </c>
      <c r="Q246" s="68" t="str">
        <f aca="false">VLOOKUP(A246,BD_ORDENES!A:BE,52,FALSE())</f>
        <v>Retiro DECORACION POR ENTREGAR</v>
      </c>
      <c r="R246" s="68" t="str">
        <f aca="false">VLOOKUP(A246,BD_ORDENES!A:BE,25,FALSE())</f>
        <v>BOGOTA</v>
      </c>
      <c r="S246" s="68" t="str">
        <f aca="false">VLOOKUP(A246,BD_ORDENES!A:BE,22,FALSE())</f>
        <v>EXHIBICION TIENDA GALERIAS</v>
      </c>
      <c r="T246" s="65" t="str">
        <f aca="false">VLOOKUP(A246,BD_ORDENES!A:BE,55,FALSE())</f>
        <v>PRODUCCION</v>
      </c>
      <c r="U246" s="68" t="str">
        <f aca="false">VLOOKUP(A246,BD_ORDENES!A:BE,57,FALSE())</f>
        <v>8 VENECIA</v>
      </c>
      <c r="V246" s="70"/>
      <c r="W246" s="71"/>
    </row>
    <row r="247" s="72" customFormat="true" ht="98.25" hidden="false" customHeight="true" outlineLevel="0" collapsed="false">
      <c r="A247" s="62" t="n">
        <f aca="false">A246+1</f>
        <v>240</v>
      </c>
      <c r="B247" s="63" t="str">
        <f aca="false">VLOOKUP(A247,BD_ORDENES!A:BG,12,FALSE())</f>
        <v>__export__.product_product_281864_5a8bc73b</v>
      </c>
      <c r="C247" s="64" t="n">
        <v>240</v>
      </c>
      <c r="D247" s="65" t="str">
        <f aca="false">VLOOKUP(A247,BD_ORDENES!A:BE,10,0)</f>
        <v>EXHIBICION TIENDA GALERIAS</v>
      </c>
      <c r="E247" s="66" t="str">
        <f aca="false">VLOOKUP(A247,BD_ORDENES!A:BG,4,FALSE())</f>
        <v>TBG161</v>
      </c>
      <c r="F247" s="66" t="str">
        <f aca="false">VLOOKUP(A247,BD_ORDENES!A:BE,56,FALSE())</f>
        <v>S268854</v>
      </c>
      <c r="G247" s="67" t="str">
        <f aca="false">VLOOKUP(A247,BD_ORDENES!A:BE,13,FALSE())</f>
        <v>CUADRO CALLE CUBA M (70X45)</v>
      </c>
      <c r="H247" s="68" t="str">
        <f aca="false">VLOOKUP(A247,BD_ORDENES!A:BE,17,FALSE())</f>
        <v>CUADRO</v>
      </c>
      <c r="I247" s="68" t="str">
        <f aca="false">VLOOKUP(A247,BD_ORDENES!A:BE,18,FALSE())</f>
        <v>CALLE-CUBA-M-(70X45)</v>
      </c>
      <c r="J247" s="68" t="n">
        <f aca="false">VLOOKUP(A247,BD_ORDENES!A:BE,19,FALSE())</f>
        <v>0</v>
      </c>
      <c r="K247" s="68" t="n">
        <f aca="false">VLOOKUP(A247,BD_ORDENES!A:BE,20,FALSE())</f>
        <v>0</v>
      </c>
      <c r="L247" s="68" t="n">
        <f aca="false">VLOOKUP(A247,BD_ORDENES!A:BE,21,FALSE())</f>
        <v>0</v>
      </c>
      <c r="M247" s="69" t="n">
        <f aca="false">VLOOKUP(A247,BD_ORDENES!A:BE,14,FALSE())</f>
        <v>1</v>
      </c>
      <c r="N247" s="68" t="n">
        <f aca="false">VLOOKUP(A247,BD_ORDENES!A:BE,15,FALSE())</f>
        <v>0</v>
      </c>
      <c r="O247" s="68" t="str">
        <f aca="false">VLOOKUP(A247,BD_ORDENES!A:BE,33,FALSE())</f>
        <v>TRANSPORTADORA HVM BGT</v>
      </c>
      <c r="P247" s="68" t="n">
        <f aca="false">VLOOKUP(A247,BD_ORDENES!A:BE,23,FALSE())</f>
        <v>0</v>
      </c>
      <c r="Q247" s="68" t="str">
        <f aca="false">VLOOKUP(A247,BD_ORDENES!A:BE,52,FALSE())</f>
        <v>Retiro DECORACION POR ENTREGAR</v>
      </c>
      <c r="R247" s="68" t="str">
        <f aca="false">VLOOKUP(A247,BD_ORDENES!A:BE,25,FALSE())</f>
        <v>BOGOTA</v>
      </c>
      <c r="S247" s="68" t="str">
        <f aca="false">VLOOKUP(A247,BD_ORDENES!A:BE,22,FALSE())</f>
        <v>EXHIBICION TIENDA GALERIAS</v>
      </c>
      <c r="T247" s="65" t="str">
        <f aca="false">VLOOKUP(A247,BD_ORDENES!A:BE,55,FALSE())</f>
        <v>PRODUCCION</v>
      </c>
      <c r="U247" s="68" t="str">
        <f aca="false">VLOOKUP(A247,BD_ORDENES!A:BE,57,FALSE())</f>
        <v>8 VENECIA</v>
      </c>
      <c r="V247" s="70"/>
      <c r="W247" s="71"/>
    </row>
    <row r="248" s="72" customFormat="true" ht="98.25" hidden="false" customHeight="true" outlineLevel="0" collapsed="false">
      <c r="A248" s="62" t="n">
        <f aca="false">A247+1</f>
        <v>241</v>
      </c>
      <c r="B248" s="63" t="str">
        <f aca="false">VLOOKUP(A248,BD_ORDENES!A:BG,12,FALSE())</f>
        <v>__export__.product_product_281712_e8623c48</v>
      </c>
      <c r="C248" s="64" t="n">
        <v>241</v>
      </c>
      <c r="D248" s="65" t="str">
        <f aca="false">VLOOKUP(A248,BD_ORDENES!A:BE,10,0)</f>
        <v>EXHIBICION TIENDA GALERIAS</v>
      </c>
      <c r="E248" s="66" t="str">
        <f aca="false">VLOOKUP(A248,BD_ORDENES!A:BG,4,FALSE())</f>
        <v>TBG161</v>
      </c>
      <c r="F248" s="66" t="str">
        <f aca="false">VLOOKUP(A248,BD_ORDENES!A:BE,56,FALSE())</f>
        <v>S268854</v>
      </c>
      <c r="G248" s="67" t="str">
        <f aca="false">VLOOKUP(A248,BD_ORDENES!A:BE,13,FALSE())</f>
        <v>CUADRO CALLE CUBA S (30X30)</v>
      </c>
      <c r="H248" s="68" t="str">
        <f aca="false">VLOOKUP(A248,BD_ORDENES!A:BE,17,FALSE())</f>
        <v>CUADRO</v>
      </c>
      <c r="I248" s="68" t="str">
        <f aca="false">VLOOKUP(A248,BD_ORDENES!A:BE,18,FALSE())</f>
        <v>CALLE-CUBA-S-(30X30)</v>
      </c>
      <c r="J248" s="68" t="n">
        <f aca="false">VLOOKUP(A248,BD_ORDENES!A:BE,19,FALSE())</f>
        <v>0</v>
      </c>
      <c r="K248" s="68" t="n">
        <f aca="false">VLOOKUP(A248,BD_ORDENES!A:BE,20,FALSE())</f>
        <v>0</v>
      </c>
      <c r="L248" s="68" t="n">
        <f aca="false">VLOOKUP(A248,BD_ORDENES!A:BE,21,FALSE())</f>
        <v>0</v>
      </c>
      <c r="M248" s="69" t="n">
        <f aca="false">VLOOKUP(A248,BD_ORDENES!A:BE,14,FALSE())</f>
        <v>1</v>
      </c>
      <c r="N248" s="68" t="n">
        <f aca="false">VLOOKUP(A248,BD_ORDENES!A:BE,15,FALSE())</f>
        <v>0</v>
      </c>
      <c r="O248" s="68" t="str">
        <f aca="false">VLOOKUP(A248,BD_ORDENES!A:BE,33,FALSE())</f>
        <v>TRANSPORTADORA HVM BGT</v>
      </c>
      <c r="P248" s="68" t="n">
        <f aca="false">VLOOKUP(A248,BD_ORDENES!A:BE,23,FALSE())</f>
        <v>0</v>
      </c>
      <c r="Q248" s="68" t="str">
        <f aca="false">VLOOKUP(A248,BD_ORDENES!A:BE,52,FALSE())</f>
        <v>Retiro DECORACION POR ENTREGAR</v>
      </c>
      <c r="R248" s="68" t="str">
        <f aca="false">VLOOKUP(A248,BD_ORDENES!A:BE,25,FALSE())</f>
        <v>BOGOTA</v>
      </c>
      <c r="S248" s="68" t="str">
        <f aca="false">VLOOKUP(A248,BD_ORDENES!A:BE,22,FALSE())</f>
        <v>EXHIBICION TIENDA GALERIAS</v>
      </c>
      <c r="T248" s="65" t="str">
        <f aca="false">VLOOKUP(A248,BD_ORDENES!A:BE,55,FALSE())</f>
        <v>PRODUCCION</v>
      </c>
      <c r="U248" s="68" t="str">
        <f aca="false">VLOOKUP(A248,BD_ORDENES!A:BE,57,FALSE())</f>
        <v>8 VENECIA</v>
      </c>
      <c r="V248" s="70"/>
      <c r="W248" s="71"/>
    </row>
    <row r="249" s="72" customFormat="true" ht="98.25" hidden="false" customHeight="true" outlineLevel="0" collapsed="false">
      <c r="A249" s="62" t="n">
        <f aca="false">A248+1</f>
        <v>242</v>
      </c>
      <c r="B249" s="63" t="str">
        <f aca="false">VLOOKUP(A249,BD_ORDENES!A:BG,12,FALSE())</f>
        <v>__export__.product_product_281867_c3c04912</v>
      </c>
      <c r="C249" s="64" t="n">
        <v>242</v>
      </c>
      <c r="D249" s="65" t="str">
        <f aca="false">VLOOKUP(A249,BD_ORDENES!A:BE,10,0)</f>
        <v>EXHIBICION TIENDA GALERIAS</v>
      </c>
      <c r="E249" s="66" t="str">
        <f aca="false">VLOOKUP(A249,BD_ORDENES!A:BG,4,FALSE())</f>
        <v>TBG161</v>
      </c>
      <c r="F249" s="66" t="str">
        <f aca="false">VLOOKUP(A249,BD_ORDENES!A:BE,56,FALSE())</f>
        <v>S268854</v>
      </c>
      <c r="G249" s="67" t="str">
        <f aca="false">VLOOKUP(A249,BD_ORDENES!A:BE,13,FALSE())</f>
        <v>CUADRO CALLE LONDRES L (60X60)</v>
      </c>
      <c r="H249" s="68" t="str">
        <f aca="false">VLOOKUP(A249,BD_ORDENES!A:BE,17,FALSE())</f>
        <v>CUADRO</v>
      </c>
      <c r="I249" s="68" t="str">
        <f aca="false">VLOOKUP(A249,BD_ORDENES!A:BE,18,FALSE())</f>
        <v>CALLE-LONDRES-L-(60X60)</v>
      </c>
      <c r="J249" s="68" t="n">
        <f aca="false">VLOOKUP(A249,BD_ORDENES!A:BE,19,FALSE())</f>
        <v>0</v>
      </c>
      <c r="K249" s="68" t="n">
        <f aca="false">VLOOKUP(A249,BD_ORDENES!A:BE,20,FALSE())</f>
        <v>0</v>
      </c>
      <c r="L249" s="68" t="n">
        <f aca="false">VLOOKUP(A249,BD_ORDENES!A:BE,21,FALSE())</f>
        <v>0</v>
      </c>
      <c r="M249" s="69" t="n">
        <f aca="false">VLOOKUP(A249,BD_ORDENES!A:BE,14,FALSE())</f>
        <v>1</v>
      </c>
      <c r="N249" s="68" t="n">
        <f aca="false">VLOOKUP(A249,BD_ORDENES!A:BE,15,FALSE())</f>
        <v>0</v>
      </c>
      <c r="O249" s="68" t="str">
        <f aca="false">VLOOKUP(A249,BD_ORDENES!A:BE,33,FALSE())</f>
        <v>TRANSPORTADORA HVM BGT</v>
      </c>
      <c r="P249" s="68" t="n">
        <f aca="false">VLOOKUP(A249,BD_ORDENES!A:BE,23,FALSE())</f>
        <v>0</v>
      </c>
      <c r="Q249" s="68" t="str">
        <f aca="false">VLOOKUP(A249,BD_ORDENES!A:BE,52,FALSE())</f>
        <v>Retiro DECORACION POR ENTREGAR</v>
      </c>
      <c r="R249" s="68" t="str">
        <f aca="false">VLOOKUP(A249,BD_ORDENES!A:BE,25,FALSE())</f>
        <v>BOGOTA</v>
      </c>
      <c r="S249" s="68" t="str">
        <f aca="false">VLOOKUP(A249,BD_ORDENES!A:BE,22,FALSE())</f>
        <v>EXHIBICION TIENDA GALERIAS</v>
      </c>
      <c r="T249" s="65" t="str">
        <f aca="false">VLOOKUP(A249,BD_ORDENES!A:BE,55,FALSE())</f>
        <v>PRODUCCION</v>
      </c>
      <c r="U249" s="68" t="str">
        <f aca="false">VLOOKUP(A249,BD_ORDENES!A:BE,57,FALSE())</f>
        <v>8 VENECIA</v>
      </c>
      <c r="V249" s="70"/>
      <c r="W249" s="71"/>
    </row>
    <row r="250" s="72" customFormat="true" ht="98.25" hidden="false" customHeight="true" outlineLevel="0" collapsed="false">
      <c r="A250" s="62" t="n">
        <f aca="false">A249+1</f>
        <v>243</v>
      </c>
      <c r="B250" s="63" t="str">
        <f aca="false">VLOOKUP(A250,BD_ORDENES!A:BG,12,FALSE())</f>
        <v>__export__.product_product_188251_48c8ac03</v>
      </c>
      <c r="C250" s="64" t="n">
        <v>243</v>
      </c>
      <c r="D250" s="65" t="str">
        <f aca="false">VLOOKUP(A250,BD_ORDENES!A:BE,10,0)</f>
        <v>EXHIBICION TIENDA GALERIAS</v>
      </c>
      <c r="E250" s="66" t="str">
        <f aca="false">VLOOKUP(A250,BD_ORDENES!A:BG,4,FALSE())</f>
        <v>TBG161</v>
      </c>
      <c r="F250" s="66" t="str">
        <f aca="false">VLOOKUP(A250,BD_ORDENES!A:BE,56,FALSE())</f>
        <v>S268854</v>
      </c>
      <c r="G250" s="67" t="str">
        <f aca="false">VLOOKUP(A250,BD_ORDENES!A:BE,13,FALSE())</f>
        <v>CUADRO CEBRA FONDO BLANCO M (70X45)</v>
      </c>
      <c r="H250" s="68" t="str">
        <f aca="false">VLOOKUP(A250,BD_ORDENES!A:BE,17,FALSE())</f>
        <v>CUADRO</v>
      </c>
      <c r="I250" s="68" t="str">
        <f aca="false">VLOOKUP(A250,BD_ORDENES!A:BE,18,FALSE())</f>
        <v>CEBRA-FONDO-BLANCO-M-(70X45)</v>
      </c>
      <c r="J250" s="68" t="n">
        <f aca="false">VLOOKUP(A250,BD_ORDENES!A:BE,19,FALSE())</f>
        <v>0</v>
      </c>
      <c r="K250" s="68" t="n">
        <f aca="false">VLOOKUP(A250,BD_ORDENES!A:BE,20,FALSE())</f>
        <v>0</v>
      </c>
      <c r="L250" s="68" t="n">
        <f aca="false">VLOOKUP(A250,BD_ORDENES!A:BE,21,FALSE())</f>
        <v>0</v>
      </c>
      <c r="M250" s="69" t="n">
        <f aca="false">VLOOKUP(A250,BD_ORDENES!A:BE,14,FALSE())</f>
        <v>1</v>
      </c>
      <c r="N250" s="68" t="n">
        <f aca="false">VLOOKUP(A250,BD_ORDENES!A:BE,15,FALSE())</f>
        <v>0</v>
      </c>
      <c r="O250" s="68" t="str">
        <f aca="false">VLOOKUP(A250,BD_ORDENES!A:BE,33,FALSE())</f>
        <v>TRANSPORTADORA HVM BGT</v>
      </c>
      <c r="P250" s="68" t="n">
        <f aca="false">VLOOKUP(A250,BD_ORDENES!A:BE,23,FALSE())</f>
        <v>0</v>
      </c>
      <c r="Q250" s="68" t="str">
        <f aca="false">VLOOKUP(A250,BD_ORDENES!A:BE,52,FALSE())</f>
        <v>Retiro DECORACION POR ENTREGAR</v>
      </c>
      <c r="R250" s="68" t="str">
        <f aca="false">VLOOKUP(A250,BD_ORDENES!A:BE,25,FALSE())</f>
        <v>BOGOTA</v>
      </c>
      <c r="S250" s="68" t="str">
        <f aca="false">VLOOKUP(A250,BD_ORDENES!A:BE,22,FALSE())</f>
        <v>EXHIBICION TIENDA GALERIAS</v>
      </c>
      <c r="T250" s="65" t="str">
        <f aca="false">VLOOKUP(A250,BD_ORDENES!A:BE,55,FALSE())</f>
        <v>PRODUCCION</v>
      </c>
      <c r="U250" s="68" t="str">
        <f aca="false">VLOOKUP(A250,BD_ORDENES!A:BE,57,FALSE())</f>
        <v>8 VENECIA</v>
      </c>
      <c r="V250" s="70"/>
      <c r="W250" s="71"/>
    </row>
    <row r="251" s="72" customFormat="true" ht="98.25" hidden="false" customHeight="true" outlineLevel="0" collapsed="false">
      <c r="A251" s="62" t="n">
        <f aca="false">A250+1</f>
        <v>244</v>
      </c>
      <c r="B251" s="63" t="str">
        <f aca="false">VLOOKUP(A251,BD_ORDENES!A:BG,12,FALSE())</f>
        <v>__export__.product_product_188252_a24af1bd</v>
      </c>
      <c r="C251" s="64" t="n">
        <v>244</v>
      </c>
      <c r="D251" s="65" t="str">
        <f aca="false">VLOOKUP(A251,BD_ORDENES!A:BE,10,0)</f>
        <v>EXHIBICION TIENDA GALERIAS</v>
      </c>
      <c r="E251" s="66" t="str">
        <f aca="false">VLOOKUP(A251,BD_ORDENES!A:BG,4,FALSE())</f>
        <v>TBG161</v>
      </c>
      <c r="F251" s="66" t="str">
        <f aca="false">VLOOKUP(A251,BD_ORDENES!A:BE,56,FALSE())</f>
        <v>S268854</v>
      </c>
      <c r="G251" s="67" t="str">
        <f aca="false">VLOOKUP(A251,BD_ORDENES!A:BE,13,FALSE())</f>
        <v>CUADRO CEBRA FONDO NEGRO M (70X45)</v>
      </c>
      <c r="H251" s="68" t="str">
        <f aca="false">VLOOKUP(A251,BD_ORDENES!A:BE,17,FALSE())</f>
        <v>CUADRO</v>
      </c>
      <c r="I251" s="68" t="str">
        <f aca="false">VLOOKUP(A251,BD_ORDENES!A:BE,18,FALSE())</f>
        <v>CEBRA-FONDO-NEGRO-M-(70X45)</v>
      </c>
      <c r="J251" s="68" t="n">
        <f aca="false">VLOOKUP(A251,BD_ORDENES!A:BE,19,FALSE())</f>
        <v>0</v>
      </c>
      <c r="K251" s="68" t="n">
        <f aca="false">VLOOKUP(A251,BD_ORDENES!A:BE,20,FALSE())</f>
        <v>0</v>
      </c>
      <c r="L251" s="68" t="n">
        <f aca="false">VLOOKUP(A251,BD_ORDENES!A:BE,21,FALSE())</f>
        <v>0</v>
      </c>
      <c r="M251" s="69" t="n">
        <f aca="false">VLOOKUP(A251,BD_ORDENES!A:BE,14,FALSE())</f>
        <v>1</v>
      </c>
      <c r="N251" s="68" t="n">
        <f aca="false">VLOOKUP(A251,BD_ORDENES!A:BE,15,FALSE())</f>
        <v>0</v>
      </c>
      <c r="O251" s="68" t="str">
        <f aca="false">VLOOKUP(A251,BD_ORDENES!A:BE,33,FALSE())</f>
        <v>TRANSPORTADORA HVM BGT</v>
      </c>
      <c r="P251" s="68" t="n">
        <f aca="false">VLOOKUP(A251,BD_ORDENES!A:BE,23,FALSE())</f>
        <v>0</v>
      </c>
      <c r="Q251" s="68" t="str">
        <f aca="false">VLOOKUP(A251,BD_ORDENES!A:BE,52,FALSE())</f>
        <v>Retiro DECORACION POR ENTREGAR</v>
      </c>
      <c r="R251" s="68" t="str">
        <f aca="false">VLOOKUP(A251,BD_ORDENES!A:BE,25,FALSE())</f>
        <v>BOGOTA</v>
      </c>
      <c r="S251" s="68" t="str">
        <f aca="false">VLOOKUP(A251,BD_ORDENES!A:BE,22,FALSE())</f>
        <v>EXHIBICION TIENDA GALERIAS</v>
      </c>
      <c r="T251" s="65" t="str">
        <f aca="false">VLOOKUP(A251,BD_ORDENES!A:BE,55,FALSE())</f>
        <v>PRODUCCION</v>
      </c>
      <c r="U251" s="68" t="str">
        <f aca="false">VLOOKUP(A251,BD_ORDENES!A:BE,57,FALSE())</f>
        <v>8 VENECIA</v>
      </c>
      <c r="V251" s="70"/>
      <c r="W251" s="71"/>
    </row>
    <row r="252" s="72" customFormat="true" ht="98.25" hidden="false" customHeight="true" outlineLevel="0" collapsed="false">
      <c r="A252" s="62" t="n">
        <f aca="false">A251+1</f>
        <v>245</v>
      </c>
      <c r="B252" s="63" t="str">
        <f aca="false">VLOOKUP(A252,BD_ORDENES!A:BG,12,FALSE())</f>
        <v>__export__.product_product_285297_83b4d1da</v>
      </c>
      <c r="C252" s="64" t="n">
        <v>245</v>
      </c>
      <c r="D252" s="65" t="str">
        <f aca="false">VLOOKUP(A252,BD_ORDENES!A:BE,10,0)</f>
        <v>EXHIBICION TIENDA GALERIAS</v>
      </c>
      <c r="E252" s="66" t="str">
        <f aca="false">VLOOKUP(A252,BD_ORDENES!A:BG,4,FALSE())</f>
        <v>TBG161</v>
      </c>
      <c r="F252" s="66" t="str">
        <f aca="false">VLOOKUP(A252,BD_ORDENES!A:BE,56,FALSE())</f>
        <v>S268854</v>
      </c>
      <c r="G252" s="67" t="str">
        <f aca="false">VLOOKUP(A252,BD_ORDENES!A:BE,13,FALSE())</f>
        <v>CUADRO COLORES HUMO M (70X45)</v>
      </c>
      <c r="H252" s="68" t="str">
        <f aca="false">VLOOKUP(A252,BD_ORDENES!A:BE,17,FALSE())</f>
        <v>CUADRO</v>
      </c>
      <c r="I252" s="68" t="str">
        <f aca="false">VLOOKUP(A252,BD_ORDENES!A:BE,18,FALSE())</f>
        <v>COLORES-HUMO-M-(70X45)</v>
      </c>
      <c r="J252" s="68" t="n">
        <f aca="false">VLOOKUP(A252,BD_ORDENES!A:BE,19,FALSE())</f>
        <v>0</v>
      </c>
      <c r="K252" s="68" t="n">
        <f aca="false">VLOOKUP(A252,BD_ORDENES!A:BE,20,FALSE())</f>
        <v>0</v>
      </c>
      <c r="L252" s="68" t="n">
        <f aca="false">VLOOKUP(A252,BD_ORDENES!A:BE,21,FALSE())</f>
        <v>0</v>
      </c>
      <c r="M252" s="69" t="n">
        <f aca="false">VLOOKUP(A252,BD_ORDENES!A:BE,14,FALSE())</f>
        <v>1</v>
      </c>
      <c r="N252" s="68" t="n">
        <f aca="false">VLOOKUP(A252,BD_ORDENES!A:BE,15,FALSE())</f>
        <v>0</v>
      </c>
      <c r="O252" s="68" t="str">
        <f aca="false">VLOOKUP(A252,BD_ORDENES!A:BE,33,FALSE())</f>
        <v>TRANSPORTADORA HVM BGT</v>
      </c>
      <c r="P252" s="68" t="n">
        <f aca="false">VLOOKUP(A252,BD_ORDENES!A:BE,23,FALSE())</f>
        <v>0</v>
      </c>
      <c r="Q252" s="68" t="str">
        <f aca="false">VLOOKUP(A252,BD_ORDENES!A:BE,52,FALSE())</f>
        <v>Retiro DECORACION POR ENTREGAR</v>
      </c>
      <c r="R252" s="68" t="str">
        <f aca="false">VLOOKUP(A252,BD_ORDENES!A:BE,25,FALSE())</f>
        <v>BOGOTA</v>
      </c>
      <c r="S252" s="68" t="str">
        <f aca="false">VLOOKUP(A252,BD_ORDENES!A:BE,22,FALSE())</f>
        <v>EXHIBICION TIENDA GALERIAS</v>
      </c>
      <c r="T252" s="65" t="str">
        <f aca="false">VLOOKUP(A252,BD_ORDENES!A:BE,55,FALSE())</f>
        <v>PRODUCCION</v>
      </c>
      <c r="U252" s="68" t="str">
        <f aca="false">VLOOKUP(A252,BD_ORDENES!A:BE,57,FALSE())</f>
        <v>8 VENECIA</v>
      </c>
      <c r="V252" s="70"/>
      <c r="W252" s="71"/>
    </row>
    <row r="253" s="72" customFormat="true" ht="98.25" hidden="false" customHeight="true" outlineLevel="0" collapsed="false">
      <c r="A253" s="62" t="n">
        <f aca="false">A252+1</f>
        <v>246</v>
      </c>
      <c r="B253" s="63" t="str">
        <f aca="false">VLOOKUP(A253,BD_ORDENES!A:BG,12,FALSE())</f>
        <v>__export__.product_product_286721_cb4d872b</v>
      </c>
      <c r="C253" s="64" t="n">
        <v>246</v>
      </c>
      <c r="D253" s="65" t="str">
        <f aca="false">VLOOKUP(A253,BD_ORDENES!A:BE,10,0)</f>
        <v>EXHIBICION TIENDA GALERIAS</v>
      </c>
      <c r="E253" s="66" t="str">
        <f aca="false">VLOOKUP(A253,BD_ORDENES!A:BG,4,FALSE())</f>
        <v>TBG161</v>
      </c>
      <c r="F253" s="66" t="str">
        <f aca="false">VLOOKUP(A253,BD_ORDENES!A:BE,56,FALSE())</f>
        <v>S268854</v>
      </c>
      <c r="G253" s="67" t="str">
        <f aca="false">VLOOKUP(A253,BD_ORDENES!A:BE,13,FALSE())</f>
        <v>CUADRO ELEFANTE BEBE L (60X60)</v>
      </c>
      <c r="H253" s="68" t="str">
        <f aca="false">VLOOKUP(A253,BD_ORDENES!A:BE,17,FALSE())</f>
        <v>CUADRO</v>
      </c>
      <c r="I253" s="68" t="str">
        <f aca="false">VLOOKUP(A253,BD_ORDENES!A:BE,18,FALSE())</f>
        <v>ELEFANTE-BEBE-L-(60X60)</v>
      </c>
      <c r="J253" s="68" t="n">
        <f aca="false">VLOOKUP(A253,BD_ORDENES!A:BE,19,FALSE())</f>
        <v>0</v>
      </c>
      <c r="K253" s="68" t="n">
        <f aca="false">VLOOKUP(A253,BD_ORDENES!A:BE,20,FALSE())</f>
        <v>0</v>
      </c>
      <c r="L253" s="68" t="n">
        <f aca="false">VLOOKUP(A253,BD_ORDENES!A:BE,21,FALSE())</f>
        <v>0</v>
      </c>
      <c r="M253" s="69" t="n">
        <f aca="false">VLOOKUP(A253,BD_ORDENES!A:BE,14,FALSE())</f>
        <v>1</v>
      </c>
      <c r="N253" s="68" t="n">
        <f aca="false">VLOOKUP(A253,BD_ORDENES!A:BE,15,FALSE())</f>
        <v>0</v>
      </c>
      <c r="O253" s="68" t="str">
        <f aca="false">VLOOKUP(A253,BD_ORDENES!A:BE,33,FALSE())</f>
        <v>TRANSPORTADORA HVM BGT</v>
      </c>
      <c r="P253" s="68" t="n">
        <f aca="false">VLOOKUP(A253,BD_ORDENES!A:BE,23,FALSE())</f>
        <v>0</v>
      </c>
      <c r="Q253" s="68" t="str">
        <f aca="false">VLOOKUP(A253,BD_ORDENES!A:BE,52,FALSE())</f>
        <v>Retiro DECORACION POR ENTREGAR</v>
      </c>
      <c r="R253" s="68" t="str">
        <f aca="false">VLOOKUP(A253,BD_ORDENES!A:BE,25,FALSE())</f>
        <v>BOGOTA</v>
      </c>
      <c r="S253" s="68" t="str">
        <f aca="false">VLOOKUP(A253,BD_ORDENES!A:BE,22,FALSE())</f>
        <v>EXHIBICION TIENDA GALERIAS</v>
      </c>
      <c r="T253" s="65" t="str">
        <f aca="false">VLOOKUP(A253,BD_ORDENES!A:BE,55,FALSE())</f>
        <v>PRODUCCION</v>
      </c>
      <c r="U253" s="68" t="str">
        <f aca="false">VLOOKUP(A253,BD_ORDENES!A:BE,57,FALSE())</f>
        <v>8 VENECIA</v>
      </c>
      <c r="V253" s="70"/>
      <c r="W253" s="71"/>
    </row>
    <row r="254" s="72" customFormat="true" ht="98.25" hidden="false" customHeight="true" outlineLevel="0" collapsed="false">
      <c r="A254" s="62" t="n">
        <f aca="false">A253+1</f>
        <v>247</v>
      </c>
      <c r="B254" s="63" t="str">
        <f aca="false">VLOOKUP(A254,BD_ORDENES!A:BG,12,FALSE())</f>
        <v>__export__.product_product_286725_fecc8820</v>
      </c>
      <c r="C254" s="64" t="n">
        <v>247</v>
      </c>
      <c r="D254" s="65" t="str">
        <f aca="false">VLOOKUP(A254,BD_ORDENES!A:BE,10,0)</f>
        <v>EXHIBICION TIENDA GALERIAS</v>
      </c>
      <c r="E254" s="66" t="str">
        <f aca="false">VLOOKUP(A254,BD_ORDENES!A:BG,4,FALSE())</f>
        <v>TBG161</v>
      </c>
      <c r="F254" s="66" t="str">
        <f aca="false">VLOOKUP(A254,BD_ORDENES!A:BE,56,FALSE())</f>
        <v>S268854</v>
      </c>
      <c r="G254" s="67" t="str">
        <f aca="false">VLOOKUP(A254,BD_ORDENES!A:BE,13,FALSE())</f>
        <v>CUADRO ELEFANTE BEBE M (70X45)</v>
      </c>
      <c r="H254" s="68" t="str">
        <f aca="false">VLOOKUP(A254,BD_ORDENES!A:BE,17,FALSE())</f>
        <v>CUADRO</v>
      </c>
      <c r="I254" s="68" t="str">
        <f aca="false">VLOOKUP(A254,BD_ORDENES!A:BE,18,FALSE())</f>
        <v>ELEFANTE-BEBE-M-(70X45)</v>
      </c>
      <c r="J254" s="68" t="n">
        <f aca="false">VLOOKUP(A254,BD_ORDENES!A:BE,19,FALSE())</f>
        <v>0</v>
      </c>
      <c r="K254" s="68" t="n">
        <f aca="false">VLOOKUP(A254,BD_ORDENES!A:BE,20,FALSE())</f>
        <v>0</v>
      </c>
      <c r="L254" s="68" t="n">
        <f aca="false">VLOOKUP(A254,BD_ORDENES!A:BE,21,FALSE())</f>
        <v>0</v>
      </c>
      <c r="M254" s="69" t="n">
        <f aca="false">VLOOKUP(A254,BD_ORDENES!A:BE,14,FALSE())</f>
        <v>1</v>
      </c>
      <c r="N254" s="68" t="n">
        <f aca="false">VLOOKUP(A254,BD_ORDENES!A:BE,15,FALSE())</f>
        <v>0</v>
      </c>
      <c r="O254" s="68" t="str">
        <f aca="false">VLOOKUP(A254,BD_ORDENES!A:BE,33,FALSE())</f>
        <v>TRANSPORTADORA HVM BGT</v>
      </c>
      <c r="P254" s="68" t="n">
        <f aca="false">VLOOKUP(A254,BD_ORDENES!A:BE,23,FALSE())</f>
        <v>0</v>
      </c>
      <c r="Q254" s="68" t="str">
        <f aca="false">VLOOKUP(A254,BD_ORDENES!A:BE,52,FALSE())</f>
        <v>Retiro DECORACION POR ENTREGAR</v>
      </c>
      <c r="R254" s="68" t="str">
        <f aca="false">VLOOKUP(A254,BD_ORDENES!A:BE,25,FALSE())</f>
        <v>BOGOTA</v>
      </c>
      <c r="S254" s="68" t="str">
        <f aca="false">VLOOKUP(A254,BD_ORDENES!A:BE,22,FALSE())</f>
        <v>EXHIBICION TIENDA GALERIAS</v>
      </c>
      <c r="T254" s="65" t="str">
        <f aca="false">VLOOKUP(A254,BD_ORDENES!A:BE,55,FALSE())</f>
        <v>PRODUCCION</v>
      </c>
      <c r="U254" s="68" t="str">
        <f aca="false">VLOOKUP(A254,BD_ORDENES!A:BE,57,FALSE())</f>
        <v>8 VENECIA</v>
      </c>
      <c r="V254" s="70"/>
      <c r="W254" s="71"/>
    </row>
    <row r="255" s="72" customFormat="true" ht="98.25" hidden="false" customHeight="true" outlineLevel="0" collapsed="false">
      <c r="A255" s="62" t="n">
        <f aca="false">A254+1</f>
        <v>248</v>
      </c>
      <c r="B255" s="63" t="str">
        <f aca="false">VLOOKUP(A255,BD_ORDENES!A:BG,12,FALSE())</f>
        <v>__export__.product_product_286717_5898c9f5</v>
      </c>
      <c r="C255" s="64" t="n">
        <v>248</v>
      </c>
      <c r="D255" s="65" t="str">
        <f aca="false">VLOOKUP(A255,BD_ORDENES!A:BE,10,0)</f>
        <v>EXHIBICION TIENDA GALERIAS</v>
      </c>
      <c r="E255" s="66" t="str">
        <f aca="false">VLOOKUP(A255,BD_ORDENES!A:BG,4,FALSE())</f>
        <v>TBG161</v>
      </c>
      <c r="F255" s="66" t="str">
        <f aca="false">VLOOKUP(A255,BD_ORDENES!A:BE,56,FALSE())</f>
        <v>S268854</v>
      </c>
      <c r="G255" s="67" t="str">
        <f aca="false">VLOOKUP(A255,BD_ORDENES!A:BE,13,FALSE())</f>
        <v>CUADRO ELEFANTE BEBE XL (120X80)</v>
      </c>
      <c r="H255" s="68" t="str">
        <f aca="false">VLOOKUP(A255,BD_ORDENES!A:BE,17,FALSE())</f>
        <v>CUADRO</v>
      </c>
      <c r="I255" s="68" t="str">
        <f aca="false">VLOOKUP(A255,BD_ORDENES!A:BE,18,FALSE())</f>
        <v>ELEFANTE-BEBE-XL-(120X80)</v>
      </c>
      <c r="J255" s="68" t="n">
        <f aca="false">VLOOKUP(A255,BD_ORDENES!A:BE,19,FALSE())</f>
        <v>0</v>
      </c>
      <c r="K255" s="68" t="n">
        <f aca="false">VLOOKUP(A255,BD_ORDENES!A:BE,20,FALSE())</f>
        <v>0</v>
      </c>
      <c r="L255" s="68" t="n">
        <f aca="false">VLOOKUP(A255,BD_ORDENES!A:BE,21,FALSE())</f>
        <v>0</v>
      </c>
      <c r="M255" s="69" t="n">
        <f aca="false">VLOOKUP(A255,BD_ORDENES!A:BE,14,FALSE())</f>
        <v>1</v>
      </c>
      <c r="N255" s="68" t="n">
        <f aca="false">VLOOKUP(A255,BD_ORDENES!A:BE,15,FALSE())</f>
        <v>0</v>
      </c>
      <c r="O255" s="68" t="str">
        <f aca="false">VLOOKUP(A255,BD_ORDENES!A:BE,33,FALSE())</f>
        <v>TRANSPORTADORA HVM BGT</v>
      </c>
      <c r="P255" s="68" t="n">
        <f aca="false">VLOOKUP(A255,BD_ORDENES!A:BE,23,FALSE())</f>
        <v>0</v>
      </c>
      <c r="Q255" s="68" t="str">
        <f aca="false">VLOOKUP(A255,BD_ORDENES!A:BE,52,FALSE())</f>
        <v>Retiro DECORACION POR ENTREGAR</v>
      </c>
      <c r="R255" s="68" t="str">
        <f aca="false">VLOOKUP(A255,BD_ORDENES!A:BE,25,FALSE())</f>
        <v>BOGOTA</v>
      </c>
      <c r="S255" s="68" t="str">
        <f aca="false">VLOOKUP(A255,BD_ORDENES!A:BE,22,FALSE())</f>
        <v>EXHIBICION TIENDA GALERIAS</v>
      </c>
      <c r="T255" s="65" t="str">
        <f aca="false">VLOOKUP(A255,BD_ORDENES!A:BE,55,FALSE())</f>
        <v>PRODUCCION</v>
      </c>
      <c r="U255" s="68" t="str">
        <f aca="false">VLOOKUP(A255,BD_ORDENES!A:BE,57,FALSE())</f>
        <v>8 VENECIA</v>
      </c>
      <c r="V255" s="70"/>
      <c r="W255" s="71"/>
    </row>
    <row r="256" s="72" customFormat="true" ht="98.25" hidden="false" customHeight="true" outlineLevel="0" collapsed="false">
      <c r="A256" s="62" t="n">
        <f aca="false">A255+1</f>
        <v>249</v>
      </c>
      <c r="B256" s="63" t="str">
        <f aca="false">VLOOKUP(A256,BD_ORDENES!A:BG,12,FALSE())</f>
        <v>__export__.product_product_216614_dbaa87cb</v>
      </c>
      <c r="C256" s="64" t="n">
        <v>249</v>
      </c>
      <c r="D256" s="65" t="str">
        <f aca="false">VLOOKUP(A256,BD_ORDENES!A:BE,10,0)</f>
        <v>EXHIBICION TIENDA GALERIAS</v>
      </c>
      <c r="E256" s="66" t="str">
        <f aca="false">VLOOKUP(A256,BD_ORDENES!A:BG,4,FALSE())</f>
        <v>TBG161</v>
      </c>
      <c r="F256" s="66" t="str">
        <f aca="false">VLOOKUP(A256,BD_ORDENES!A:BE,56,FALSE())</f>
        <v>S268854</v>
      </c>
      <c r="G256" s="67" t="str">
        <f aca="false">VLOOKUP(A256,BD_ORDENES!A:BE,13,FALSE())</f>
        <v>CUADRO ELEFANTE PINTURA L (60X60)</v>
      </c>
      <c r="H256" s="68" t="str">
        <f aca="false">VLOOKUP(A256,BD_ORDENES!A:BE,17,FALSE())</f>
        <v>CUADRO</v>
      </c>
      <c r="I256" s="68" t="str">
        <f aca="false">VLOOKUP(A256,BD_ORDENES!A:BE,18,FALSE())</f>
        <v>ELEFANTE-PINTURA-L-(60X60)</v>
      </c>
      <c r="J256" s="68" t="n">
        <f aca="false">VLOOKUP(A256,BD_ORDENES!A:BE,19,FALSE())</f>
        <v>0</v>
      </c>
      <c r="K256" s="68" t="n">
        <f aca="false">VLOOKUP(A256,BD_ORDENES!A:BE,20,FALSE())</f>
        <v>0</v>
      </c>
      <c r="L256" s="68" t="n">
        <f aca="false">VLOOKUP(A256,BD_ORDENES!A:BE,21,FALSE())</f>
        <v>0</v>
      </c>
      <c r="M256" s="69" t="n">
        <f aca="false">VLOOKUP(A256,BD_ORDENES!A:BE,14,FALSE())</f>
        <v>1</v>
      </c>
      <c r="N256" s="68" t="n">
        <f aca="false">VLOOKUP(A256,BD_ORDENES!A:BE,15,FALSE())</f>
        <v>0</v>
      </c>
      <c r="O256" s="68" t="str">
        <f aca="false">VLOOKUP(A256,BD_ORDENES!A:BE,33,FALSE())</f>
        <v>TRANSPORTADORA HVM BGT</v>
      </c>
      <c r="P256" s="68" t="n">
        <f aca="false">VLOOKUP(A256,BD_ORDENES!A:BE,23,FALSE())</f>
        <v>0</v>
      </c>
      <c r="Q256" s="68" t="str">
        <f aca="false">VLOOKUP(A256,BD_ORDENES!A:BE,52,FALSE())</f>
        <v>Retiro DECORACION POR ENTREGAR</v>
      </c>
      <c r="R256" s="68" t="str">
        <f aca="false">VLOOKUP(A256,BD_ORDENES!A:BE,25,FALSE())</f>
        <v>BOGOTA</v>
      </c>
      <c r="S256" s="68" t="str">
        <f aca="false">VLOOKUP(A256,BD_ORDENES!A:BE,22,FALSE())</f>
        <v>EXHIBICION TIENDA GALERIAS</v>
      </c>
      <c r="T256" s="65" t="str">
        <f aca="false">VLOOKUP(A256,BD_ORDENES!A:BE,55,FALSE())</f>
        <v>PRODUCCION</v>
      </c>
      <c r="U256" s="68" t="str">
        <f aca="false">VLOOKUP(A256,BD_ORDENES!A:BE,57,FALSE())</f>
        <v>8 VENECIA</v>
      </c>
      <c r="V256" s="70"/>
      <c r="W256" s="71"/>
    </row>
    <row r="257" s="72" customFormat="true" ht="98.25" hidden="false" customHeight="true" outlineLevel="0" collapsed="false">
      <c r="A257" s="62" t="n">
        <f aca="false">A256+1</f>
        <v>250</v>
      </c>
      <c r="B257" s="63" t="str">
        <f aca="false">VLOOKUP(A257,BD_ORDENES!A:BG,12,FALSE())</f>
        <v>__export__.product_product_281858_b7cda1d2</v>
      </c>
      <c r="C257" s="64" t="n">
        <v>250</v>
      </c>
      <c r="D257" s="65" t="str">
        <f aca="false">VLOOKUP(A257,BD_ORDENES!A:BE,10,0)</f>
        <v>EXHIBICION TIENDA GALERIAS</v>
      </c>
      <c r="E257" s="66" t="str">
        <f aca="false">VLOOKUP(A257,BD_ORDENES!A:BG,4,FALSE())</f>
        <v>TBG161</v>
      </c>
      <c r="F257" s="66" t="str">
        <f aca="false">VLOOKUP(A257,BD_ORDENES!A:BE,56,FALSE())</f>
        <v>S268854</v>
      </c>
      <c r="G257" s="67" t="str">
        <f aca="false">VLOOKUP(A257,BD_ORDENES!A:BE,13,FALSE())</f>
        <v>CUADRO ELEFANTE PINTURA PISO XL (120X80)</v>
      </c>
      <c r="H257" s="68" t="str">
        <f aca="false">VLOOKUP(A257,BD_ORDENES!A:BE,17,FALSE())</f>
        <v>CUADRO</v>
      </c>
      <c r="I257" s="68" t="str">
        <f aca="false">VLOOKUP(A257,BD_ORDENES!A:BE,18,FALSE())</f>
        <v>ELEFANTE-PINTURA-PISO-XL-(120X80)</v>
      </c>
      <c r="J257" s="68" t="n">
        <f aca="false">VLOOKUP(A257,BD_ORDENES!A:BE,19,FALSE())</f>
        <v>0</v>
      </c>
      <c r="K257" s="68" t="n">
        <f aca="false">VLOOKUP(A257,BD_ORDENES!A:BE,20,FALSE())</f>
        <v>0</v>
      </c>
      <c r="L257" s="68" t="n">
        <f aca="false">VLOOKUP(A257,BD_ORDENES!A:BE,21,FALSE())</f>
        <v>0</v>
      </c>
      <c r="M257" s="69" t="n">
        <f aca="false">VLOOKUP(A257,BD_ORDENES!A:BE,14,FALSE())</f>
        <v>1</v>
      </c>
      <c r="N257" s="68" t="n">
        <f aca="false">VLOOKUP(A257,BD_ORDENES!A:BE,15,FALSE())</f>
        <v>0</v>
      </c>
      <c r="O257" s="68" t="str">
        <f aca="false">VLOOKUP(A257,BD_ORDENES!A:BE,33,FALSE())</f>
        <v>TRANSPORTADORA HVM BGT</v>
      </c>
      <c r="P257" s="68" t="n">
        <f aca="false">VLOOKUP(A257,BD_ORDENES!A:BE,23,FALSE())</f>
        <v>0</v>
      </c>
      <c r="Q257" s="68" t="str">
        <f aca="false">VLOOKUP(A257,BD_ORDENES!A:BE,52,FALSE())</f>
        <v>Retiro DECORACION POR ENTREGAR</v>
      </c>
      <c r="R257" s="68" t="str">
        <f aca="false">VLOOKUP(A257,BD_ORDENES!A:BE,25,FALSE())</f>
        <v>BOGOTA</v>
      </c>
      <c r="S257" s="68" t="str">
        <f aca="false">VLOOKUP(A257,BD_ORDENES!A:BE,22,FALSE())</f>
        <v>EXHIBICION TIENDA GALERIAS</v>
      </c>
      <c r="T257" s="65" t="str">
        <f aca="false">VLOOKUP(A257,BD_ORDENES!A:BE,55,FALSE())</f>
        <v>PRODUCCION</v>
      </c>
      <c r="U257" s="68" t="str">
        <f aca="false">VLOOKUP(A257,BD_ORDENES!A:BE,57,FALSE())</f>
        <v>8 VENECIA</v>
      </c>
      <c r="V257" s="70"/>
      <c r="W257" s="71"/>
    </row>
    <row r="258" s="72" customFormat="true" ht="98.25" hidden="false" customHeight="true" outlineLevel="0" collapsed="false">
      <c r="A258" s="62" t="n">
        <f aca="false">A257+1</f>
        <v>251</v>
      </c>
      <c r="B258" s="63" t="str">
        <f aca="false">VLOOKUP(A258,BD_ORDENES!A:BG,12,FALSE())</f>
        <v>__export__.product_product_211581_cc0a0889</v>
      </c>
      <c r="C258" s="64" t="n">
        <v>251</v>
      </c>
      <c r="D258" s="65" t="str">
        <f aca="false">VLOOKUP(A258,BD_ORDENES!A:BE,10,0)</f>
        <v>EXHIBICION TIENDA GALERIAS</v>
      </c>
      <c r="E258" s="66" t="str">
        <f aca="false">VLOOKUP(A258,BD_ORDENES!A:BG,4,FALSE())</f>
        <v>TBG161</v>
      </c>
      <c r="F258" s="66" t="str">
        <f aca="false">VLOOKUP(A258,BD_ORDENES!A:BE,56,FALSE())</f>
        <v>S268854</v>
      </c>
      <c r="G258" s="67" t="str">
        <f aca="false">VLOOKUP(A258,BD_ORDENES!A:BE,13,FALSE())</f>
        <v>CUADRO ELEFANTE XL (120X80)</v>
      </c>
      <c r="H258" s="68" t="str">
        <f aca="false">VLOOKUP(A258,BD_ORDENES!A:BE,17,FALSE())</f>
        <v>CUADRO</v>
      </c>
      <c r="I258" s="68" t="str">
        <f aca="false">VLOOKUP(A258,BD_ORDENES!A:BE,18,FALSE())</f>
        <v>ELEFANTE-XL-(120X80)</v>
      </c>
      <c r="J258" s="68" t="n">
        <f aca="false">VLOOKUP(A258,BD_ORDENES!A:BE,19,FALSE())</f>
        <v>0</v>
      </c>
      <c r="K258" s="68" t="n">
        <f aca="false">VLOOKUP(A258,BD_ORDENES!A:BE,20,FALSE())</f>
        <v>0</v>
      </c>
      <c r="L258" s="68" t="n">
        <f aca="false">VLOOKUP(A258,BD_ORDENES!A:BE,21,FALSE())</f>
        <v>0</v>
      </c>
      <c r="M258" s="69" t="n">
        <f aca="false">VLOOKUP(A258,BD_ORDENES!A:BE,14,FALSE())</f>
        <v>2</v>
      </c>
      <c r="N258" s="68" t="n">
        <f aca="false">VLOOKUP(A258,BD_ORDENES!A:BE,15,FALSE())</f>
        <v>0</v>
      </c>
      <c r="O258" s="68" t="str">
        <f aca="false">VLOOKUP(A258,BD_ORDENES!A:BE,33,FALSE())</f>
        <v>TRANSPORTADORA HVM BGT</v>
      </c>
      <c r="P258" s="68" t="n">
        <f aca="false">VLOOKUP(A258,BD_ORDENES!A:BE,23,FALSE())</f>
        <v>0</v>
      </c>
      <c r="Q258" s="68" t="str">
        <f aca="false">VLOOKUP(A258,BD_ORDENES!A:BE,52,FALSE())</f>
        <v>Retiro DECORACION POR ENTREGAR</v>
      </c>
      <c r="R258" s="68" t="str">
        <f aca="false">VLOOKUP(A258,BD_ORDENES!A:BE,25,FALSE())</f>
        <v>BOGOTA</v>
      </c>
      <c r="S258" s="68" t="str">
        <f aca="false">VLOOKUP(A258,BD_ORDENES!A:BE,22,FALSE())</f>
        <v>EXHIBICION TIENDA GALERIAS</v>
      </c>
      <c r="T258" s="65" t="str">
        <f aca="false">VLOOKUP(A258,BD_ORDENES!A:BE,55,FALSE())</f>
        <v>PRODUCCION</v>
      </c>
      <c r="U258" s="68" t="str">
        <f aca="false">VLOOKUP(A258,BD_ORDENES!A:BE,57,FALSE())</f>
        <v>8 VENECIA</v>
      </c>
      <c r="V258" s="70"/>
      <c r="W258" s="71"/>
    </row>
    <row r="259" s="72" customFormat="true" ht="98.25" hidden="false" customHeight="true" outlineLevel="0" collapsed="false">
      <c r="A259" s="62" t="n">
        <f aca="false">A258+1</f>
        <v>252</v>
      </c>
      <c r="B259" s="63" t="str">
        <f aca="false">VLOOKUP(A259,BD_ORDENES!A:BG,12,FALSE())</f>
        <v>__export__.product_product_327214_f66c242e</v>
      </c>
      <c r="C259" s="64" t="n">
        <v>252</v>
      </c>
      <c r="D259" s="65" t="str">
        <f aca="false">VLOOKUP(A259,BD_ORDENES!A:BE,10,0)</f>
        <v>EXHIBICION TIENDA GALERIAS</v>
      </c>
      <c r="E259" s="66" t="str">
        <f aca="false">VLOOKUP(A259,BD_ORDENES!A:BG,4,FALSE())</f>
        <v>TBG161</v>
      </c>
      <c r="F259" s="66" t="str">
        <f aca="false">VLOOKUP(A259,BD_ORDENES!A:BE,56,FALSE())</f>
        <v>S268854</v>
      </c>
      <c r="G259" s="67" t="str">
        <f aca="false">VLOOKUP(A259,BD_ORDENES!A:BE,13,FALSE())</f>
        <v>CUADRO ERIZO INFANTIL L (60X60)</v>
      </c>
      <c r="H259" s="68" t="str">
        <f aca="false">VLOOKUP(A259,BD_ORDENES!A:BE,17,FALSE())</f>
        <v>CUADRO</v>
      </c>
      <c r="I259" s="68" t="str">
        <f aca="false">VLOOKUP(A259,BD_ORDENES!A:BE,18,FALSE())</f>
        <v>ERIZO-INFANTIL-L</v>
      </c>
      <c r="J259" s="68" t="n">
        <f aca="false">VLOOKUP(A259,BD_ORDENES!A:BE,19,FALSE())</f>
        <v>0</v>
      </c>
      <c r="K259" s="68" t="n">
        <f aca="false">VLOOKUP(A259,BD_ORDENES!A:BE,20,FALSE())</f>
        <v>0</v>
      </c>
      <c r="L259" s="68" t="n">
        <f aca="false">VLOOKUP(A259,BD_ORDENES!A:BE,21,FALSE())</f>
        <v>0</v>
      </c>
      <c r="M259" s="69" t="n">
        <f aca="false">VLOOKUP(A259,BD_ORDENES!A:BE,14,FALSE())</f>
        <v>1</v>
      </c>
      <c r="N259" s="68" t="n">
        <f aca="false">VLOOKUP(A259,BD_ORDENES!A:BE,15,FALSE())</f>
        <v>0</v>
      </c>
      <c r="O259" s="68" t="str">
        <f aca="false">VLOOKUP(A259,BD_ORDENES!A:BE,33,FALSE())</f>
        <v>TRANSPORTADORA HVM BGT</v>
      </c>
      <c r="P259" s="68" t="n">
        <f aca="false">VLOOKUP(A259,BD_ORDENES!A:BE,23,FALSE())</f>
        <v>0</v>
      </c>
      <c r="Q259" s="68" t="str">
        <f aca="false">VLOOKUP(A259,BD_ORDENES!A:BE,52,FALSE())</f>
        <v>Retiro DECORACION POR ENTREGAR</v>
      </c>
      <c r="R259" s="68" t="str">
        <f aca="false">VLOOKUP(A259,BD_ORDENES!A:BE,25,FALSE())</f>
        <v>BOGOTA</v>
      </c>
      <c r="S259" s="68" t="str">
        <f aca="false">VLOOKUP(A259,BD_ORDENES!A:BE,22,FALSE())</f>
        <v>EXHIBICION TIENDA GALERIAS</v>
      </c>
      <c r="T259" s="65" t="str">
        <f aca="false">VLOOKUP(A259,BD_ORDENES!A:BE,55,FALSE())</f>
        <v>PRODUCCION</v>
      </c>
      <c r="U259" s="68" t="str">
        <f aca="false">VLOOKUP(A259,BD_ORDENES!A:BE,57,FALSE())</f>
        <v>8 VENECIA</v>
      </c>
      <c r="V259" s="70"/>
      <c r="W259" s="71"/>
    </row>
    <row r="260" s="72" customFormat="true" ht="98.25" hidden="false" customHeight="true" outlineLevel="0" collapsed="false">
      <c r="A260" s="62" t="n">
        <f aca="false">A259+1</f>
        <v>253</v>
      </c>
      <c r="B260" s="63" t="str">
        <f aca="false">VLOOKUP(A260,BD_ORDENES!A:BG,12,FALSE())</f>
        <v>__export__.product_product_299374_9398bb48</v>
      </c>
      <c r="C260" s="64" t="n">
        <v>253</v>
      </c>
      <c r="D260" s="65" t="str">
        <f aca="false">VLOOKUP(A260,BD_ORDENES!A:BE,10,0)</f>
        <v>EXHIBICION TIENDA GALERIAS</v>
      </c>
      <c r="E260" s="66" t="str">
        <f aca="false">VLOOKUP(A260,BD_ORDENES!A:BG,4,FALSE())</f>
        <v>TBG161</v>
      </c>
      <c r="F260" s="66" t="str">
        <f aca="false">VLOOKUP(A260,BD_ORDENES!A:BE,56,FALSE())</f>
        <v>S268854</v>
      </c>
      <c r="G260" s="67" t="str">
        <f aca="false">VLOOKUP(A260,BD_ORDENES!A:BE,13,FALSE())</f>
        <v>CUADRO JIRAFA FONDO BLANCO L (60X60)</v>
      </c>
      <c r="H260" s="68" t="str">
        <f aca="false">VLOOKUP(A260,BD_ORDENES!A:BE,17,FALSE())</f>
        <v>CUADRO</v>
      </c>
      <c r="I260" s="68" t="str">
        <f aca="false">VLOOKUP(A260,BD_ORDENES!A:BE,18,FALSE())</f>
        <v>JIRAFA-FONDO-BLANCO-L-(60X60)</v>
      </c>
      <c r="J260" s="68" t="n">
        <f aca="false">VLOOKUP(A260,BD_ORDENES!A:BE,19,FALSE())</f>
        <v>0</v>
      </c>
      <c r="K260" s="68" t="n">
        <f aca="false">VLOOKUP(A260,BD_ORDENES!A:BE,20,FALSE())</f>
        <v>0</v>
      </c>
      <c r="L260" s="68" t="n">
        <f aca="false">VLOOKUP(A260,BD_ORDENES!A:BE,21,FALSE())</f>
        <v>0</v>
      </c>
      <c r="M260" s="69" t="n">
        <f aca="false">VLOOKUP(A260,BD_ORDENES!A:BE,14,FALSE())</f>
        <v>1</v>
      </c>
      <c r="N260" s="68" t="n">
        <f aca="false">VLOOKUP(A260,BD_ORDENES!A:BE,15,FALSE())</f>
        <v>0</v>
      </c>
      <c r="O260" s="68" t="str">
        <f aca="false">VLOOKUP(A260,BD_ORDENES!A:BE,33,FALSE())</f>
        <v>TRANSPORTADORA HVM BGT</v>
      </c>
      <c r="P260" s="68" t="n">
        <f aca="false">VLOOKUP(A260,BD_ORDENES!A:BE,23,FALSE())</f>
        <v>0</v>
      </c>
      <c r="Q260" s="68" t="str">
        <f aca="false">VLOOKUP(A260,BD_ORDENES!A:BE,52,FALSE())</f>
        <v>Retiro DECORACION POR ENTREGAR</v>
      </c>
      <c r="R260" s="68" t="str">
        <f aca="false">VLOOKUP(A260,BD_ORDENES!A:BE,25,FALSE())</f>
        <v>BOGOTA</v>
      </c>
      <c r="S260" s="68" t="str">
        <f aca="false">VLOOKUP(A260,BD_ORDENES!A:BE,22,FALSE())</f>
        <v>EXHIBICION TIENDA GALERIAS</v>
      </c>
      <c r="T260" s="65" t="str">
        <f aca="false">VLOOKUP(A260,BD_ORDENES!A:BE,55,FALSE())</f>
        <v>PRODUCCION</v>
      </c>
      <c r="U260" s="68" t="str">
        <f aca="false">VLOOKUP(A260,BD_ORDENES!A:BE,57,FALSE())</f>
        <v>8 VENECIA</v>
      </c>
      <c r="V260" s="70"/>
      <c r="W260" s="71"/>
    </row>
    <row r="261" s="72" customFormat="true" ht="98.25" hidden="false" customHeight="true" outlineLevel="0" collapsed="false">
      <c r="A261" s="62" t="n">
        <f aca="false">A260+1</f>
        <v>254</v>
      </c>
      <c r="B261" s="63" t="str">
        <f aca="false">VLOOKUP(A261,BD_ORDENES!A:BG,12,FALSE())</f>
        <v>__export__.product_product_188249_0219d31a</v>
      </c>
      <c r="C261" s="64" t="n">
        <v>254</v>
      </c>
      <c r="D261" s="65" t="str">
        <f aca="false">VLOOKUP(A261,BD_ORDENES!A:BE,10,0)</f>
        <v>EXHIBICION TIENDA GALERIAS</v>
      </c>
      <c r="E261" s="66" t="str">
        <f aca="false">VLOOKUP(A261,BD_ORDENES!A:BG,4,FALSE())</f>
        <v>TBG161</v>
      </c>
      <c r="F261" s="66" t="str">
        <f aca="false">VLOOKUP(A261,BD_ORDENES!A:BE,56,FALSE())</f>
        <v>S268854</v>
      </c>
      <c r="G261" s="67" t="str">
        <f aca="false">VLOOKUP(A261,BD_ORDENES!A:BE,13,FALSE())</f>
        <v>CUADRO LEON M (70X45)</v>
      </c>
      <c r="H261" s="68" t="str">
        <f aca="false">VLOOKUP(A261,BD_ORDENES!A:BE,17,FALSE())</f>
        <v>CUADRO</v>
      </c>
      <c r="I261" s="68" t="str">
        <f aca="false">VLOOKUP(A261,BD_ORDENES!A:BE,18,FALSE())</f>
        <v>LEON-M-(70X45)</v>
      </c>
      <c r="J261" s="68" t="n">
        <f aca="false">VLOOKUP(A261,BD_ORDENES!A:BE,19,FALSE())</f>
        <v>0</v>
      </c>
      <c r="K261" s="68" t="n">
        <f aca="false">VLOOKUP(A261,BD_ORDENES!A:BE,20,FALSE())</f>
        <v>0</v>
      </c>
      <c r="L261" s="68" t="n">
        <f aca="false">VLOOKUP(A261,BD_ORDENES!A:BE,21,FALSE())</f>
        <v>0</v>
      </c>
      <c r="M261" s="69" t="n">
        <f aca="false">VLOOKUP(A261,BD_ORDENES!A:BE,14,FALSE())</f>
        <v>2</v>
      </c>
      <c r="N261" s="68" t="n">
        <f aca="false">VLOOKUP(A261,BD_ORDENES!A:BE,15,FALSE())</f>
        <v>0</v>
      </c>
      <c r="O261" s="68" t="str">
        <f aca="false">VLOOKUP(A261,BD_ORDENES!A:BE,33,FALSE())</f>
        <v>TRANSPORTADORA HVM BGT</v>
      </c>
      <c r="P261" s="68" t="n">
        <f aca="false">VLOOKUP(A261,BD_ORDENES!A:BE,23,FALSE())</f>
        <v>0</v>
      </c>
      <c r="Q261" s="68" t="str">
        <f aca="false">VLOOKUP(A261,BD_ORDENES!A:BE,52,FALSE())</f>
        <v>Retiro DECORACION POR ENTREGAR</v>
      </c>
      <c r="R261" s="68" t="str">
        <f aca="false">VLOOKUP(A261,BD_ORDENES!A:BE,25,FALSE())</f>
        <v>BOGOTA</v>
      </c>
      <c r="S261" s="68" t="str">
        <f aca="false">VLOOKUP(A261,BD_ORDENES!A:BE,22,FALSE())</f>
        <v>EXHIBICION TIENDA GALERIAS</v>
      </c>
      <c r="T261" s="65" t="str">
        <f aca="false">VLOOKUP(A261,BD_ORDENES!A:BE,55,FALSE())</f>
        <v>PRODUCCION</v>
      </c>
      <c r="U261" s="68" t="str">
        <f aca="false">VLOOKUP(A261,BD_ORDENES!A:BE,57,FALSE())</f>
        <v>8 VENECIA</v>
      </c>
      <c r="V261" s="70"/>
      <c r="W261" s="71"/>
    </row>
    <row r="262" s="72" customFormat="true" ht="98.25" hidden="false" customHeight="true" outlineLevel="0" collapsed="false">
      <c r="A262" s="62" t="n">
        <f aca="false">A261+1</f>
        <v>255</v>
      </c>
      <c r="B262" s="63" t="str">
        <f aca="false">VLOOKUP(A262,BD_ORDENES!A:BG,12,FALSE())</f>
        <v>__export__.product_product_188257_aa4eb057</v>
      </c>
      <c r="C262" s="64" t="n">
        <v>255</v>
      </c>
      <c r="D262" s="65" t="str">
        <f aca="false">VLOOKUP(A262,BD_ORDENES!A:BE,10,0)</f>
        <v>EXHIBICION TIENDA GALERIAS</v>
      </c>
      <c r="E262" s="66" t="str">
        <f aca="false">VLOOKUP(A262,BD_ORDENES!A:BG,4,FALSE())</f>
        <v>TBG161</v>
      </c>
      <c r="F262" s="66" t="str">
        <f aca="false">VLOOKUP(A262,BD_ORDENES!A:BE,56,FALSE())</f>
        <v>S268854</v>
      </c>
      <c r="G262" s="67" t="str">
        <f aca="false">VLOOKUP(A262,BD_ORDENES!A:BE,13,FALSE())</f>
        <v>CUADRO LEON XL (120X80)</v>
      </c>
      <c r="H262" s="68" t="str">
        <f aca="false">VLOOKUP(A262,BD_ORDENES!A:BE,17,FALSE())</f>
        <v>CUADRO</v>
      </c>
      <c r="I262" s="68" t="str">
        <f aca="false">VLOOKUP(A262,BD_ORDENES!A:BE,18,FALSE())</f>
        <v>LEON-XL-(120X80)</v>
      </c>
      <c r="J262" s="68" t="n">
        <f aca="false">VLOOKUP(A262,BD_ORDENES!A:BE,19,FALSE())</f>
        <v>0</v>
      </c>
      <c r="K262" s="68" t="n">
        <f aca="false">VLOOKUP(A262,BD_ORDENES!A:BE,20,FALSE())</f>
        <v>0</v>
      </c>
      <c r="L262" s="68" t="n">
        <f aca="false">VLOOKUP(A262,BD_ORDENES!A:BE,21,FALSE())</f>
        <v>0</v>
      </c>
      <c r="M262" s="69" t="n">
        <f aca="false">VLOOKUP(A262,BD_ORDENES!A:BE,14,FALSE())</f>
        <v>1</v>
      </c>
      <c r="N262" s="68" t="n">
        <f aca="false">VLOOKUP(A262,BD_ORDENES!A:BE,15,FALSE())</f>
        <v>0</v>
      </c>
      <c r="O262" s="68" t="str">
        <f aca="false">VLOOKUP(A262,BD_ORDENES!A:BE,33,FALSE())</f>
        <v>TRANSPORTADORA HVM BGT</v>
      </c>
      <c r="P262" s="68" t="n">
        <f aca="false">VLOOKUP(A262,BD_ORDENES!A:BE,23,FALSE())</f>
        <v>0</v>
      </c>
      <c r="Q262" s="68" t="str">
        <f aca="false">VLOOKUP(A262,BD_ORDENES!A:BE,52,FALSE())</f>
        <v>Retiro DECORACION POR ENTREGAR</v>
      </c>
      <c r="R262" s="68" t="str">
        <f aca="false">VLOOKUP(A262,BD_ORDENES!A:BE,25,FALSE())</f>
        <v>BOGOTA</v>
      </c>
      <c r="S262" s="68" t="str">
        <f aca="false">VLOOKUP(A262,BD_ORDENES!A:BE,22,FALSE())</f>
        <v>EXHIBICION TIENDA GALERIAS</v>
      </c>
      <c r="T262" s="65" t="str">
        <f aca="false">VLOOKUP(A262,BD_ORDENES!A:BE,55,FALSE())</f>
        <v>PRODUCCION</v>
      </c>
      <c r="U262" s="68" t="str">
        <f aca="false">VLOOKUP(A262,BD_ORDENES!A:BE,57,FALSE())</f>
        <v>8 VENECIA</v>
      </c>
      <c r="V262" s="70"/>
      <c r="W262" s="71"/>
    </row>
    <row r="263" s="72" customFormat="true" ht="98.25" hidden="false" customHeight="true" outlineLevel="0" collapsed="false">
      <c r="A263" s="62" t="n">
        <f aca="false">A262+1</f>
        <v>256</v>
      </c>
      <c r="B263" s="63" t="str">
        <f aca="false">VLOOKUP(A263,BD_ORDENES!A:BG,12,FALSE())</f>
        <v>__export__.product_product_285293_c131e375</v>
      </c>
      <c r="C263" s="64" t="n">
        <v>256</v>
      </c>
      <c r="D263" s="65" t="str">
        <f aca="false">VLOOKUP(A263,BD_ORDENES!A:BE,10,0)</f>
        <v>EXHIBICION TIENDA GALERIAS</v>
      </c>
      <c r="E263" s="66" t="str">
        <f aca="false">VLOOKUP(A263,BD_ORDENES!A:BG,4,FALSE())</f>
        <v>TBG161</v>
      </c>
      <c r="F263" s="66" t="str">
        <f aca="false">VLOOKUP(A263,BD_ORDENES!A:BE,56,FALSE())</f>
        <v>S268854</v>
      </c>
      <c r="G263" s="67" t="str">
        <f aca="false">VLOOKUP(A263,BD_ORDENES!A:BE,13,FALSE())</f>
        <v>CUADRO LEOPARDO ACUARELA L (60X60)</v>
      </c>
      <c r="H263" s="68" t="str">
        <f aca="false">VLOOKUP(A263,BD_ORDENES!A:BE,17,FALSE())</f>
        <v>CUADRO</v>
      </c>
      <c r="I263" s="68" t="str">
        <f aca="false">VLOOKUP(A263,BD_ORDENES!A:BE,18,FALSE())</f>
        <v>LEOPARDO-ACUARELA-L-(60X60)</v>
      </c>
      <c r="J263" s="68" t="n">
        <f aca="false">VLOOKUP(A263,BD_ORDENES!A:BE,19,FALSE())</f>
        <v>0</v>
      </c>
      <c r="K263" s="68" t="n">
        <f aca="false">VLOOKUP(A263,BD_ORDENES!A:BE,20,FALSE())</f>
        <v>0</v>
      </c>
      <c r="L263" s="68" t="n">
        <f aca="false">VLOOKUP(A263,BD_ORDENES!A:BE,21,FALSE())</f>
        <v>0</v>
      </c>
      <c r="M263" s="69" t="n">
        <f aca="false">VLOOKUP(A263,BD_ORDENES!A:BE,14,FALSE())</f>
        <v>2</v>
      </c>
      <c r="N263" s="68" t="n">
        <f aca="false">VLOOKUP(A263,BD_ORDENES!A:BE,15,FALSE())</f>
        <v>0</v>
      </c>
      <c r="O263" s="68" t="str">
        <f aca="false">VLOOKUP(A263,BD_ORDENES!A:BE,33,FALSE())</f>
        <v>TRANSPORTADORA HVM BGT</v>
      </c>
      <c r="P263" s="68" t="n">
        <f aca="false">VLOOKUP(A263,BD_ORDENES!A:BE,23,FALSE())</f>
        <v>0</v>
      </c>
      <c r="Q263" s="68" t="str">
        <f aca="false">VLOOKUP(A263,BD_ORDENES!A:BE,52,FALSE())</f>
        <v>Retiro DECORACION POR ENTREGAR</v>
      </c>
      <c r="R263" s="68" t="str">
        <f aca="false">VLOOKUP(A263,BD_ORDENES!A:BE,25,FALSE())</f>
        <v>BOGOTA</v>
      </c>
      <c r="S263" s="68" t="str">
        <f aca="false">VLOOKUP(A263,BD_ORDENES!A:BE,22,FALSE())</f>
        <v>EXHIBICION TIENDA GALERIAS</v>
      </c>
      <c r="T263" s="65" t="str">
        <f aca="false">VLOOKUP(A263,BD_ORDENES!A:BE,55,FALSE())</f>
        <v>PRODUCCION</v>
      </c>
      <c r="U263" s="68" t="str">
        <f aca="false">VLOOKUP(A263,BD_ORDENES!A:BE,57,FALSE())</f>
        <v>8 VENECIA</v>
      </c>
      <c r="V263" s="70"/>
      <c r="W263" s="71"/>
    </row>
    <row r="264" s="72" customFormat="true" ht="98.25" hidden="false" customHeight="true" outlineLevel="0" collapsed="false">
      <c r="A264" s="62" t="n">
        <f aca="false">A263+1</f>
        <v>257</v>
      </c>
      <c r="B264" s="63" t="str">
        <f aca="false">VLOOKUP(A264,BD_ORDENES!A:BG,12,FALSE())</f>
        <v>__export__.product_product_285294_deb0ade3</v>
      </c>
      <c r="C264" s="64" t="n">
        <v>257</v>
      </c>
      <c r="D264" s="65" t="str">
        <f aca="false">VLOOKUP(A264,BD_ORDENES!A:BE,10,0)</f>
        <v>EXHIBICION TIENDA GALERIAS</v>
      </c>
      <c r="E264" s="66" t="str">
        <f aca="false">VLOOKUP(A264,BD_ORDENES!A:BG,4,FALSE())</f>
        <v>TBG161</v>
      </c>
      <c r="F264" s="66" t="str">
        <f aca="false">VLOOKUP(A264,BD_ORDENES!A:BE,56,FALSE())</f>
        <v>S268854</v>
      </c>
      <c r="G264" s="67" t="str">
        <f aca="false">VLOOKUP(A264,BD_ORDENES!A:BE,13,FALSE())</f>
        <v>CUADRO LEOPARDO ACUARELA M (70X45)</v>
      </c>
      <c r="H264" s="68" t="str">
        <f aca="false">VLOOKUP(A264,BD_ORDENES!A:BE,17,FALSE())</f>
        <v>CUADRO</v>
      </c>
      <c r="I264" s="68" t="str">
        <f aca="false">VLOOKUP(A264,BD_ORDENES!A:BE,18,FALSE())</f>
        <v>LEOPARDO-ACUARELA-M-(70X45)</v>
      </c>
      <c r="J264" s="68" t="n">
        <f aca="false">VLOOKUP(A264,BD_ORDENES!A:BE,19,FALSE())</f>
        <v>0</v>
      </c>
      <c r="K264" s="68" t="n">
        <f aca="false">VLOOKUP(A264,BD_ORDENES!A:BE,20,FALSE())</f>
        <v>0</v>
      </c>
      <c r="L264" s="68" t="n">
        <f aca="false">VLOOKUP(A264,BD_ORDENES!A:BE,21,FALSE())</f>
        <v>0</v>
      </c>
      <c r="M264" s="69" t="n">
        <f aca="false">VLOOKUP(A264,BD_ORDENES!A:BE,14,FALSE())</f>
        <v>2</v>
      </c>
      <c r="N264" s="68" t="n">
        <f aca="false">VLOOKUP(A264,BD_ORDENES!A:BE,15,FALSE())</f>
        <v>0</v>
      </c>
      <c r="O264" s="68" t="str">
        <f aca="false">VLOOKUP(A264,BD_ORDENES!A:BE,33,FALSE())</f>
        <v>TRANSPORTADORA HVM BGT</v>
      </c>
      <c r="P264" s="68" t="n">
        <f aca="false">VLOOKUP(A264,BD_ORDENES!A:BE,23,FALSE())</f>
        <v>0</v>
      </c>
      <c r="Q264" s="68" t="str">
        <f aca="false">VLOOKUP(A264,BD_ORDENES!A:BE,52,FALSE())</f>
        <v>Retiro DECORACION POR ENTREGAR</v>
      </c>
      <c r="R264" s="68" t="str">
        <f aca="false">VLOOKUP(A264,BD_ORDENES!A:BE,25,FALSE())</f>
        <v>BOGOTA</v>
      </c>
      <c r="S264" s="68" t="str">
        <f aca="false">VLOOKUP(A264,BD_ORDENES!A:BE,22,FALSE())</f>
        <v>EXHIBICION TIENDA GALERIAS</v>
      </c>
      <c r="T264" s="65" t="str">
        <f aca="false">VLOOKUP(A264,BD_ORDENES!A:BE,55,FALSE())</f>
        <v>PRODUCCION</v>
      </c>
      <c r="U264" s="68" t="str">
        <f aca="false">VLOOKUP(A264,BD_ORDENES!A:BE,57,FALSE())</f>
        <v>8 VENECIA</v>
      </c>
      <c r="V264" s="70"/>
      <c r="W264" s="71"/>
    </row>
    <row r="265" s="72" customFormat="true" ht="98.25" hidden="false" customHeight="true" outlineLevel="0" collapsed="false">
      <c r="A265" s="62" t="n">
        <f aca="false">A264+1</f>
        <v>258</v>
      </c>
      <c r="B265" s="63" t="str">
        <f aca="false">VLOOKUP(A265,BD_ORDENES!A:BG,12,FALSE())</f>
        <v>__export__.product_product_281715_232d83e1</v>
      </c>
      <c r="C265" s="64" t="n">
        <v>258</v>
      </c>
      <c r="D265" s="65" t="str">
        <f aca="false">VLOOKUP(A265,BD_ORDENES!A:BE,10,0)</f>
        <v>EXHIBICION TIENDA GALERIAS</v>
      </c>
      <c r="E265" s="66" t="str">
        <f aca="false">VLOOKUP(A265,BD_ORDENES!A:BG,4,FALSE())</f>
        <v>TBG161</v>
      </c>
      <c r="F265" s="66" t="str">
        <f aca="false">VLOOKUP(A265,BD_ORDENES!A:BE,56,FALSE())</f>
        <v>S268854</v>
      </c>
      <c r="G265" s="67" t="str">
        <f aca="false">VLOOKUP(A265,BD_ORDENES!A:BE,13,FALSE())</f>
        <v>CUADRO LEOPARDO ACUARELA XL (120X80)</v>
      </c>
      <c r="H265" s="68" t="str">
        <f aca="false">VLOOKUP(A265,BD_ORDENES!A:BE,17,FALSE())</f>
        <v>CUADRO</v>
      </c>
      <c r="I265" s="68" t="str">
        <f aca="false">VLOOKUP(A265,BD_ORDENES!A:BE,18,FALSE())</f>
        <v>LEOPARDO-ACUARELA-XL-(120X80)</v>
      </c>
      <c r="J265" s="68" t="n">
        <f aca="false">VLOOKUP(A265,BD_ORDENES!A:BE,19,FALSE())</f>
        <v>0</v>
      </c>
      <c r="K265" s="68" t="n">
        <f aca="false">VLOOKUP(A265,BD_ORDENES!A:BE,20,FALSE())</f>
        <v>0</v>
      </c>
      <c r="L265" s="68" t="n">
        <f aca="false">VLOOKUP(A265,BD_ORDENES!A:BE,21,FALSE())</f>
        <v>0</v>
      </c>
      <c r="M265" s="69" t="n">
        <f aca="false">VLOOKUP(A265,BD_ORDENES!A:BE,14,FALSE())</f>
        <v>1</v>
      </c>
      <c r="N265" s="68" t="n">
        <f aca="false">VLOOKUP(A265,BD_ORDENES!A:BE,15,FALSE())</f>
        <v>0</v>
      </c>
      <c r="O265" s="68" t="str">
        <f aca="false">VLOOKUP(A265,BD_ORDENES!A:BE,33,FALSE())</f>
        <v>TRANSPORTADORA HVM BGT</v>
      </c>
      <c r="P265" s="68" t="n">
        <f aca="false">VLOOKUP(A265,BD_ORDENES!A:BE,23,FALSE())</f>
        <v>0</v>
      </c>
      <c r="Q265" s="68" t="str">
        <f aca="false">VLOOKUP(A265,BD_ORDENES!A:BE,52,FALSE())</f>
        <v>Retiro DECORACION POR ENTREGAR</v>
      </c>
      <c r="R265" s="68" t="str">
        <f aca="false">VLOOKUP(A265,BD_ORDENES!A:BE,25,FALSE())</f>
        <v>BOGOTA</v>
      </c>
      <c r="S265" s="68" t="str">
        <f aca="false">VLOOKUP(A265,BD_ORDENES!A:BE,22,FALSE())</f>
        <v>EXHIBICION TIENDA GALERIAS</v>
      </c>
      <c r="T265" s="65" t="str">
        <f aca="false">VLOOKUP(A265,BD_ORDENES!A:BE,55,FALSE())</f>
        <v>PRODUCCION</v>
      </c>
      <c r="U265" s="68" t="str">
        <f aca="false">VLOOKUP(A265,BD_ORDENES!A:BE,57,FALSE())</f>
        <v>8 VENECIA</v>
      </c>
      <c r="V265" s="70"/>
      <c r="W265" s="71"/>
    </row>
    <row r="266" s="72" customFormat="true" ht="98.25" hidden="false" customHeight="true" outlineLevel="0" collapsed="false">
      <c r="A266" s="62" t="n">
        <f aca="false">A265+1</f>
        <v>259</v>
      </c>
      <c r="B266" s="63" t="str">
        <f aca="false">VLOOKUP(A266,BD_ORDENES!A:BG,12,FALSE())</f>
        <v>__export__.product_product_281854_23cdb469</v>
      </c>
      <c r="C266" s="64" t="n">
        <v>259</v>
      </c>
      <c r="D266" s="65" t="str">
        <f aca="false">VLOOKUP(A266,BD_ORDENES!A:BE,10,0)</f>
        <v>EXHIBICION TIENDA GALERIAS</v>
      </c>
      <c r="E266" s="66" t="str">
        <f aca="false">VLOOKUP(A266,BD_ORDENES!A:BG,4,FALSE())</f>
        <v>TBG161</v>
      </c>
      <c r="F266" s="66" t="str">
        <f aca="false">VLOOKUP(A266,BD_ORDENES!A:BE,56,FALSE())</f>
        <v>S268854</v>
      </c>
      <c r="G266" s="67" t="str">
        <f aca="false">VLOOKUP(A266,BD_ORDENES!A:BE,13,FALSE())</f>
        <v>CUADRO MUJER AFRO M (70X45)</v>
      </c>
      <c r="H266" s="68" t="str">
        <f aca="false">VLOOKUP(A266,BD_ORDENES!A:BE,17,FALSE())</f>
        <v>CUADRO</v>
      </c>
      <c r="I266" s="68" t="str">
        <f aca="false">VLOOKUP(A266,BD_ORDENES!A:BE,18,FALSE())</f>
        <v>MUJER-AFRO-M-(70X45)</v>
      </c>
      <c r="J266" s="68" t="n">
        <f aca="false">VLOOKUP(A266,BD_ORDENES!A:BE,19,FALSE())</f>
        <v>0</v>
      </c>
      <c r="K266" s="68" t="n">
        <f aca="false">VLOOKUP(A266,BD_ORDENES!A:BE,20,FALSE())</f>
        <v>0</v>
      </c>
      <c r="L266" s="68" t="n">
        <f aca="false">VLOOKUP(A266,BD_ORDENES!A:BE,21,FALSE())</f>
        <v>0</v>
      </c>
      <c r="M266" s="69" t="n">
        <f aca="false">VLOOKUP(A266,BD_ORDENES!A:BE,14,FALSE())</f>
        <v>1</v>
      </c>
      <c r="N266" s="68" t="n">
        <f aca="false">VLOOKUP(A266,BD_ORDENES!A:BE,15,FALSE())</f>
        <v>0</v>
      </c>
      <c r="O266" s="68" t="str">
        <f aca="false">VLOOKUP(A266,BD_ORDENES!A:BE,33,FALSE())</f>
        <v>TRANSPORTADORA HVM BGT</v>
      </c>
      <c r="P266" s="68" t="n">
        <f aca="false">VLOOKUP(A266,BD_ORDENES!A:BE,23,FALSE())</f>
        <v>0</v>
      </c>
      <c r="Q266" s="68" t="str">
        <f aca="false">VLOOKUP(A266,BD_ORDENES!A:BE,52,FALSE())</f>
        <v>Retiro DECORACION POR ENTREGAR</v>
      </c>
      <c r="R266" s="68" t="str">
        <f aca="false">VLOOKUP(A266,BD_ORDENES!A:BE,25,FALSE())</f>
        <v>BOGOTA</v>
      </c>
      <c r="S266" s="68" t="str">
        <f aca="false">VLOOKUP(A266,BD_ORDENES!A:BE,22,FALSE())</f>
        <v>EXHIBICION TIENDA GALERIAS</v>
      </c>
      <c r="T266" s="65" t="str">
        <f aca="false">VLOOKUP(A266,BD_ORDENES!A:BE,55,FALSE())</f>
        <v>PRODUCCION</v>
      </c>
      <c r="U266" s="68" t="str">
        <f aca="false">VLOOKUP(A266,BD_ORDENES!A:BE,57,FALSE())</f>
        <v>8 VENECIA</v>
      </c>
      <c r="V266" s="70"/>
      <c r="W266" s="71"/>
    </row>
    <row r="267" s="72" customFormat="true" ht="98.25" hidden="false" customHeight="true" outlineLevel="0" collapsed="false">
      <c r="A267" s="62" t="n">
        <f aca="false">A266+1</f>
        <v>260</v>
      </c>
      <c r="B267" s="63" t="str">
        <f aca="false">VLOOKUP(A267,BD_ORDENES!A:BG,12,FALSE())</f>
        <v>__export__.product_product_281855_515f0dcc</v>
      </c>
      <c r="C267" s="64" t="n">
        <v>260</v>
      </c>
      <c r="D267" s="65" t="str">
        <f aca="false">VLOOKUP(A267,BD_ORDENES!A:BE,10,0)</f>
        <v>EXHIBICION TIENDA GALERIAS</v>
      </c>
      <c r="E267" s="66" t="str">
        <f aca="false">VLOOKUP(A267,BD_ORDENES!A:BG,4,FALSE())</f>
        <v>TBG161</v>
      </c>
      <c r="F267" s="66" t="str">
        <f aca="false">VLOOKUP(A267,BD_ORDENES!A:BE,56,FALSE())</f>
        <v>S268854</v>
      </c>
      <c r="G267" s="67" t="str">
        <f aca="false">VLOOKUP(A267,BD_ORDENES!A:BE,13,FALSE())</f>
        <v>CUADRO MUJER AFRO XL (120X80)</v>
      </c>
      <c r="H267" s="68" t="str">
        <f aca="false">VLOOKUP(A267,BD_ORDENES!A:BE,17,FALSE())</f>
        <v>CUADRO</v>
      </c>
      <c r="I267" s="68" t="str">
        <f aca="false">VLOOKUP(A267,BD_ORDENES!A:BE,18,FALSE())</f>
        <v>MUJER-AFRO-XL-(120X80)</v>
      </c>
      <c r="J267" s="68" t="n">
        <f aca="false">VLOOKUP(A267,BD_ORDENES!A:BE,19,FALSE())</f>
        <v>0</v>
      </c>
      <c r="K267" s="68" t="n">
        <f aca="false">VLOOKUP(A267,BD_ORDENES!A:BE,20,FALSE())</f>
        <v>0</v>
      </c>
      <c r="L267" s="68" t="n">
        <f aca="false">VLOOKUP(A267,BD_ORDENES!A:BE,21,FALSE())</f>
        <v>0</v>
      </c>
      <c r="M267" s="69" t="n">
        <f aca="false">VLOOKUP(A267,BD_ORDENES!A:BE,14,FALSE())</f>
        <v>1</v>
      </c>
      <c r="N267" s="68" t="n">
        <f aca="false">VLOOKUP(A267,BD_ORDENES!A:BE,15,FALSE())</f>
        <v>0</v>
      </c>
      <c r="O267" s="68" t="str">
        <f aca="false">VLOOKUP(A267,BD_ORDENES!A:BE,33,FALSE())</f>
        <v>TRANSPORTADORA HVM BGT</v>
      </c>
      <c r="P267" s="68" t="n">
        <f aca="false">VLOOKUP(A267,BD_ORDENES!A:BE,23,FALSE())</f>
        <v>0</v>
      </c>
      <c r="Q267" s="68" t="str">
        <f aca="false">VLOOKUP(A267,BD_ORDENES!A:BE,52,FALSE())</f>
        <v>Retiro DECORACION POR ENTREGAR</v>
      </c>
      <c r="R267" s="68" t="str">
        <f aca="false">VLOOKUP(A267,BD_ORDENES!A:BE,25,FALSE())</f>
        <v>BOGOTA</v>
      </c>
      <c r="S267" s="68" t="str">
        <f aca="false">VLOOKUP(A267,BD_ORDENES!A:BE,22,FALSE())</f>
        <v>EXHIBICION TIENDA GALERIAS</v>
      </c>
      <c r="T267" s="65" t="str">
        <f aca="false">VLOOKUP(A267,BD_ORDENES!A:BE,55,FALSE())</f>
        <v>PRODUCCION</v>
      </c>
      <c r="U267" s="68" t="str">
        <f aca="false">VLOOKUP(A267,BD_ORDENES!A:BE,57,FALSE())</f>
        <v>8 VENECIA</v>
      </c>
      <c r="V267" s="70"/>
      <c r="W267" s="71"/>
    </row>
    <row r="268" s="72" customFormat="true" ht="98.25" hidden="false" customHeight="true" outlineLevel="0" collapsed="false">
      <c r="A268" s="62" t="n">
        <f aca="false">A267+1</f>
        <v>261</v>
      </c>
      <c r="B268" s="63" t="str">
        <f aca="false">VLOOKUP(A268,BD_ORDENES!A:BG,12,FALSE())</f>
        <v>__export__.product_product_285066_8b348e1a</v>
      </c>
      <c r="C268" s="64" t="n">
        <v>261</v>
      </c>
      <c r="D268" s="65" t="str">
        <f aca="false">VLOOKUP(A268,BD_ORDENES!A:BE,10,0)</f>
        <v>EXHIBICION TIENDA GALERIAS</v>
      </c>
      <c r="E268" s="66" t="str">
        <f aca="false">VLOOKUP(A268,BD_ORDENES!A:BG,4,FALSE())</f>
        <v>TBG161</v>
      </c>
      <c r="F268" s="66" t="str">
        <f aca="false">VLOOKUP(A268,BD_ORDENES!A:BE,56,FALSE())</f>
        <v>S268854</v>
      </c>
      <c r="G268" s="67" t="str">
        <f aca="false">VLOOKUP(A268,BD_ORDENES!A:BE,13,FALSE())</f>
        <v>CUADRO OLEO MUELLE L (60X60)</v>
      </c>
      <c r="H268" s="68" t="str">
        <f aca="false">VLOOKUP(A268,BD_ORDENES!A:BE,17,FALSE())</f>
        <v>CUADRO</v>
      </c>
      <c r="I268" s="68" t="str">
        <f aca="false">VLOOKUP(A268,BD_ORDENES!A:BE,18,FALSE())</f>
        <v>OLEO-MUELLE-L-(60X60)</v>
      </c>
      <c r="J268" s="68" t="n">
        <f aca="false">VLOOKUP(A268,BD_ORDENES!A:BE,19,FALSE())</f>
        <v>0</v>
      </c>
      <c r="K268" s="68" t="n">
        <f aca="false">VLOOKUP(A268,BD_ORDENES!A:BE,20,FALSE())</f>
        <v>0</v>
      </c>
      <c r="L268" s="68" t="n">
        <f aca="false">VLOOKUP(A268,BD_ORDENES!A:BE,21,FALSE())</f>
        <v>0</v>
      </c>
      <c r="M268" s="69" t="n">
        <f aca="false">VLOOKUP(A268,BD_ORDENES!A:BE,14,FALSE())</f>
        <v>1</v>
      </c>
      <c r="N268" s="68" t="n">
        <f aca="false">VLOOKUP(A268,BD_ORDENES!A:BE,15,FALSE())</f>
        <v>0</v>
      </c>
      <c r="O268" s="68" t="str">
        <f aca="false">VLOOKUP(A268,BD_ORDENES!A:BE,33,FALSE())</f>
        <v>TRANSPORTADORA HVM BGT</v>
      </c>
      <c r="P268" s="68" t="n">
        <f aca="false">VLOOKUP(A268,BD_ORDENES!A:BE,23,FALSE())</f>
        <v>0</v>
      </c>
      <c r="Q268" s="68" t="str">
        <f aca="false">VLOOKUP(A268,BD_ORDENES!A:BE,52,FALSE())</f>
        <v>Retiro DECORACION POR ENTREGAR</v>
      </c>
      <c r="R268" s="68" t="str">
        <f aca="false">VLOOKUP(A268,BD_ORDENES!A:BE,25,FALSE())</f>
        <v>BOGOTA</v>
      </c>
      <c r="S268" s="68" t="str">
        <f aca="false">VLOOKUP(A268,BD_ORDENES!A:BE,22,FALSE())</f>
        <v>EXHIBICION TIENDA GALERIAS</v>
      </c>
      <c r="T268" s="65" t="str">
        <f aca="false">VLOOKUP(A268,BD_ORDENES!A:BE,55,FALSE())</f>
        <v>PRODUCCION</v>
      </c>
      <c r="U268" s="68" t="str">
        <f aca="false">VLOOKUP(A268,BD_ORDENES!A:BE,57,FALSE())</f>
        <v>8 VENECIA</v>
      </c>
      <c r="V268" s="70"/>
      <c r="W268" s="71"/>
    </row>
    <row r="269" s="72" customFormat="true" ht="98.25" hidden="false" customHeight="true" outlineLevel="0" collapsed="false">
      <c r="A269" s="62" t="n">
        <f aca="false">A268+1</f>
        <v>262</v>
      </c>
      <c r="B269" s="63" t="str">
        <f aca="false">VLOOKUP(A269,BD_ORDENES!A:BG,12,FALSE())</f>
        <v>__export__.product_product_285060_5f0c99ce</v>
      </c>
      <c r="C269" s="64" t="n">
        <v>262</v>
      </c>
      <c r="D269" s="65" t="str">
        <f aca="false">VLOOKUP(A269,BD_ORDENES!A:BE,10,0)</f>
        <v>EXHIBICION TIENDA GALERIAS</v>
      </c>
      <c r="E269" s="66" t="str">
        <f aca="false">VLOOKUP(A269,BD_ORDENES!A:BG,4,FALSE())</f>
        <v>TBG161</v>
      </c>
      <c r="F269" s="66" t="str">
        <f aca="false">VLOOKUP(A269,BD_ORDENES!A:BE,56,FALSE())</f>
        <v>S268854</v>
      </c>
      <c r="G269" s="67" t="str">
        <f aca="false">VLOOKUP(A269,BD_ORDENES!A:BE,13,FALSE())</f>
        <v>CUADRO OLEO MUELLE XL (120X80)</v>
      </c>
      <c r="H269" s="68" t="str">
        <f aca="false">VLOOKUP(A269,BD_ORDENES!A:BE,17,FALSE())</f>
        <v>CUADRO</v>
      </c>
      <c r="I269" s="68" t="str">
        <f aca="false">VLOOKUP(A269,BD_ORDENES!A:BE,18,FALSE())</f>
        <v>OLEO-MUELLE-XL-(120X80)</v>
      </c>
      <c r="J269" s="68" t="n">
        <f aca="false">VLOOKUP(A269,BD_ORDENES!A:BE,19,FALSE())</f>
        <v>0</v>
      </c>
      <c r="K269" s="68" t="n">
        <f aca="false">VLOOKUP(A269,BD_ORDENES!A:BE,20,FALSE())</f>
        <v>0</v>
      </c>
      <c r="L269" s="68" t="n">
        <f aca="false">VLOOKUP(A269,BD_ORDENES!A:BE,21,FALSE())</f>
        <v>0</v>
      </c>
      <c r="M269" s="69" t="n">
        <f aca="false">VLOOKUP(A269,BD_ORDENES!A:BE,14,FALSE())</f>
        <v>1</v>
      </c>
      <c r="N269" s="68" t="n">
        <f aca="false">VLOOKUP(A269,BD_ORDENES!A:BE,15,FALSE())</f>
        <v>0</v>
      </c>
      <c r="O269" s="68" t="str">
        <f aca="false">VLOOKUP(A269,BD_ORDENES!A:BE,33,FALSE())</f>
        <v>TRANSPORTADORA HVM BGT</v>
      </c>
      <c r="P269" s="68" t="n">
        <f aca="false">VLOOKUP(A269,BD_ORDENES!A:BE,23,FALSE())</f>
        <v>0</v>
      </c>
      <c r="Q269" s="68" t="str">
        <f aca="false">VLOOKUP(A269,BD_ORDENES!A:BE,52,FALSE())</f>
        <v>Retiro DECORACION POR ENTREGAR</v>
      </c>
      <c r="R269" s="68" t="str">
        <f aca="false">VLOOKUP(A269,BD_ORDENES!A:BE,25,FALSE())</f>
        <v>BOGOTA</v>
      </c>
      <c r="S269" s="68" t="str">
        <f aca="false">VLOOKUP(A269,BD_ORDENES!A:BE,22,FALSE())</f>
        <v>EXHIBICION TIENDA GALERIAS</v>
      </c>
      <c r="T269" s="65" t="str">
        <f aca="false">VLOOKUP(A269,BD_ORDENES!A:BE,55,FALSE())</f>
        <v>PRODUCCION</v>
      </c>
      <c r="U269" s="68" t="str">
        <f aca="false">VLOOKUP(A269,BD_ORDENES!A:BE,57,FALSE())</f>
        <v>8 VENECIA</v>
      </c>
      <c r="V269" s="70"/>
      <c r="W269" s="71"/>
    </row>
    <row r="270" s="72" customFormat="true" ht="98.25" hidden="false" customHeight="true" outlineLevel="0" collapsed="false">
      <c r="A270" s="62" t="n">
        <f aca="false">A269+1</f>
        <v>263</v>
      </c>
      <c r="B270" s="63" t="str">
        <f aca="false">VLOOKUP(A270,BD_ORDENES!A:BG,12,FALSE())</f>
        <v>__export__.product_product_285302_a4e1a87a</v>
      </c>
      <c r="C270" s="64" t="n">
        <v>263</v>
      </c>
      <c r="D270" s="65" t="str">
        <f aca="false">VLOOKUP(A270,BD_ORDENES!A:BE,10,0)</f>
        <v>EXHIBICION TIENDA GALERIAS</v>
      </c>
      <c r="E270" s="66" t="str">
        <f aca="false">VLOOKUP(A270,BD_ORDENES!A:BG,4,FALSE())</f>
        <v>TBG161</v>
      </c>
      <c r="F270" s="66" t="str">
        <f aca="false">VLOOKUP(A270,BD_ORDENES!A:BE,56,FALSE())</f>
        <v>S268854</v>
      </c>
      <c r="G270" s="67" t="str">
        <f aca="false">VLOOKUP(A270,BD_ORDENES!A:BE,13,FALSE())</f>
        <v>CUADRO OLEO PUENTE M (70X45)</v>
      </c>
      <c r="H270" s="68" t="str">
        <f aca="false">VLOOKUP(A270,BD_ORDENES!A:BE,17,FALSE())</f>
        <v>CUADRO</v>
      </c>
      <c r="I270" s="68" t="str">
        <f aca="false">VLOOKUP(A270,BD_ORDENES!A:BE,18,FALSE())</f>
        <v>OLEO-PUENTE-M-(70X45)</v>
      </c>
      <c r="J270" s="68" t="n">
        <f aca="false">VLOOKUP(A270,BD_ORDENES!A:BE,19,FALSE())</f>
        <v>0</v>
      </c>
      <c r="K270" s="68" t="n">
        <f aca="false">VLOOKUP(A270,BD_ORDENES!A:BE,20,FALSE())</f>
        <v>0</v>
      </c>
      <c r="L270" s="68" t="n">
        <f aca="false">VLOOKUP(A270,BD_ORDENES!A:BE,21,FALSE())</f>
        <v>0</v>
      </c>
      <c r="M270" s="69" t="n">
        <f aca="false">VLOOKUP(A270,BD_ORDENES!A:BE,14,FALSE())</f>
        <v>1</v>
      </c>
      <c r="N270" s="68" t="n">
        <f aca="false">VLOOKUP(A270,BD_ORDENES!A:BE,15,FALSE())</f>
        <v>0</v>
      </c>
      <c r="O270" s="68" t="str">
        <f aca="false">VLOOKUP(A270,BD_ORDENES!A:BE,33,FALSE())</f>
        <v>TRANSPORTADORA HVM BGT</v>
      </c>
      <c r="P270" s="68" t="n">
        <f aca="false">VLOOKUP(A270,BD_ORDENES!A:BE,23,FALSE())</f>
        <v>0</v>
      </c>
      <c r="Q270" s="68" t="str">
        <f aca="false">VLOOKUP(A270,BD_ORDENES!A:BE,52,FALSE())</f>
        <v>Retiro DECORACION POR ENTREGAR</v>
      </c>
      <c r="R270" s="68" t="str">
        <f aca="false">VLOOKUP(A270,BD_ORDENES!A:BE,25,FALSE())</f>
        <v>BOGOTA</v>
      </c>
      <c r="S270" s="68" t="str">
        <f aca="false">VLOOKUP(A270,BD_ORDENES!A:BE,22,FALSE())</f>
        <v>EXHIBICION TIENDA GALERIAS</v>
      </c>
      <c r="T270" s="65" t="str">
        <f aca="false">VLOOKUP(A270,BD_ORDENES!A:BE,55,FALSE())</f>
        <v>PRODUCCION</v>
      </c>
      <c r="U270" s="68" t="str">
        <f aca="false">VLOOKUP(A270,BD_ORDENES!A:BE,57,FALSE())</f>
        <v>8 VENECIA</v>
      </c>
      <c r="V270" s="70"/>
      <c r="W270" s="71"/>
    </row>
    <row r="271" s="72" customFormat="true" ht="98.25" hidden="false" customHeight="true" outlineLevel="0" collapsed="false">
      <c r="A271" s="62" t="n">
        <f aca="false">A270+1</f>
        <v>264</v>
      </c>
      <c r="B271" s="63" t="str">
        <f aca="false">VLOOKUP(A271,BD_ORDENES!A:BG,12,FALSE())</f>
        <v>__export__.product_product_266869_98befd81</v>
      </c>
      <c r="C271" s="64" t="n">
        <v>264</v>
      </c>
      <c r="D271" s="65" t="str">
        <f aca="false">VLOOKUP(A271,BD_ORDENES!A:BE,10,0)</f>
        <v>EXHIBICION TIENDA GALERIAS</v>
      </c>
      <c r="E271" s="66" t="str">
        <f aca="false">VLOOKUP(A271,BD_ORDENES!A:BG,4,FALSE())</f>
        <v>TBG161</v>
      </c>
      <c r="F271" s="66" t="str">
        <f aca="false">VLOOKUP(A271,BD_ORDENES!A:BE,56,FALSE())</f>
        <v>S268854</v>
      </c>
      <c r="G271" s="67" t="str">
        <f aca="false">VLOOKUP(A271,BD_ORDENES!A:BE,13,FALSE())</f>
        <v>CUADRO OLEO VENECIA M (70X45)</v>
      </c>
      <c r="H271" s="68" t="str">
        <f aca="false">VLOOKUP(A271,BD_ORDENES!A:BE,17,FALSE())</f>
        <v>CUADRO</v>
      </c>
      <c r="I271" s="68" t="str">
        <f aca="false">VLOOKUP(A271,BD_ORDENES!A:BE,18,FALSE())</f>
        <v>OLEO-VENECIA-M-(70X45)</v>
      </c>
      <c r="J271" s="68" t="n">
        <f aca="false">VLOOKUP(A271,BD_ORDENES!A:BE,19,FALSE())</f>
        <v>0</v>
      </c>
      <c r="K271" s="68" t="n">
        <f aca="false">VLOOKUP(A271,BD_ORDENES!A:BE,20,FALSE())</f>
        <v>0</v>
      </c>
      <c r="L271" s="68" t="n">
        <f aca="false">VLOOKUP(A271,BD_ORDENES!A:BE,21,FALSE())</f>
        <v>0</v>
      </c>
      <c r="M271" s="69" t="n">
        <f aca="false">VLOOKUP(A271,BD_ORDENES!A:BE,14,FALSE())</f>
        <v>1</v>
      </c>
      <c r="N271" s="68" t="n">
        <f aca="false">VLOOKUP(A271,BD_ORDENES!A:BE,15,FALSE())</f>
        <v>0</v>
      </c>
      <c r="O271" s="68" t="str">
        <f aca="false">VLOOKUP(A271,BD_ORDENES!A:BE,33,FALSE())</f>
        <v>TRANSPORTADORA HVM BGT</v>
      </c>
      <c r="P271" s="68" t="n">
        <f aca="false">VLOOKUP(A271,BD_ORDENES!A:BE,23,FALSE())</f>
        <v>0</v>
      </c>
      <c r="Q271" s="68" t="str">
        <f aca="false">VLOOKUP(A271,BD_ORDENES!A:BE,52,FALSE())</f>
        <v>Retiro DECORACION POR ENTREGAR</v>
      </c>
      <c r="R271" s="68" t="str">
        <f aca="false">VLOOKUP(A271,BD_ORDENES!A:BE,25,FALSE())</f>
        <v>BOGOTA</v>
      </c>
      <c r="S271" s="68" t="str">
        <f aca="false">VLOOKUP(A271,BD_ORDENES!A:BE,22,FALSE())</f>
        <v>EXHIBICION TIENDA GALERIAS</v>
      </c>
      <c r="T271" s="65" t="str">
        <f aca="false">VLOOKUP(A271,BD_ORDENES!A:BE,55,FALSE())</f>
        <v>PRODUCCION</v>
      </c>
      <c r="U271" s="68" t="str">
        <f aca="false">VLOOKUP(A271,BD_ORDENES!A:BE,57,FALSE())</f>
        <v>8 VENECIA</v>
      </c>
      <c r="V271" s="70"/>
      <c r="W271" s="71"/>
    </row>
    <row r="272" s="72" customFormat="true" ht="98.25" hidden="false" customHeight="true" outlineLevel="0" collapsed="false">
      <c r="A272" s="62" t="n">
        <f aca="false">A271+1</f>
        <v>265</v>
      </c>
      <c r="B272" s="63" t="str">
        <f aca="false">VLOOKUP(A272,BD_ORDENES!A:BG,12,FALSE())</f>
        <v>__export__.product_product_206787_c1be021e</v>
      </c>
      <c r="C272" s="64" t="n">
        <v>265</v>
      </c>
      <c r="D272" s="65" t="str">
        <f aca="false">VLOOKUP(A272,BD_ORDENES!A:BE,10,0)</f>
        <v>EXHIBICION TIENDA GALERIAS</v>
      </c>
      <c r="E272" s="66" t="str">
        <f aca="false">VLOOKUP(A272,BD_ORDENES!A:BG,4,FALSE())</f>
        <v>TBG161</v>
      </c>
      <c r="F272" s="66" t="str">
        <f aca="false">VLOOKUP(A272,BD_ORDENES!A:BE,56,FALSE())</f>
        <v>S268854</v>
      </c>
      <c r="G272" s="67" t="str">
        <f aca="false">VLOOKUP(A272,BD_ORDENES!A:BE,13,FALSE())</f>
        <v>CUADRO ORICES M (70X45)</v>
      </c>
      <c r="H272" s="68" t="str">
        <f aca="false">VLOOKUP(A272,BD_ORDENES!A:BE,17,FALSE())</f>
        <v>CUADRO</v>
      </c>
      <c r="I272" s="68" t="str">
        <f aca="false">VLOOKUP(A272,BD_ORDENES!A:BE,18,FALSE())</f>
        <v>ORICES-M-(70X45)</v>
      </c>
      <c r="J272" s="68" t="n">
        <f aca="false">VLOOKUP(A272,BD_ORDENES!A:BE,19,FALSE())</f>
        <v>0</v>
      </c>
      <c r="K272" s="68" t="n">
        <f aca="false">VLOOKUP(A272,BD_ORDENES!A:BE,20,FALSE())</f>
        <v>0</v>
      </c>
      <c r="L272" s="68" t="n">
        <f aca="false">VLOOKUP(A272,BD_ORDENES!A:BE,21,FALSE())</f>
        <v>0</v>
      </c>
      <c r="M272" s="69" t="n">
        <f aca="false">VLOOKUP(A272,BD_ORDENES!A:BE,14,FALSE())</f>
        <v>1</v>
      </c>
      <c r="N272" s="68" t="n">
        <f aca="false">VLOOKUP(A272,BD_ORDENES!A:BE,15,FALSE())</f>
        <v>0</v>
      </c>
      <c r="O272" s="68" t="str">
        <f aca="false">VLOOKUP(A272,BD_ORDENES!A:BE,33,FALSE())</f>
        <v>TRANSPORTADORA HVM BGT</v>
      </c>
      <c r="P272" s="68" t="n">
        <f aca="false">VLOOKUP(A272,BD_ORDENES!A:BE,23,FALSE())</f>
        <v>0</v>
      </c>
      <c r="Q272" s="68" t="str">
        <f aca="false">VLOOKUP(A272,BD_ORDENES!A:BE,52,FALSE())</f>
        <v>Retiro DECORACION POR ENTREGAR</v>
      </c>
      <c r="R272" s="68" t="str">
        <f aca="false">VLOOKUP(A272,BD_ORDENES!A:BE,25,FALSE())</f>
        <v>BOGOTA</v>
      </c>
      <c r="S272" s="68" t="str">
        <f aca="false">VLOOKUP(A272,BD_ORDENES!A:BE,22,FALSE())</f>
        <v>EXHIBICION TIENDA GALERIAS</v>
      </c>
      <c r="T272" s="65" t="str">
        <f aca="false">VLOOKUP(A272,BD_ORDENES!A:BE,55,FALSE())</f>
        <v>PRODUCCION</v>
      </c>
      <c r="U272" s="68" t="str">
        <f aca="false">VLOOKUP(A272,BD_ORDENES!A:BE,57,FALSE())</f>
        <v>8 VENECIA</v>
      </c>
      <c r="V272" s="70"/>
      <c r="W272" s="71"/>
    </row>
    <row r="273" s="72" customFormat="true" ht="98.25" hidden="false" customHeight="true" outlineLevel="0" collapsed="false">
      <c r="A273" s="62" t="n">
        <f aca="false">A272+1</f>
        <v>266</v>
      </c>
      <c r="B273" s="63" t="str">
        <f aca="false">VLOOKUP(A273,BD_ORDENES!A:BG,12,FALSE())</f>
        <v>__export__.product_product_310434_9767d780</v>
      </c>
      <c r="C273" s="64" t="n">
        <v>266</v>
      </c>
      <c r="D273" s="65" t="str">
        <f aca="false">VLOOKUP(A273,BD_ORDENES!A:BE,10,0)</f>
        <v>EXHIBICION TIENDA GALERIAS</v>
      </c>
      <c r="E273" s="66" t="str">
        <f aca="false">VLOOKUP(A273,BD_ORDENES!A:BG,4,FALSE())</f>
        <v>TBG161</v>
      </c>
      <c r="F273" s="66" t="str">
        <f aca="false">VLOOKUP(A273,BD_ORDENES!A:BE,56,FALSE())</f>
        <v>S268854</v>
      </c>
      <c r="G273" s="67" t="str">
        <f aca="false">VLOOKUP(A273,BD_ORDENES!A:BE,13,FALSE())</f>
        <v>CUADRO OSO INFANTIL S (30X30)</v>
      </c>
      <c r="H273" s="68" t="str">
        <f aca="false">VLOOKUP(A273,BD_ORDENES!A:BE,17,FALSE())</f>
        <v>CUADRO</v>
      </c>
      <c r="I273" s="68" t="str">
        <f aca="false">VLOOKUP(A273,BD_ORDENES!A:BE,18,FALSE())</f>
        <v>OSO-INFANTIL-S</v>
      </c>
      <c r="J273" s="68" t="n">
        <f aca="false">VLOOKUP(A273,BD_ORDENES!A:BE,19,FALSE())</f>
        <v>0</v>
      </c>
      <c r="K273" s="68" t="n">
        <f aca="false">VLOOKUP(A273,BD_ORDENES!A:BE,20,FALSE())</f>
        <v>0</v>
      </c>
      <c r="L273" s="68" t="n">
        <f aca="false">VLOOKUP(A273,BD_ORDENES!A:BE,21,FALSE())</f>
        <v>0</v>
      </c>
      <c r="M273" s="69" t="n">
        <f aca="false">VLOOKUP(A273,BD_ORDENES!A:BE,14,FALSE())</f>
        <v>1</v>
      </c>
      <c r="N273" s="68" t="n">
        <f aca="false">VLOOKUP(A273,BD_ORDENES!A:BE,15,FALSE())</f>
        <v>0</v>
      </c>
      <c r="O273" s="68" t="str">
        <f aca="false">VLOOKUP(A273,BD_ORDENES!A:BE,33,FALSE())</f>
        <v>TRANSPORTADORA HVM BGT</v>
      </c>
      <c r="P273" s="68" t="n">
        <f aca="false">VLOOKUP(A273,BD_ORDENES!A:BE,23,FALSE())</f>
        <v>0</v>
      </c>
      <c r="Q273" s="68" t="str">
        <f aca="false">VLOOKUP(A273,BD_ORDENES!A:BE,52,FALSE())</f>
        <v>Retiro DECORACION POR ENTREGAR</v>
      </c>
      <c r="R273" s="68" t="str">
        <f aca="false">VLOOKUP(A273,BD_ORDENES!A:BE,25,FALSE())</f>
        <v>BOGOTA</v>
      </c>
      <c r="S273" s="68" t="str">
        <f aca="false">VLOOKUP(A273,BD_ORDENES!A:BE,22,FALSE())</f>
        <v>EXHIBICION TIENDA GALERIAS</v>
      </c>
      <c r="T273" s="65" t="str">
        <f aca="false">VLOOKUP(A273,BD_ORDENES!A:BE,55,FALSE())</f>
        <v>PRODUCCION</v>
      </c>
      <c r="U273" s="68" t="str">
        <f aca="false">VLOOKUP(A273,BD_ORDENES!A:BE,57,FALSE())</f>
        <v>8 VENECIA</v>
      </c>
      <c r="V273" s="70"/>
      <c r="W273" s="71"/>
    </row>
    <row r="274" s="72" customFormat="true" ht="98.25" hidden="false" customHeight="true" outlineLevel="0" collapsed="false">
      <c r="A274" s="62" t="n">
        <f aca="false">A273+1</f>
        <v>267</v>
      </c>
      <c r="B274" s="63" t="str">
        <f aca="false">VLOOKUP(A274,BD_ORDENES!A:BG,12,FALSE())</f>
        <v>__export__.product_product_188256_a474eb37</v>
      </c>
      <c r="C274" s="64" t="n">
        <v>267</v>
      </c>
      <c r="D274" s="65" t="str">
        <f aca="false">VLOOKUP(A274,BD_ORDENES!A:BE,10,0)</f>
        <v>EXHIBICION TIENDA GALERIAS</v>
      </c>
      <c r="E274" s="66" t="str">
        <f aca="false">VLOOKUP(A274,BD_ORDENES!A:BG,4,FALSE())</f>
        <v>TBG161</v>
      </c>
      <c r="F274" s="66" t="str">
        <f aca="false">VLOOKUP(A274,BD_ORDENES!A:BE,56,FALSE())</f>
        <v>S268854</v>
      </c>
      <c r="G274" s="67" t="str">
        <f aca="false">VLOOKUP(A274,BD_ORDENES!A:BE,13,FALSE())</f>
        <v>CUADRO OSO PANDA INFANTIL L (60X60)</v>
      </c>
      <c r="H274" s="68" t="str">
        <f aca="false">VLOOKUP(A274,BD_ORDENES!A:BE,17,FALSE())</f>
        <v>CUADRO</v>
      </c>
      <c r="I274" s="68" t="str">
        <f aca="false">VLOOKUP(A274,BD_ORDENES!A:BE,18,FALSE())</f>
        <v>OSO-PANDA-L-(60X60)</v>
      </c>
      <c r="J274" s="68" t="n">
        <f aca="false">VLOOKUP(A274,BD_ORDENES!A:BE,19,FALSE())</f>
        <v>0</v>
      </c>
      <c r="K274" s="68" t="n">
        <f aca="false">VLOOKUP(A274,BD_ORDENES!A:BE,20,FALSE())</f>
        <v>0</v>
      </c>
      <c r="L274" s="68" t="n">
        <f aca="false">VLOOKUP(A274,BD_ORDENES!A:BE,21,FALSE())</f>
        <v>0</v>
      </c>
      <c r="M274" s="69" t="n">
        <f aca="false">VLOOKUP(A274,BD_ORDENES!A:BE,14,FALSE())</f>
        <v>1</v>
      </c>
      <c r="N274" s="68" t="n">
        <f aca="false">VLOOKUP(A274,BD_ORDENES!A:BE,15,FALSE())</f>
        <v>0</v>
      </c>
      <c r="O274" s="68" t="str">
        <f aca="false">VLOOKUP(A274,BD_ORDENES!A:BE,33,FALSE())</f>
        <v>TRANSPORTADORA HVM BGT</v>
      </c>
      <c r="P274" s="68" t="n">
        <f aca="false">VLOOKUP(A274,BD_ORDENES!A:BE,23,FALSE())</f>
        <v>0</v>
      </c>
      <c r="Q274" s="68" t="str">
        <f aca="false">VLOOKUP(A274,BD_ORDENES!A:BE,52,FALSE())</f>
        <v>Retiro DECORACION POR ENTREGAR</v>
      </c>
      <c r="R274" s="68" t="str">
        <f aca="false">VLOOKUP(A274,BD_ORDENES!A:BE,25,FALSE())</f>
        <v>BOGOTA</v>
      </c>
      <c r="S274" s="68" t="str">
        <f aca="false">VLOOKUP(A274,BD_ORDENES!A:BE,22,FALSE())</f>
        <v>EXHIBICION TIENDA GALERIAS</v>
      </c>
      <c r="T274" s="65" t="str">
        <f aca="false">VLOOKUP(A274,BD_ORDENES!A:BE,55,FALSE())</f>
        <v>PRODUCCION</v>
      </c>
      <c r="U274" s="68" t="str">
        <f aca="false">VLOOKUP(A274,BD_ORDENES!A:BE,57,FALSE())</f>
        <v>8 VENECIA</v>
      </c>
      <c r="V274" s="70"/>
      <c r="W274" s="71"/>
    </row>
    <row r="275" s="72" customFormat="true" ht="98.25" hidden="false" customHeight="true" outlineLevel="0" collapsed="false">
      <c r="A275" s="62" t="n">
        <f aca="false">A274+1</f>
        <v>268</v>
      </c>
      <c r="B275" s="63" t="str">
        <f aca="false">VLOOKUP(A275,BD_ORDENES!A:BG,12,FALSE())</f>
        <v>__export__.product_product_263304_83b09730</v>
      </c>
      <c r="C275" s="64" t="n">
        <v>268</v>
      </c>
      <c r="D275" s="65" t="str">
        <f aca="false">VLOOKUP(A275,BD_ORDENES!A:BE,10,0)</f>
        <v>EXHIBICION TIENDA GALERIAS</v>
      </c>
      <c r="E275" s="66" t="str">
        <f aca="false">VLOOKUP(A275,BD_ORDENES!A:BG,4,FALSE())</f>
        <v>TBG161</v>
      </c>
      <c r="F275" s="66" t="str">
        <f aca="false">VLOOKUP(A275,BD_ORDENES!A:BE,56,FALSE())</f>
        <v>S268854</v>
      </c>
      <c r="G275" s="67" t="str">
        <f aca="false">VLOOKUP(A275,BD_ORDENES!A:BE,13,FALSE())</f>
        <v>CUADRO PERRO BLANCO Y NEGRO L (60X60)</v>
      </c>
      <c r="H275" s="68" t="str">
        <f aca="false">VLOOKUP(A275,BD_ORDENES!A:BE,17,FALSE())</f>
        <v>CUADRO</v>
      </c>
      <c r="I275" s="68" t="str">
        <f aca="false">VLOOKUP(A275,BD_ORDENES!A:BE,18,FALSE())</f>
        <v>PERRO-BLANCO-Y-NEGRO-L-(60X60)</v>
      </c>
      <c r="J275" s="68" t="n">
        <f aca="false">VLOOKUP(A275,BD_ORDENES!A:BE,19,FALSE())</f>
        <v>0</v>
      </c>
      <c r="K275" s="68" t="n">
        <f aca="false">VLOOKUP(A275,BD_ORDENES!A:BE,20,FALSE())</f>
        <v>0</v>
      </c>
      <c r="L275" s="68" t="n">
        <f aca="false">VLOOKUP(A275,BD_ORDENES!A:BE,21,FALSE())</f>
        <v>0</v>
      </c>
      <c r="M275" s="69" t="n">
        <f aca="false">VLOOKUP(A275,BD_ORDENES!A:BE,14,FALSE())</f>
        <v>1</v>
      </c>
      <c r="N275" s="68" t="n">
        <f aca="false">VLOOKUP(A275,BD_ORDENES!A:BE,15,FALSE())</f>
        <v>0</v>
      </c>
      <c r="O275" s="68" t="str">
        <f aca="false">VLOOKUP(A275,BD_ORDENES!A:BE,33,FALSE())</f>
        <v>TRANSPORTADORA HVM BGT</v>
      </c>
      <c r="P275" s="68" t="n">
        <f aca="false">VLOOKUP(A275,BD_ORDENES!A:BE,23,FALSE())</f>
        <v>0</v>
      </c>
      <c r="Q275" s="68" t="str">
        <f aca="false">VLOOKUP(A275,BD_ORDENES!A:BE,52,FALSE())</f>
        <v>Retiro DECORACION POR ENTREGAR</v>
      </c>
      <c r="R275" s="68" t="str">
        <f aca="false">VLOOKUP(A275,BD_ORDENES!A:BE,25,FALSE())</f>
        <v>BOGOTA</v>
      </c>
      <c r="S275" s="68" t="str">
        <f aca="false">VLOOKUP(A275,BD_ORDENES!A:BE,22,FALSE())</f>
        <v>EXHIBICION TIENDA GALERIAS</v>
      </c>
      <c r="T275" s="65" t="str">
        <f aca="false">VLOOKUP(A275,BD_ORDENES!A:BE,55,FALSE())</f>
        <v>PRODUCCION</v>
      </c>
      <c r="U275" s="68" t="str">
        <f aca="false">VLOOKUP(A275,BD_ORDENES!A:BE,57,FALSE())</f>
        <v>8 VENECIA</v>
      </c>
      <c r="V275" s="70"/>
      <c r="W275" s="71"/>
    </row>
    <row r="276" s="72" customFormat="true" ht="98.25" hidden="false" customHeight="true" outlineLevel="0" collapsed="false">
      <c r="A276" s="62" t="n">
        <f aca="false">A275+1</f>
        <v>269</v>
      </c>
      <c r="B276" s="63" t="str">
        <f aca="false">VLOOKUP(A276,BD_ORDENES!A:BG,12,FALSE())</f>
        <v>__export__.product_product_286722_df109ec9</v>
      </c>
      <c r="C276" s="64" t="n">
        <v>269</v>
      </c>
      <c r="D276" s="65" t="str">
        <f aca="false">VLOOKUP(A276,BD_ORDENES!A:BE,10,0)</f>
        <v>EXHIBICION TIENDA GALERIAS</v>
      </c>
      <c r="E276" s="66" t="str">
        <f aca="false">VLOOKUP(A276,BD_ORDENES!A:BG,4,FALSE())</f>
        <v>TBG161</v>
      </c>
      <c r="F276" s="66" t="str">
        <f aca="false">VLOOKUP(A276,BD_ORDENES!A:BE,56,FALSE())</f>
        <v>S268854</v>
      </c>
      <c r="G276" s="67" t="str">
        <f aca="false">VLOOKUP(A276,BD_ORDENES!A:BE,13,FALSE())</f>
        <v>CUADRO PERRO CARA PINTADO L (60X60)</v>
      </c>
      <c r="H276" s="68" t="str">
        <f aca="false">VLOOKUP(A276,BD_ORDENES!A:BE,17,FALSE())</f>
        <v>CUADRO</v>
      </c>
      <c r="I276" s="68" t="str">
        <f aca="false">VLOOKUP(A276,BD_ORDENES!A:BE,18,FALSE())</f>
        <v>PERRO-CARA-PINTADO-L-(60X60)</v>
      </c>
      <c r="J276" s="68" t="n">
        <f aca="false">VLOOKUP(A276,BD_ORDENES!A:BE,19,FALSE())</f>
        <v>0</v>
      </c>
      <c r="K276" s="68" t="n">
        <f aca="false">VLOOKUP(A276,BD_ORDENES!A:BE,20,FALSE())</f>
        <v>0</v>
      </c>
      <c r="L276" s="68" t="n">
        <f aca="false">VLOOKUP(A276,BD_ORDENES!A:BE,21,FALSE())</f>
        <v>0</v>
      </c>
      <c r="M276" s="69" t="n">
        <f aca="false">VLOOKUP(A276,BD_ORDENES!A:BE,14,FALSE())</f>
        <v>1</v>
      </c>
      <c r="N276" s="68" t="n">
        <f aca="false">VLOOKUP(A276,BD_ORDENES!A:BE,15,FALSE())</f>
        <v>0</v>
      </c>
      <c r="O276" s="68" t="str">
        <f aca="false">VLOOKUP(A276,BD_ORDENES!A:BE,33,FALSE())</f>
        <v>TRANSPORTADORA HVM BGT</v>
      </c>
      <c r="P276" s="68" t="n">
        <f aca="false">VLOOKUP(A276,BD_ORDENES!A:BE,23,FALSE())</f>
        <v>0</v>
      </c>
      <c r="Q276" s="68" t="str">
        <f aca="false">VLOOKUP(A276,BD_ORDENES!A:BE,52,FALSE())</f>
        <v>Retiro DECORACION POR ENTREGAR</v>
      </c>
      <c r="R276" s="68" t="str">
        <f aca="false">VLOOKUP(A276,BD_ORDENES!A:BE,25,FALSE())</f>
        <v>BOGOTA</v>
      </c>
      <c r="S276" s="68" t="str">
        <f aca="false">VLOOKUP(A276,BD_ORDENES!A:BE,22,FALSE())</f>
        <v>EXHIBICION TIENDA GALERIAS</v>
      </c>
      <c r="T276" s="65" t="str">
        <f aca="false">VLOOKUP(A276,BD_ORDENES!A:BE,55,FALSE())</f>
        <v>PRODUCCION</v>
      </c>
      <c r="U276" s="68" t="str">
        <f aca="false">VLOOKUP(A276,BD_ORDENES!A:BE,57,FALSE())</f>
        <v>8 VENECIA</v>
      </c>
      <c r="V276" s="70"/>
      <c r="W276" s="71"/>
    </row>
    <row r="277" s="72" customFormat="true" ht="98.25" hidden="false" customHeight="true" outlineLevel="0" collapsed="false">
      <c r="A277" s="62" t="n">
        <f aca="false">A276+1</f>
        <v>270</v>
      </c>
      <c r="B277" s="63" t="str">
        <f aca="false">VLOOKUP(A277,BD_ORDENES!A:BG,12,FALSE())</f>
        <v>__export__.product_product_286724_6a1346cb</v>
      </c>
      <c r="C277" s="64" t="n">
        <v>270</v>
      </c>
      <c r="D277" s="65" t="str">
        <f aca="false">VLOOKUP(A277,BD_ORDENES!A:BE,10,0)</f>
        <v>EXHIBICION TIENDA GALERIAS</v>
      </c>
      <c r="E277" s="66" t="str">
        <f aca="false">VLOOKUP(A277,BD_ORDENES!A:BG,4,FALSE())</f>
        <v>TBG161</v>
      </c>
      <c r="F277" s="66" t="str">
        <f aca="false">VLOOKUP(A277,BD_ORDENES!A:BE,56,FALSE())</f>
        <v>S268854</v>
      </c>
      <c r="G277" s="67" t="str">
        <f aca="false">VLOOKUP(A277,BD_ORDENES!A:BE,13,FALSE())</f>
        <v>CUADRO PERRO CARA PINTADO M (70X45)</v>
      </c>
      <c r="H277" s="68" t="str">
        <f aca="false">VLOOKUP(A277,BD_ORDENES!A:BE,17,FALSE())</f>
        <v>CUADRO</v>
      </c>
      <c r="I277" s="68" t="str">
        <f aca="false">VLOOKUP(A277,BD_ORDENES!A:BE,18,FALSE())</f>
        <v>PERRO-CARA-PINTADO-M-(70X45)</v>
      </c>
      <c r="J277" s="68" t="n">
        <f aca="false">VLOOKUP(A277,BD_ORDENES!A:BE,19,FALSE())</f>
        <v>0</v>
      </c>
      <c r="K277" s="68" t="n">
        <f aca="false">VLOOKUP(A277,BD_ORDENES!A:BE,20,FALSE())</f>
        <v>0</v>
      </c>
      <c r="L277" s="68" t="n">
        <f aca="false">VLOOKUP(A277,BD_ORDENES!A:BE,21,FALSE())</f>
        <v>0</v>
      </c>
      <c r="M277" s="69" t="n">
        <f aca="false">VLOOKUP(A277,BD_ORDENES!A:BE,14,FALSE())</f>
        <v>2</v>
      </c>
      <c r="N277" s="68" t="n">
        <f aca="false">VLOOKUP(A277,BD_ORDENES!A:BE,15,FALSE())</f>
        <v>0</v>
      </c>
      <c r="O277" s="68" t="str">
        <f aca="false">VLOOKUP(A277,BD_ORDENES!A:BE,33,FALSE())</f>
        <v>TRANSPORTADORA HVM BGT</v>
      </c>
      <c r="P277" s="68" t="n">
        <f aca="false">VLOOKUP(A277,BD_ORDENES!A:BE,23,FALSE())</f>
        <v>0</v>
      </c>
      <c r="Q277" s="68" t="str">
        <f aca="false">VLOOKUP(A277,BD_ORDENES!A:BE,52,FALSE())</f>
        <v>Retiro DECORACION POR ENTREGAR</v>
      </c>
      <c r="R277" s="68" t="str">
        <f aca="false">VLOOKUP(A277,BD_ORDENES!A:BE,25,FALSE())</f>
        <v>BOGOTA</v>
      </c>
      <c r="S277" s="68" t="str">
        <f aca="false">VLOOKUP(A277,BD_ORDENES!A:BE,22,FALSE())</f>
        <v>EXHIBICION TIENDA GALERIAS</v>
      </c>
      <c r="T277" s="65" t="str">
        <f aca="false">VLOOKUP(A277,BD_ORDENES!A:BE,55,FALSE())</f>
        <v>PRODUCCION</v>
      </c>
      <c r="U277" s="68" t="str">
        <f aca="false">VLOOKUP(A277,BD_ORDENES!A:BE,57,FALSE())</f>
        <v>8 VENECIA</v>
      </c>
      <c r="V277" s="70"/>
      <c r="W277" s="71"/>
    </row>
    <row r="278" s="72" customFormat="true" ht="98.25" hidden="false" customHeight="true" outlineLevel="0" collapsed="false">
      <c r="A278" s="62" t="n">
        <f aca="false">A277+1</f>
        <v>271</v>
      </c>
      <c r="B278" s="63" t="str">
        <f aca="false">VLOOKUP(A278,BD_ORDENES!A:BG,12,FALSE())</f>
        <v>__export__.product_product_331315_2d99eeb3</v>
      </c>
      <c r="C278" s="64" t="n">
        <v>271</v>
      </c>
      <c r="D278" s="65" t="str">
        <f aca="false">VLOOKUP(A278,BD_ORDENES!A:BE,10,0)</f>
        <v>EXHIBICION TIENDA GALERIAS</v>
      </c>
      <c r="E278" s="66" t="str">
        <f aca="false">VLOOKUP(A278,BD_ORDENES!A:BG,4,FALSE())</f>
        <v>TBG161</v>
      </c>
      <c r="F278" s="66" t="str">
        <f aca="false">VLOOKUP(A278,BD_ORDENES!A:BE,56,FALSE())</f>
        <v>S268854</v>
      </c>
      <c r="G278" s="67" t="str">
        <f aca="false">VLOOKUP(A278,BD_ORDENES!A:BE,13,FALSE())</f>
        <v>CUADRO PRINCIPITO XL (120X80)</v>
      </c>
      <c r="H278" s="68" t="str">
        <f aca="false">VLOOKUP(A278,BD_ORDENES!A:BE,17,FALSE())</f>
        <v>CUADRO</v>
      </c>
      <c r="I278" s="68" t="str">
        <f aca="false">VLOOKUP(A278,BD_ORDENES!A:BE,18,FALSE())</f>
        <v>PRINCIPITO-XL-(120X80)</v>
      </c>
      <c r="J278" s="68" t="n">
        <f aca="false">VLOOKUP(A278,BD_ORDENES!A:BE,19,FALSE())</f>
        <v>0</v>
      </c>
      <c r="K278" s="68" t="n">
        <f aca="false">VLOOKUP(A278,BD_ORDENES!A:BE,20,FALSE())</f>
        <v>0</v>
      </c>
      <c r="L278" s="68" t="n">
        <f aca="false">VLOOKUP(A278,BD_ORDENES!A:BE,21,FALSE())</f>
        <v>0</v>
      </c>
      <c r="M278" s="69" t="n">
        <f aca="false">VLOOKUP(A278,BD_ORDENES!A:BE,14,FALSE())</f>
        <v>1</v>
      </c>
      <c r="N278" s="68" t="n">
        <f aca="false">VLOOKUP(A278,BD_ORDENES!A:BE,15,FALSE())</f>
        <v>0</v>
      </c>
      <c r="O278" s="68" t="str">
        <f aca="false">VLOOKUP(A278,BD_ORDENES!A:BE,33,FALSE())</f>
        <v>TRANSPORTADORA HVM BGT</v>
      </c>
      <c r="P278" s="68" t="n">
        <f aca="false">VLOOKUP(A278,BD_ORDENES!A:BE,23,FALSE())</f>
        <v>0</v>
      </c>
      <c r="Q278" s="68" t="str">
        <f aca="false">VLOOKUP(A278,BD_ORDENES!A:BE,52,FALSE())</f>
        <v>Retiro DECORACION POR ENTREGAR</v>
      </c>
      <c r="R278" s="68" t="str">
        <f aca="false">VLOOKUP(A278,BD_ORDENES!A:BE,25,FALSE())</f>
        <v>BOGOTA</v>
      </c>
      <c r="S278" s="68" t="str">
        <f aca="false">VLOOKUP(A278,BD_ORDENES!A:BE,22,FALSE())</f>
        <v>EXHIBICION TIENDA GALERIAS</v>
      </c>
      <c r="T278" s="65" t="str">
        <f aca="false">VLOOKUP(A278,BD_ORDENES!A:BE,55,FALSE())</f>
        <v>PRODUCCION</v>
      </c>
      <c r="U278" s="68" t="str">
        <f aca="false">VLOOKUP(A278,BD_ORDENES!A:BE,57,FALSE())</f>
        <v>8 VENECIA</v>
      </c>
      <c r="V278" s="70"/>
      <c r="W278" s="71"/>
    </row>
    <row r="279" s="72" customFormat="true" ht="98.25" hidden="false" customHeight="true" outlineLevel="0" collapsed="false">
      <c r="A279" s="62" t="n">
        <f aca="false">A278+1</f>
        <v>272</v>
      </c>
      <c r="B279" s="63" t="str">
        <f aca="false">VLOOKUP(A279,BD_ORDENES!A:BG,12,FALSE())</f>
        <v>__export__.product_product_281860_75e63fb9</v>
      </c>
      <c r="C279" s="64" t="n">
        <v>272</v>
      </c>
      <c r="D279" s="65" t="str">
        <f aca="false">VLOOKUP(A279,BD_ORDENES!A:BE,10,0)</f>
        <v>EXHIBICION TIENDA GALERIAS</v>
      </c>
      <c r="E279" s="66" t="str">
        <f aca="false">VLOOKUP(A279,BD_ORDENES!A:BG,4,FALSE())</f>
        <v>TBG161</v>
      </c>
      <c r="F279" s="66" t="str">
        <f aca="false">VLOOKUP(A279,BD_ORDENES!A:BE,56,FALSE())</f>
        <v>S268854</v>
      </c>
      <c r="G279" s="67" t="str">
        <f aca="false">VLOOKUP(A279,BD_ORDENES!A:BE,13,FALSE())</f>
        <v>CUADRO RIO Y BOSQUE L (60X60)</v>
      </c>
      <c r="H279" s="68" t="str">
        <f aca="false">VLOOKUP(A279,BD_ORDENES!A:BE,17,FALSE())</f>
        <v>CUADRO</v>
      </c>
      <c r="I279" s="68" t="str">
        <f aca="false">VLOOKUP(A279,BD_ORDENES!A:BE,18,FALSE())</f>
        <v>RIO-Y-BOSQUE-L-(60X60)</v>
      </c>
      <c r="J279" s="68" t="n">
        <f aca="false">VLOOKUP(A279,BD_ORDENES!A:BE,19,FALSE())</f>
        <v>0</v>
      </c>
      <c r="K279" s="68" t="n">
        <f aca="false">VLOOKUP(A279,BD_ORDENES!A:BE,20,FALSE())</f>
        <v>0</v>
      </c>
      <c r="L279" s="68" t="n">
        <f aca="false">VLOOKUP(A279,BD_ORDENES!A:BE,21,FALSE())</f>
        <v>0</v>
      </c>
      <c r="M279" s="69" t="n">
        <f aca="false">VLOOKUP(A279,BD_ORDENES!A:BE,14,FALSE())</f>
        <v>1</v>
      </c>
      <c r="N279" s="68" t="n">
        <f aca="false">VLOOKUP(A279,BD_ORDENES!A:BE,15,FALSE())</f>
        <v>0</v>
      </c>
      <c r="O279" s="68" t="str">
        <f aca="false">VLOOKUP(A279,BD_ORDENES!A:BE,33,FALSE())</f>
        <v>TRANSPORTADORA HVM BGT</v>
      </c>
      <c r="P279" s="68" t="n">
        <f aca="false">VLOOKUP(A279,BD_ORDENES!A:BE,23,FALSE())</f>
        <v>0</v>
      </c>
      <c r="Q279" s="68" t="str">
        <f aca="false">VLOOKUP(A279,BD_ORDENES!A:BE,52,FALSE())</f>
        <v>Retiro DECORACION POR ENTREGAR</v>
      </c>
      <c r="R279" s="68" t="str">
        <f aca="false">VLOOKUP(A279,BD_ORDENES!A:BE,25,FALSE())</f>
        <v>BOGOTA</v>
      </c>
      <c r="S279" s="68" t="str">
        <f aca="false">VLOOKUP(A279,BD_ORDENES!A:BE,22,FALSE())</f>
        <v>EXHIBICION TIENDA GALERIAS</v>
      </c>
      <c r="T279" s="65" t="str">
        <f aca="false">VLOOKUP(A279,BD_ORDENES!A:BE,55,FALSE())</f>
        <v>PRODUCCION</v>
      </c>
      <c r="U279" s="68" t="str">
        <f aca="false">VLOOKUP(A279,BD_ORDENES!A:BE,57,FALSE())</f>
        <v>8 VENECIA</v>
      </c>
      <c r="V279" s="70"/>
      <c r="W279" s="71"/>
    </row>
    <row r="280" s="72" customFormat="true" ht="98.25" hidden="false" customHeight="true" outlineLevel="0" collapsed="false">
      <c r="A280" s="62" t="n">
        <f aca="false">A279+1</f>
        <v>273</v>
      </c>
      <c r="B280" s="63" t="str">
        <f aca="false">VLOOKUP(A280,BD_ORDENES!A:BG,12,FALSE())</f>
        <v>__export__.product_product_281861_8a394922</v>
      </c>
      <c r="C280" s="64" t="n">
        <v>273</v>
      </c>
      <c r="D280" s="65" t="str">
        <f aca="false">VLOOKUP(A280,BD_ORDENES!A:BE,10,0)</f>
        <v>EXHIBICION TIENDA GALERIAS</v>
      </c>
      <c r="E280" s="66" t="str">
        <f aca="false">VLOOKUP(A280,BD_ORDENES!A:BG,4,FALSE())</f>
        <v>TBG161</v>
      </c>
      <c r="F280" s="66" t="str">
        <f aca="false">VLOOKUP(A280,BD_ORDENES!A:BE,56,FALSE())</f>
        <v>S268854</v>
      </c>
      <c r="G280" s="67" t="str">
        <f aca="false">VLOOKUP(A280,BD_ORDENES!A:BE,13,FALSE())</f>
        <v>CUADRO RIO Y BOSQUE M (70X45)</v>
      </c>
      <c r="H280" s="68" t="str">
        <f aca="false">VLOOKUP(A280,BD_ORDENES!A:BE,17,FALSE())</f>
        <v>CUADRO</v>
      </c>
      <c r="I280" s="68" t="str">
        <f aca="false">VLOOKUP(A280,BD_ORDENES!A:BE,18,FALSE())</f>
        <v>RIO-Y-BOSQUE-M-(70X45)</v>
      </c>
      <c r="J280" s="68" t="n">
        <f aca="false">VLOOKUP(A280,BD_ORDENES!A:BE,19,FALSE())</f>
        <v>0</v>
      </c>
      <c r="K280" s="68" t="n">
        <f aca="false">VLOOKUP(A280,BD_ORDENES!A:BE,20,FALSE())</f>
        <v>0</v>
      </c>
      <c r="L280" s="68" t="n">
        <f aca="false">VLOOKUP(A280,BD_ORDENES!A:BE,21,FALSE())</f>
        <v>0</v>
      </c>
      <c r="M280" s="69" t="n">
        <f aca="false">VLOOKUP(A280,BD_ORDENES!A:BE,14,FALSE())</f>
        <v>1</v>
      </c>
      <c r="N280" s="68" t="n">
        <f aca="false">VLOOKUP(A280,BD_ORDENES!A:BE,15,FALSE())</f>
        <v>0</v>
      </c>
      <c r="O280" s="68" t="str">
        <f aca="false">VLOOKUP(A280,BD_ORDENES!A:BE,33,FALSE())</f>
        <v>TRANSPORTADORA HVM BGT</v>
      </c>
      <c r="P280" s="68" t="n">
        <f aca="false">VLOOKUP(A280,BD_ORDENES!A:BE,23,FALSE())</f>
        <v>0</v>
      </c>
      <c r="Q280" s="68" t="str">
        <f aca="false">VLOOKUP(A280,BD_ORDENES!A:BE,52,FALSE())</f>
        <v>Retiro DECORACION POR ENTREGAR</v>
      </c>
      <c r="R280" s="68" t="str">
        <f aca="false">VLOOKUP(A280,BD_ORDENES!A:BE,25,FALSE())</f>
        <v>BOGOTA</v>
      </c>
      <c r="S280" s="68" t="str">
        <f aca="false">VLOOKUP(A280,BD_ORDENES!A:BE,22,FALSE())</f>
        <v>EXHIBICION TIENDA GALERIAS</v>
      </c>
      <c r="T280" s="65" t="str">
        <f aca="false">VLOOKUP(A280,BD_ORDENES!A:BE,55,FALSE())</f>
        <v>PRODUCCION</v>
      </c>
      <c r="U280" s="68" t="str">
        <f aca="false">VLOOKUP(A280,BD_ORDENES!A:BE,57,FALSE())</f>
        <v>8 VENECIA</v>
      </c>
      <c r="V280" s="70"/>
      <c r="W280" s="71"/>
    </row>
    <row r="281" s="72" customFormat="true" ht="98.25" hidden="false" customHeight="true" outlineLevel="0" collapsed="false">
      <c r="A281" s="62" t="n">
        <f aca="false">A280+1</f>
        <v>274</v>
      </c>
      <c r="B281" s="63" t="str">
        <f aca="false">VLOOKUP(A281,BD_ORDENES!A:BG,12,FALSE())</f>
        <v>__export__.product_product_281862_54891724</v>
      </c>
      <c r="C281" s="64" t="n">
        <v>274</v>
      </c>
      <c r="D281" s="65" t="str">
        <f aca="false">VLOOKUP(A281,BD_ORDENES!A:BE,10,0)</f>
        <v>EXHIBICION TIENDA GALERIAS</v>
      </c>
      <c r="E281" s="66" t="str">
        <f aca="false">VLOOKUP(A281,BD_ORDENES!A:BG,4,FALSE())</f>
        <v>TBG161</v>
      </c>
      <c r="F281" s="66" t="str">
        <f aca="false">VLOOKUP(A281,BD_ORDENES!A:BE,56,FALSE())</f>
        <v>S268854</v>
      </c>
      <c r="G281" s="67" t="str">
        <f aca="false">VLOOKUP(A281,BD_ORDENES!A:BE,13,FALSE())</f>
        <v>CUADRO RIO Y BOSQUE XL (120X80)</v>
      </c>
      <c r="H281" s="68" t="str">
        <f aca="false">VLOOKUP(A281,BD_ORDENES!A:BE,17,FALSE())</f>
        <v>CUADRO</v>
      </c>
      <c r="I281" s="68" t="str">
        <f aca="false">VLOOKUP(A281,BD_ORDENES!A:BE,18,FALSE())</f>
        <v>RIO-Y-BOSQUE-XL-(120X80)</v>
      </c>
      <c r="J281" s="68" t="n">
        <f aca="false">VLOOKUP(A281,BD_ORDENES!A:BE,19,FALSE())</f>
        <v>0</v>
      </c>
      <c r="K281" s="68" t="n">
        <f aca="false">VLOOKUP(A281,BD_ORDENES!A:BE,20,FALSE())</f>
        <v>0</v>
      </c>
      <c r="L281" s="68" t="n">
        <f aca="false">VLOOKUP(A281,BD_ORDENES!A:BE,21,FALSE())</f>
        <v>0</v>
      </c>
      <c r="M281" s="69" t="n">
        <f aca="false">VLOOKUP(A281,BD_ORDENES!A:BE,14,FALSE())</f>
        <v>1</v>
      </c>
      <c r="N281" s="68" t="n">
        <f aca="false">VLOOKUP(A281,BD_ORDENES!A:BE,15,FALSE())</f>
        <v>0</v>
      </c>
      <c r="O281" s="68" t="str">
        <f aca="false">VLOOKUP(A281,BD_ORDENES!A:BE,33,FALSE())</f>
        <v>TRANSPORTADORA HVM BGT</v>
      </c>
      <c r="P281" s="68" t="n">
        <f aca="false">VLOOKUP(A281,BD_ORDENES!A:BE,23,FALSE())</f>
        <v>0</v>
      </c>
      <c r="Q281" s="68" t="str">
        <f aca="false">VLOOKUP(A281,BD_ORDENES!A:BE,52,FALSE())</f>
        <v>Retiro DECORACION POR ENTREGAR</v>
      </c>
      <c r="R281" s="68" t="str">
        <f aca="false">VLOOKUP(A281,BD_ORDENES!A:BE,25,FALSE())</f>
        <v>BOGOTA</v>
      </c>
      <c r="S281" s="68" t="str">
        <f aca="false">VLOOKUP(A281,BD_ORDENES!A:BE,22,FALSE())</f>
        <v>EXHIBICION TIENDA GALERIAS</v>
      </c>
      <c r="T281" s="65" t="str">
        <f aca="false">VLOOKUP(A281,BD_ORDENES!A:BE,55,FALSE())</f>
        <v>PRODUCCION</v>
      </c>
      <c r="U281" s="68" t="str">
        <f aca="false">VLOOKUP(A281,BD_ORDENES!A:BE,57,FALSE())</f>
        <v>8 VENECIA</v>
      </c>
      <c r="V281" s="70"/>
      <c r="W281" s="71"/>
    </row>
    <row r="282" s="72" customFormat="true" ht="98.25" hidden="false" customHeight="true" outlineLevel="0" collapsed="false">
      <c r="A282" s="62" t="n">
        <f aca="false">A281+1</f>
        <v>275</v>
      </c>
      <c r="B282" s="63" t="str">
        <f aca="false">VLOOKUP(A282,BD_ORDENES!A:BG,12,FALSE())</f>
        <v>__export__.product_product_285298_acd484a0</v>
      </c>
      <c r="C282" s="64" t="n">
        <v>275</v>
      </c>
      <c r="D282" s="65" t="str">
        <f aca="false">VLOOKUP(A282,BD_ORDENES!A:BE,10,0)</f>
        <v>EXHIBICION TIENDA GALERIAS</v>
      </c>
      <c r="E282" s="66" t="str">
        <f aca="false">VLOOKUP(A282,BD_ORDENES!A:BG,4,FALSE())</f>
        <v>TBG161</v>
      </c>
      <c r="F282" s="66" t="str">
        <f aca="false">VLOOKUP(A282,BD_ORDENES!A:BE,56,FALSE())</f>
        <v>S268854</v>
      </c>
      <c r="G282" s="67" t="str">
        <f aca="false">VLOOKUP(A282,BD_ORDENES!A:BE,13,FALSE())</f>
        <v>CUADRO ROSTRO ACUARELA L (60X60)</v>
      </c>
      <c r="H282" s="68" t="str">
        <f aca="false">VLOOKUP(A282,BD_ORDENES!A:BE,17,FALSE())</f>
        <v>CUADRO</v>
      </c>
      <c r="I282" s="68" t="str">
        <f aca="false">VLOOKUP(A282,BD_ORDENES!A:BE,18,FALSE())</f>
        <v>ROSTRO-ACUARELA-L-(60X60)</v>
      </c>
      <c r="J282" s="68" t="n">
        <f aca="false">VLOOKUP(A282,BD_ORDENES!A:BE,19,FALSE())</f>
        <v>0</v>
      </c>
      <c r="K282" s="68" t="n">
        <f aca="false">VLOOKUP(A282,BD_ORDENES!A:BE,20,FALSE())</f>
        <v>0</v>
      </c>
      <c r="L282" s="68" t="n">
        <f aca="false">VLOOKUP(A282,BD_ORDENES!A:BE,21,FALSE())</f>
        <v>0</v>
      </c>
      <c r="M282" s="69" t="n">
        <f aca="false">VLOOKUP(A282,BD_ORDENES!A:BE,14,FALSE())</f>
        <v>1</v>
      </c>
      <c r="N282" s="68" t="n">
        <f aca="false">VLOOKUP(A282,BD_ORDENES!A:BE,15,FALSE())</f>
        <v>0</v>
      </c>
      <c r="O282" s="68" t="str">
        <f aca="false">VLOOKUP(A282,BD_ORDENES!A:BE,33,FALSE())</f>
        <v>TRANSPORTADORA HVM BGT</v>
      </c>
      <c r="P282" s="68" t="n">
        <f aca="false">VLOOKUP(A282,BD_ORDENES!A:BE,23,FALSE())</f>
        <v>0</v>
      </c>
      <c r="Q282" s="68" t="str">
        <f aca="false">VLOOKUP(A282,BD_ORDENES!A:BE,52,FALSE())</f>
        <v>Retiro DECORACION POR ENTREGAR</v>
      </c>
      <c r="R282" s="68" t="str">
        <f aca="false">VLOOKUP(A282,BD_ORDENES!A:BE,25,FALSE())</f>
        <v>BOGOTA</v>
      </c>
      <c r="S282" s="68" t="str">
        <f aca="false">VLOOKUP(A282,BD_ORDENES!A:BE,22,FALSE())</f>
        <v>EXHIBICION TIENDA GALERIAS</v>
      </c>
      <c r="T282" s="65" t="str">
        <f aca="false">VLOOKUP(A282,BD_ORDENES!A:BE,55,FALSE())</f>
        <v>PRODUCCION</v>
      </c>
      <c r="U282" s="68" t="str">
        <f aca="false">VLOOKUP(A282,BD_ORDENES!A:BE,57,FALSE())</f>
        <v>8 VENECIA</v>
      </c>
      <c r="V282" s="70"/>
      <c r="W282" s="71"/>
    </row>
    <row r="283" s="72" customFormat="true" ht="98.25" hidden="false" customHeight="true" outlineLevel="0" collapsed="false">
      <c r="A283" s="62" t="n">
        <f aca="false">A282+1</f>
        <v>276</v>
      </c>
      <c r="B283" s="63" t="str">
        <f aca="false">VLOOKUP(A283,BD_ORDENES!A:BG,12,FALSE())</f>
        <v>__export__.product_product_285299_04ebbd95</v>
      </c>
      <c r="C283" s="64" t="n">
        <v>276</v>
      </c>
      <c r="D283" s="65" t="str">
        <f aca="false">VLOOKUP(A283,BD_ORDENES!A:BE,10,0)</f>
        <v>EXHIBICION TIENDA GALERIAS</v>
      </c>
      <c r="E283" s="66" t="str">
        <f aca="false">VLOOKUP(A283,BD_ORDENES!A:BG,4,FALSE())</f>
        <v>TBG161</v>
      </c>
      <c r="F283" s="66" t="str">
        <f aca="false">VLOOKUP(A283,BD_ORDENES!A:BE,56,FALSE())</f>
        <v>S268854</v>
      </c>
      <c r="G283" s="67" t="str">
        <f aca="false">VLOOKUP(A283,BD_ORDENES!A:BE,13,FALSE())</f>
        <v>CUADRO ROSTRO ACUARELA M (70X45)</v>
      </c>
      <c r="H283" s="68" t="str">
        <f aca="false">VLOOKUP(A283,BD_ORDENES!A:BE,17,FALSE())</f>
        <v>CUADRO</v>
      </c>
      <c r="I283" s="68" t="str">
        <f aca="false">VLOOKUP(A283,BD_ORDENES!A:BE,18,FALSE())</f>
        <v>ROSTRO-ACUARELA-M-(70X45)</v>
      </c>
      <c r="J283" s="68" t="n">
        <f aca="false">VLOOKUP(A283,BD_ORDENES!A:BE,19,FALSE())</f>
        <v>0</v>
      </c>
      <c r="K283" s="68" t="n">
        <f aca="false">VLOOKUP(A283,BD_ORDENES!A:BE,20,FALSE())</f>
        <v>0</v>
      </c>
      <c r="L283" s="68" t="n">
        <f aca="false">VLOOKUP(A283,BD_ORDENES!A:BE,21,FALSE())</f>
        <v>0</v>
      </c>
      <c r="M283" s="69" t="n">
        <f aca="false">VLOOKUP(A283,BD_ORDENES!A:BE,14,FALSE())</f>
        <v>1</v>
      </c>
      <c r="N283" s="68" t="n">
        <f aca="false">VLOOKUP(A283,BD_ORDENES!A:BE,15,FALSE())</f>
        <v>0</v>
      </c>
      <c r="O283" s="68" t="str">
        <f aca="false">VLOOKUP(A283,BD_ORDENES!A:BE,33,FALSE())</f>
        <v>TRANSPORTADORA HVM BGT</v>
      </c>
      <c r="P283" s="68" t="n">
        <f aca="false">VLOOKUP(A283,BD_ORDENES!A:BE,23,FALSE())</f>
        <v>0</v>
      </c>
      <c r="Q283" s="68" t="str">
        <f aca="false">VLOOKUP(A283,BD_ORDENES!A:BE,52,FALSE())</f>
        <v>Retiro DECORACION POR ENTREGAR</v>
      </c>
      <c r="R283" s="68" t="str">
        <f aca="false">VLOOKUP(A283,BD_ORDENES!A:BE,25,FALSE())</f>
        <v>BOGOTA</v>
      </c>
      <c r="S283" s="68" t="str">
        <f aca="false">VLOOKUP(A283,BD_ORDENES!A:BE,22,FALSE())</f>
        <v>EXHIBICION TIENDA GALERIAS</v>
      </c>
      <c r="T283" s="65" t="str">
        <f aca="false">VLOOKUP(A283,BD_ORDENES!A:BE,55,FALSE())</f>
        <v>PRODUCCION</v>
      </c>
      <c r="U283" s="68" t="str">
        <f aca="false">VLOOKUP(A283,BD_ORDENES!A:BE,57,FALSE())</f>
        <v>8 VENECIA</v>
      </c>
      <c r="V283" s="70"/>
      <c r="W283" s="71"/>
    </row>
    <row r="284" s="72" customFormat="true" ht="98.25" hidden="false" customHeight="true" outlineLevel="0" collapsed="false">
      <c r="A284" s="62" t="n">
        <f aca="false">A283+1</f>
        <v>277</v>
      </c>
      <c r="B284" s="63" t="str">
        <f aca="false">VLOOKUP(A284,BD_ORDENES!A:BG,12,FALSE())</f>
        <v>__export__.product_product_281714_991c5755</v>
      </c>
      <c r="C284" s="64" t="n">
        <v>277</v>
      </c>
      <c r="D284" s="65" t="str">
        <f aca="false">VLOOKUP(A284,BD_ORDENES!A:BE,10,0)</f>
        <v>EXHIBICION TIENDA GALERIAS</v>
      </c>
      <c r="E284" s="66" t="str">
        <f aca="false">VLOOKUP(A284,BD_ORDENES!A:BG,4,FALSE())</f>
        <v>TBG161</v>
      </c>
      <c r="F284" s="66" t="str">
        <f aca="false">VLOOKUP(A284,BD_ORDENES!A:BE,56,FALSE())</f>
        <v>S268854</v>
      </c>
      <c r="G284" s="67" t="str">
        <f aca="false">VLOOKUP(A284,BD_ORDENES!A:BE,13,FALSE())</f>
        <v>CUADRO ROSTRO ACUARELA S (30X30)</v>
      </c>
      <c r="H284" s="68" t="str">
        <f aca="false">VLOOKUP(A284,BD_ORDENES!A:BE,17,FALSE())</f>
        <v>CUADRO</v>
      </c>
      <c r="I284" s="68" t="str">
        <f aca="false">VLOOKUP(A284,BD_ORDENES!A:BE,18,FALSE())</f>
        <v>ROSTRO-ACUARELA-S-(30X30)</v>
      </c>
      <c r="J284" s="68" t="n">
        <f aca="false">VLOOKUP(A284,BD_ORDENES!A:BE,19,FALSE())</f>
        <v>0</v>
      </c>
      <c r="K284" s="68" t="n">
        <f aca="false">VLOOKUP(A284,BD_ORDENES!A:BE,20,FALSE())</f>
        <v>0</v>
      </c>
      <c r="L284" s="68" t="n">
        <f aca="false">VLOOKUP(A284,BD_ORDENES!A:BE,21,FALSE())</f>
        <v>0</v>
      </c>
      <c r="M284" s="69" t="n">
        <f aca="false">VLOOKUP(A284,BD_ORDENES!A:BE,14,FALSE())</f>
        <v>1</v>
      </c>
      <c r="N284" s="68" t="n">
        <f aca="false">VLOOKUP(A284,BD_ORDENES!A:BE,15,FALSE())</f>
        <v>0</v>
      </c>
      <c r="O284" s="68" t="str">
        <f aca="false">VLOOKUP(A284,BD_ORDENES!A:BE,33,FALSE())</f>
        <v>TRANSPORTADORA HVM BGT</v>
      </c>
      <c r="P284" s="68" t="n">
        <f aca="false">VLOOKUP(A284,BD_ORDENES!A:BE,23,FALSE())</f>
        <v>0</v>
      </c>
      <c r="Q284" s="68" t="str">
        <f aca="false">VLOOKUP(A284,BD_ORDENES!A:BE,52,FALSE())</f>
        <v>Retiro DECORACION POR ENTREGAR</v>
      </c>
      <c r="R284" s="68" t="str">
        <f aca="false">VLOOKUP(A284,BD_ORDENES!A:BE,25,FALSE())</f>
        <v>BOGOTA</v>
      </c>
      <c r="S284" s="68" t="str">
        <f aca="false">VLOOKUP(A284,BD_ORDENES!A:BE,22,FALSE())</f>
        <v>EXHIBICION TIENDA GALERIAS</v>
      </c>
      <c r="T284" s="65" t="str">
        <f aca="false">VLOOKUP(A284,BD_ORDENES!A:BE,55,FALSE())</f>
        <v>PRODUCCION</v>
      </c>
      <c r="U284" s="68" t="str">
        <f aca="false">VLOOKUP(A284,BD_ORDENES!A:BE,57,FALSE())</f>
        <v>8 VENECIA</v>
      </c>
      <c r="V284" s="70"/>
      <c r="W284" s="71"/>
    </row>
    <row r="285" s="72" customFormat="true" ht="98.25" hidden="false" customHeight="true" outlineLevel="0" collapsed="false">
      <c r="A285" s="62" t="n">
        <f aca="false">A284+1</f>
        <v>278</v>
      </c>
      <c r="B285" s="63" t="str">
        <f aca="false">VLOOKUP(A285,BD_ORDENES!A:BG,12,FALSE())</f>
        <v>__export__.product_product_284754_01674bc1</v>
      </c>
      <c r="C285" s="64" t="n">
        <v>278</v>
      </c>
      <c r="D285" s="65" t="str">
        <f aca="false">VLOOKUP(A285,BD_ORDENES!A:BE,10,0)</f>
        <v>EXHIBICION TIENDA GALERIAS</v>
      </c>
      <c r="E285" s="66" t="str">
        <f aca="false">VLOOKUP(A285,BD_ORDENES!A:BG,4,FALSE())</f>
        <v>TBG161</v>
      </c>
      <c r="F285" s="66" t="str">
        <f aca="false">VLOOKUP(A285,BD_ORDENES!A:BE,56,FALSE())</f>
        <v>S268854</v>
      </c>
      <c r="G285" s="67" t="str">
        <f aca="false">VLOOKUP(A285,BD_ORDENES!A:BE,13,FALSE())</f>
        <v>CUADRO ROSTRO ACUARELA XL (120X80)</v>
      </c>
      <c r="H285" s="68" t="str">
        <f aca="false">VLOOKUP(A285,BD_ORDENES!A:BE,17,FALSE())</f>
        <v>CUADRO</v>
      </c>
      <c r="I285" s="68" t="str">
        <f aca="false">VLOOKUP(A285,BD_ORDENES!A:BE,18,FALSE())</f>
        <v>ROSTRO-ACUARELA-XL-(120X80)</v>
      </c>
      <c r="J285" s="68" t="n">
        <f aca="false">VLOOKUP(A285,BD_ORDENES!A:BE,19,FALSE())</f>
        <v>0</v>
      </c>
      <c r="K285" s="68" t="n">
        <f aca="false">VLOOKUP(A285,BD_ORDENES!A:BE,20,FALSE())</f>
        <v>0</v>
      </c>
      <c r="L285" s="68" t="n">
        <f aca="false">VLOOKUP(A285,BD_ORDENES!A:BE,21,FALSE())</f>
        <v>0</v>
      </c>
      <c r="M285" s="69" t="n">
        <f aca="false">VLOOKUP(A285,BD_ORDENES!A:BE,14,FALSE())</f>
        <v>1</v>
      </c>
      <c r="N285" s="68" t="n">
        <f aca="false">VLOOKUP(A285,BD_ORDENES!A:BE,15,FALSE())</f>
        <v>0</v>
      </c>
      <c r="O285" s="68" t="str">
        <f aca="false">VLOOKUP(A285,BD_ORDENES!A:BE,33,FALSE())</f>
        <v>TRANSPORTADORA HVM BGT</v>
      </c>
      <c r="P285" s="68" t="n">
        <f aca="false">VLOOKUP(A285,BD_ORDENES!A:BE,23,FALSE())</f>
        <v>0</v>
      </c>
      <c r="Q285" s="68" t="str">
        <f aca="false">VLOOKUP(A285,BD_ORDENES!A:BE,52,FALSE())</f>
        <v>Retiro DECORACION POR ENTREGAR</v>
      </c>
      <c r="R285" s="68" t="str">
        <f aca="false">VLOOKUP(A285,BD_ORDENES!A:BE,25,FALSE())</f>
        <v>BOGOTA</v>
      </c>
      <c r="S285" s="68" t="str">
        <f aca="false">VLOOKUP(A285,BD_ORDENES!A:BE,22,FALSE())</f>
        <v>EXHIBICION TIENDA GALERIAS</v>
      </c>
      <c r="T285" s="65" t="str">
        <f aca="false">VLOOKUP(A285,BD_ORDENES!A:BE,55,FALSE())</f>
        <v>PRODUCCION</v>
      </c>
      <c r="U285" s="68" t="str">
        <f aca="false">VLOOKUP(A285,BD_ORDENES!A:BE,57,FALSE())</f>
        <v>8 VENECIA</v>
      </c>
      <c r="V285" s="70"/>
      <c r="W285" s="71"/>
    </row>
    <row r="286" s="72" customFormat="true" ht="98.25" hidden="false" customHeight="true" outlineLevel="0" collapsed="false">
      <c r="A286" s="62" t="n">
        <f aca="false">A285+1</f>
        <v>279</v>
      </c>
      <c r="B286" s="63" t="str">
        <f aca="false">VLOOKUP(A286,BD_ORDENES!A:BG,12,FALSE())</f>
        <v>__export__.product_product_285295_775762bf</v>
      </c>
      <c r="C286" s="64" t="n">
        <v>279</v>
      </c>
      <c r="D286" s="65" t="str">
        <f aca="false">VLOOKUP(A286,BD_ORDENES!A:BE,10,0)</f>
        <v>EXHIBICION TIENDA GALERIAS</v>
      </c>
      <c r="E286" s="66" t="str">
        <f aca="false">VLOOKUP(A286,BD_ORDENES!A:BG,4,FALSE())</f>
        <v>TBG161</v>
      </c>
      <c r="F286" s="66" t="str">
        <f aca="false">VLOOKUP(A286,BD_ORDENES!A:BE,56,FALSE())</f>
        <v>S268854</v>
      </c>
      <c r="G286" s="67" t="str">
        <f aca="false">VLOOKUP(A286,BD_ORDENES!A:BE,13,FALSE())</f>
        <v>CUADRO ROSTRO BLANCO Y NEGRO L (60X60)</v>
      </c>
      <c r="H286" s="68" t="str">
        <f aca="false">VLOOKUP(A286,BD_ORDENES!A:BE,17,FALSE())</f>
        <v>CUADRO</v>
      </c>
      <c r="I286" s="68" t="str">
        <f aca="false">VLOOKUP(A286,BD_ORDENES!A:BE,18,FALSE())</f>
        <v>ROSTRO-BLANCO-Y-NEGRO-L-(60X60)</v>
      </c>
      <c r="J286" s="68" t="n">
        <f aca="false">VLOOKUP(A286,BD_ORDENES!A:BE,19,FALSE())</f>
        <v>0</v>
      </c>
      <c r="K286" s="68" t="n">
        <f aca="false">VLOOKUP(A286,BD_ORDENES!A:BE,20,FALSE())</f>
        <v>0</v>
      </c>
      <c r="L286" s="68" t="n">
        <f aca="false">VLOOKUP(A286,BD_ORDENES!A:BE,21,FALSE())</f>
        <v>0</v>
      </c>
      <c r="M286" s="69" t="n">
        <f aca="false">VLOOKUP(A286,BD_ORDENES!A:BE,14,FALSE())</f>
        <v>1</v>
      </c>
      <c r="N286" s="68" t="n">
        <f aca="false">VLOOKUP(A286,BD_ORDENES!A:BE,15,FALSE())</f>
        <v>0</v>
      </c>
      <c r="O286" s="68" t="str">
        <f aca="false">VLOOKUP(A286,BD_ORDENES!A:BE,33,FALSE())</f>
        <v>TRANSPORTADORA HVM BGT</v>
      </c>
      <c r="P286" s="68" t="n">
        <f aca="false">VLOOKUP(A286,BD_ORDENES!A:BE,23,FALSE())</f>
        <v>0</v>
      </c>
      <c r="Q286" s="68" t="str">
        <f aca="false">VLOOKUP(A286,BD_ORDENES!A:BE,52,FALSE())</f>
        <v>Retiro DECORACION POR ENTREGAR</v>
      </c>
      <c r="R286" s="68" t="str">
        <f aca="false">VLOOKUP(A286,BD_ORDENES!A:BE,25,FALSE())</f>
        <v>BOGOTA</v>
      </c>
      <c r="S286" s="68" t="str">
        <f aca="false">VLOOKUP(A286,BD_ORDENES!A:BE,22,FALSE())</f>
        <v>EXHIBICION TIENDA GALERIAS</v>
      </c>
      <c r="T286" s="65" t="str">
        <f aca="false">VLOOKUP(A286,BD_ORDENES!A:BE,55,FALSE())</f>
        <v>PRODUCCION</v>
      </c>
      <c r="U286" s="68" t="str">
        <f aca="false">VLOOKUP(A286,BD_ORDENES!A:BE,57,FALSE())</f>
        <v>8 VENECIA</v>
      </c>
      <c r="V286" s="70"/>
      <c r="W286" s="71"/>
    </row>
    <row r="287" s="72" customFormat="true" ht="98.25" hidden="false" customHeight="true" outlineLevel="0" collapsed="false">
      <c r="A287" s="62" t="n">
        <f aca="false">A286+1</f>
        <v>280</v>
      </c>
      <c r="B287" s="63" t="str">
        <f aca="false">VLOOKUP(A287,BD_ORDENES!A:BG,12,FALSE())</f>
        <v>__export__.product_product_285296_906bd769</v>
      </c>
      <c r="C287" s="64" t="n">
        <v>280</v>
      </c>
      <c r="D287" s="65" t="str">
        <f aca="false">VLOOKUP(A287,BD_ORDENES!A:BE,10,0)</f>
        <v>EXHIBICION TIENDA GALERIAS</v>
      </c>
      <c r="E287" s="66" t="str">
        <f aca="false">VLOOKUP(A287,BD_ORDENES!A:BG,4,FALSE())</f>
        <v>TBG161</v>
      </c>
      <c r="F287" s="66" t="str">
        <f aca="false">VLOOKUP(A287,BD_ORDENES!A:BE,56,FALSE())</f>
        <v>S268854</v>
      </c>
      <c r="G287" s="67" t="str">
        <f aca="false">VLOOKUP(A287,BD_ORDENES!A:BE,13,FALSE())</f>
        <v>CUADRO ROSTRO BLANCO Y NEGRO M (70X45)</v>
      </c>
      <c r="H287" s="68" t="str">
        <f aca="false">VLOOKUP(A287,BD_ORDENES!A:BE,17,FALSE())</f>
        <v>CUADRO</v>
      </c>
      <c r="I287" s="68" t="str">
        <f aca="false">VLOOKUP(A287,BD_ORDENES!A:BE,18,FALSE())</f>
        <v>ROSTRO-BLANCO-Y-NEGRO-M-(70X45)</v>
      </c>
      <c r="J287" s="68" t="n">
        <f aca="false">VLOOKUP(A287,BD_ORDENES!A:BE,19,FALSE())</f>
        <v>0</v>
      </c>
      <c r="K287" s="68" t="n">
        <f aca="false">VLOOKUP(A287,BD_ORDENES!A:BE,20,FALSE())</f>
        <v>0</v>
      </c>
      <c r="L287" s="68" t="n">
        <f aca="false">VLOOKUP(A287,BD_ORDENES!A:BE,21,FALSE())</f>
        <v>0</v>
      </c>
      <c r="M287" s="69" t="n">
        <f aca="false">VLOOKUP(A287,BD_ORDENES!A:BE,14,FALSE())</f>
        <v>1</v>
      </c>
      <c r="N287" s="68" t="n">
        <f aca="false">VLOOKUP(A287,BD_ORDENES!A:BE,15,FALSE())</f>
        <v>0</v>
      </c>
      <c r="O287" s="68" t="str">
        <f aca="false">VLOOKUP(A287,BD_ORDENES!A:BE,33,FALSE())</f>
        <v>TRANSPORTADORA HVM BGT</v>
      </c>
      <c r="P287" s="68" t="n">
        <f aca="false">VLOOKUP(A287,BD_ORDENES!A:BE,23,FALSE())</f>
        <v>0</v>
      </c>
      <c r="Q287" s="68" t="str">
        <f aca="false">VLOOKUP(A287,BD_ORDENES!A:BE,52,FALSE())</f>
        <v>Retiro DECORACION POR ENTREGAR</v>
      </c>
      <c r="R287" s="68" t="str">
        <f aca="false">VLOOKUP(A287,BD_ORDENES!A:BE,25,FALSE())</f>
        <v>BOGOTA</v>
      </c>
      <c r="S287" s="68" t="str">
        <f aca="false">VLOOKUP(A287,BD_ORDENES!A:BE,22,FALSE())</f>
        <v>EXHIBICION TIENDA GALERIAS</v>
      </c>
      <c r="T287" s="65" t="str">
        <f aca="false">VLOOKUP(A287,BD_ORDENES!A:BE,55,FALSE())</f>
        <v>PRODUCCION</v>
      </c>
      <c r="U287" s="68" t="str">
        <f aca="false">VLOOKUP(A287,BD_ORDENES!A:BE,57,FALSE())</f>
        <v>8 VENECIA</v>
      </c>
      <c r="V287" s="70"/>
      <c r="W287" s="71"/>
    </row>
    <row r="288" s="72" customFormat="true" ht="98.25" hidden="false" customHeight="true" outlineLevel="0" collapsed="false">
      <c r="A288" s="62" t="n">
        <f aca="false">A287+1</f>
        <v>281</v>
      </c>
      <c r="B288" s="63" t="str">
        <f aca="false">VLOOKUP(A288,BD_ORDENES!A:BG,12,FALSE())</f>
        <v>__export__.product_product_285304_516b727b</v>
      </c>
      <c r="C288" s="64" t="n">
        <v>281</v>
      </c>
      <c r="D288" s="65" t="str">
        <f aca="false">VLOOKUP(A288,BD_ORDENES!A:BE,10,0)</f>
        <v>EXHIBICION TIENDA GALERIAS</v>
      </c>
      <c r="E288" s="66" t="str">
        <f aca="false">VLOOKUP(A288,BD_ORDENES!A:BG,4,FALSE())</f>
        <v>TBG161</v>
      </c>
      <c r="F288" s="66" t="str">
        <f aca="false">VLOOKUP(A288,BD_ORDENES!A:BE,56,FALSE())</f>
        <v>S268854</v>
      </c>
      <c r="G288" s="67" t="str">
        <f aca="false">VLOOKUP(A288,BD_ORDENES!A:BE,13,FALSE())</f>
        <v>CUADRO ROSTRO BLANCO Y NEGRO S (30X30)</v>
      </c>
      <c r="H288" s="68" t="str">
        <f aca="false">VLOOKUP(A288,BD_ORDENES!A:BE,17,FALSE())</f>
        <v>CUADRO</v>
      </c>
      <c r="I288" s="68" t="str">
        <f aca="false">VLOOKUP(A288,BD_ORDENES!A:BE,18,FALSE())</f>
        <v>ROSTRO-BLANCO-Y-NEGRO-S-(30X30)</v>
      </c>
      <c r="J288" s="68" t="n">
        <f aca="false">VLOOKUP(A288,BD_ORDENES!A:BE,19,FALSE())</f>
        <v>0</v>
      </c>
      <c r="K288" s="68" t="n">
        <f aca="false">VLOOKUP(A288,BD_ORDENES!A:BE,20,FALSE())</f>
        <v>0</v>
      </c>
      <c r="L288" s="68" t="n">
        <f aca="false">VLOOKUP(A288,BD_ORDENES!A:BE,21,FALSE())</f>
        <v>0</v>
      </c>
      <c r="M288" s="69" t="n">
        <f aca="false">VLOOKUP(A288,BD_ORDENES!A:BE,14,FALSE())</f>
        <v>1</v>
      </c>
      <c r="N288" s="68" t="n">
        <f aca="false">VLOOKUP(A288,BD_ORDENES!A:BE,15,FALSE())</f>
        <v>0</v>
      </c>
      <c r="O288" s="68" t="str">
        <f aca="false">VLOOKUP(A288,BD_ORDENES!A:BE,33,FALSE())</f>
        <v>TRANSPORTADORA HVM BGT</v>
      </c>
      <c r="P288" s="68" t="n">
        <f aca="false">VLOOKUP(A288,BD_ORDENES!A:BE,23,FALSE())</f>
        <v>0</v>
      </c>
      <c r="Q288" s="68" t="str">
        <f aca="false">VLOOKUP(A288,BD_ORDENES!A:BE,52,FALSE())</f>
        <v>Retiro DECORACION POR ENTREGAR</v>
      </c>
      <c r="R288" s="68" t="str">
        <f aca="false">VLOOKUP(A288,BD_ORDENES!A:BE,25,FALSE())</f>
        <v>BOGOTA</v>
      </c>
      <c r="S288" s="68" t="str">
        <f aca="false">VLOOKUP(A288,BD_ORDENES!A:BE,22,FALSE())</f>
        <v>EXHIBICION TIENDA GALERIAS</v>
      </c>
      <c r="T288" s="65" t="str">
        <f aca="false">VLOOKUP(A288,BD_ORDENES!A:BE,55,FALSE())</f>
        <v>PRODUCCION</v>
      </c>
      <c r="U288" s="68" t="str">
        <f aca="false">VLOOKUP(A288,BD_ORDENES!A:BE,57,FALSE())</f>
        <v>8 VENECIA</v>
      </c>
      <c r="V288" s="70"/>
      <c r="W288" s="71"/>
    </row>
    <row r="289" s="72" customFormat="true" ht="98.25" hidden="false" customHeight="true" outlineLevel="0" collapsed="false">
      <c r="A289" s="62" t="n">
        <f aca="false">A288+1</f>
        <v>282</v>
      </c>
      <c r="B289" s="63" t="str">
        <f aca="false">VLOOKUP(A289,BD_ORDENES!A:BG,12,FALSE())</f>
        <v>__export__.product_product_285301_63482ada</v>
      </c>
      <c r="C289" s="64" t="n">
        <v>282</v>
      </c>
      <c r="D289" s="65" t="str">
        <f aca="false">VLOOKUP(A289,BD_ORDENES!A:BE,10,0)</f>
        <v>EXHIBICION TIENDA GALERIAS</v>
      </c>
      <c r="E289" s="66" t="str">
        <f aca="false">VLOOKUP(A289,BD_ORDENES!A:BG,4,FALSE())</f>
        <v>TBG161</v>
      </c>
      <c r="F289" s="66" t="str">
        <f aca="false">VLOOKUP(A289,BD_ORDENES!A:BE,56,FALSE())</f>
        <v>S268854</v>
      </c>
      <c r="G289" s="67" t="str">
        <f aca="false">VLOOKUP(A289,BD_ORDENES!A:BE,13,FALSE())</f>
        <v>CUADRO ROSTRO PINTURA M (70X45)</v>
      </c>
      <c r="H289" s="68" t="str">
        <f aca="false">VLOOKUP(A289,BD_ORDENES!A:BE,17,FALSE())</f>
        <v>CUADRO</v>
      </c>
      <c r="I289" s="68" t="str">
        <f aca="false">VLOOKUP(A289,BD_ORDENES!A:BE,18,FALSE())</f>
        <v>ROSTRO-PINTURA-M-(70X45)</v>
      </c>
      <c r="J289" s="68" t="n">
        <f aca="false">VLOOKUP(A289,BD_ORDENES!A:BE,19,FALSE())</f>
        <v>0</v>
      </c>
      <c r="K289" s="68" t="n">
        <f aca="false">VLOOKUP(A289,BD_ORDENES!A:BE,20,FALSE())</f>
        <v>0</v>
      </c>
      <c r="L289" s="68" t="n">
        <f aca="false">VLOOKUP(A289,BD_ORDENES!A:BE,21,FALSE())</f>
        <v>0</v>
      </c>
      <c r="M289" s="69" t="n">
        <f aca="false">VLOOKUP(A289,BD_ORDENES!A:BE,14,FALSE())</f>
        <v>1</v>
      </c>
      <c r="N289" s="68" t="n">
        <f aca="false">VLOOKUP(A289,BD_ORDENES!A:BE,15,FALSE())</f>
        <v>0</v>
      </c>
      <c r="O289" s="68" t="str">
        <f aca="false">VLOOKUP(A289,BD_ORDENES!A:BE,33,FALSE())</f>
        <v>TRANSPORTADORA HVM BGT</v>
      </c>
      <c r="P289" s="68" t="n">
        <f aca="false">VLOOKUP(A289,BD_ORDENES!A:BE,23,FALSE())</f>
        <v>0</v>
      </c>
      <c r="Q289" s="68" t="str">
        <f aca="false">VLOOKUP(A289,BD_ORDENES!A:BE,52,FALSE())</f>
        <v>Retiro DECORACION POR ENTREGAR</v>
      </c>
      <c r="R289" s="68" t="str">
        <f aca="false">VLOOKUP(A289,BD_ORDENES!A:BE,25,FALSE())</f>
        <v>BOGOTA</v>
      </c>
      <c r="S289" s="68" t="str">
        <f aca="false">VLOOKUP(A289,BD_ORDENES!A:BE,22,FALSE())</f>
        <v>EXHIBICION TIENDA GALERIAS</v>
      </c>
      <c r="T289" s="65" t="str">
        <f aca="false">VLOOKUP(A289,BD_ORDENES!A:BE,55,FALSE())</f>
        <v>PRODUCCION</v>
      </c>
      <c r="U289" s="68" t="str">
        <f aca="false">VLOOKUP(A289,BD_ORDENES!A:BE,57,FALSE())</f>
        <v>8 VENECIA</v>
      </c>
      <c r="V289" s="70"/>
      <c r="W289" s="71"/>
    </row>
    <row r="290" s="72" customFormat="true" ht="98.25" hidden="false" customHeight="true" outlineLevel="0" collapsed="false">
      <c r="A290" s="62" t="n">
        <f aca="false">A289+1</f>
        <v>283</v>
      </c>
      <c r="B290" s="63" t="str">
        <f aca="false">VLOOKUP(A290,BD_ORDENES!A:BG,12,FALSE())</f>
        <v>__export__.product_product_310432_8b523e25</v>
      </c>
      <c r="C290" s="64" t="n">
        <v>283</v>
      </c>
      <c r="D290" s="65" t="str">
        <f aca="false">VLOOKUP(A290,BD_ORDENES!A:BE,10,0)</f>
        <v>EXHIBICION TIENDA GALERIAS</v>
      </c>
      <c r="E290" s="66" t="str">
        <f aca="false">VLOOKUP(A290,BD_ORDENES!A:BG,4,FALSE())</f>
        <v>TBG161</v>
      </c>
      <c r="F290" s="66" t="str">
        <f aca="false">VLOOKUP(A290,BD_ORDENES!A:BE,56,FALSE())</f>
        <v>S268854</v>
      </c>
      <c r="G290" s="67" t="str">
        <f aca="false">VLOOKUP(A290,BD_ORDENES!A:BE,13,FALSE())</f>
        <v>CUADRO ZORRO INFANTIL S (30X30)</v>
      </c>
      <c r="H290" s="68" t="str">
        <f aca="false">VLOOKUP(A290,BD_ORDENES!A:BE,17,FALSE())</f>
        <v>CUADRO</v>
      </c>
      <c r="I290" s="68" t="str">
        <f aca="false">VLOOKUP(A290,BD_ORDENES!A:BE,18,FALSE())</f>
        <v>ZORRO-INFANTIL-S</v>
      </c>
      <c r="J290" s="68" t="n">
        <f aca="false">VLOOKUP(A290,BD_ORDENES!A:BE,19,FALSE())</f>
        <v>0</v>
      </c>
      <c r="K290" s="68" t="n">
        <f aca="false">VLOOKUP(A290,BD_ORDENES!A:BE,20,FALSE())</f>
        <v>0</v>
      </c>
      <c r="L290" s="68" t="n">
        <f aca="false">VLOOKUP(A290,BD_ORDENES!A:BE,21,FALSE())</f>
        <v>0</v>
      </c>
      <c r="M290" s="69" t="n">
        <f aca="false">VLOOKUP(A290,BD_ORDENES!A:BE,14,FALSE())</f>
        <v>1</v>
      </c>
      <c r="N290" s="68" t="n">
        <f aca="false">VLOOKUP(A290,BD_ORDENES!A:BE,15,FALSE())</f>
        <v>0</v>
      </c>
      <c r="O290" s="68" t="str">
        <f aca="false">VLOOKUP(A290,BD_ORDENES!A:BE,33,FALSE())</f>
        <v>TRANSPORTADORA HVM BGT</v>
      </c>
      <c r="P290" s="68" t="n">
        <f aca="false">VLOOKUP(A290,BD_ORDENES!A:BE,23,FALSE())</f>
        <v>0</v>
      </c>
      <c r="Q290" s="68" t="str">
        <f aca="false">VLOOKUP(A290,BD_ORDENES!A:BE,52,FALSE())</f>
        <v>Retiro DECORACION POR ENTREGAR</v>
      </c>
      <c r="R290" s="68" t="str">
        <f aca="false">VLOOKUP(A290,BD_ORDENES!A:BE,25,FALSE())</f>
        <v>BOGOTA</v>
      </c>
      <c r="S290" s="68" t="str">
        <f aca="false">VLOOKUP(A290,BD_ORDENES!A:BE,22,FALSE())</f>
        <v>EXHIBICION TIENDA GALERIAS</v>
      </c>
      <c r="T290" s="65" t="str">
        <f aca="false">VLOOKUP(A290,BD_ORDENES!A:BE,55,FALSE())</f>
        <v>PRODUCCION</v>
      </c>
      <c r="U290" s="68" t="str">
        <f aca="false">VLOOKUP(A290,BD_ORDENES!A:BE,57,FALSE())</f>
        <v>8 VENECIA</v>
      </c>
      <c r="V290" s="70"/>
      <c r="W290" s="71"/>
    </row>
    <row r="291" s="72" customFormat="true" ht="98.25" hidden="false" customHeight="true" outlineLevel="0" collapsed="false">
      <c r="A291" s="62" t="n">
        <f aca="false">A290+1</f>
        <v>284</v>
      </c>
      <c r="B291" s="63" t="str">
        <f aca="false">VLOOKUP(A291,BD_ORDENES!A:BG,12,FALSE())</f>
        <v>__export__.product_product_334551_843129fc</v>
      </c>
      <c r="C291" s="64" t="n">
        <v>284</v>
      </c>
      <c r="D291" s="65" t="str">
        <f aca="false">VLOOKUP(A291,BD_ORDENES!A:BE,10,0)</f>
        <v>TIENDA CEDRITOS</v>
      </c>
      <c r="E291" s="66" t="str">
        <f aca="false">VLOOKUP(A291,BD_ORDENES!A:BG,4,FALSE())</f>
        <v>DQ1524</v>
      </c>
      <c r="F291" s="66" t="str">
        <f aca="false">VLOOKUP(A291,BD_ORDENES!A:BE,56,FALSE())</f>
        <v>S268850</v>
      </c>
      <c r="G291" s="67" t="str">
        <f aca="false">VLOOKUP(A291,BD_ORDENES!A:BE,13,FALSE())</f>
        <v>BUTACO KENTUCKY DICOSTA TRIGO (MATIZ CAOBA)</v>
      </c>
      <c r="H291" s="68" t="str">
        <f aca="false">VLOOKUP(A291,BD_ORDENES!A:BE,17,FALSE())</f>
        <v>BUTACO</v>
      </c>
      <c r="I291" s="68" t="str">
        <f aca="false">VLOOKUP(A291,BD_ORDENES!A:BE,18,FALSE())</f>
        <v>KENTUCKY</v>
      </c>
      <c r="J291" s="68" t="str">
        <f aca="false">VLOOKUP(A291,BD_ORDENES!A:BE,19,FALSE())</f>
        <v>DICOSTA</v>
      </c>
      <c r="K291" s="68" t="str">
        <f aca="false">VLOOKUP(A291,BD_ORDENES!A:BE,20,FALSE())</f>
        <v>TRIGO</v>
      </c>
      <c r="L291" s="68" t="str">
        <f aca="false">VLOOKUP(A291,BD_ORDENES!A:BE,21,FALSE())</f>
        <v>MATIZ-CAOBA</v>
      </c>
      <c r="M291" s="69" t="n">
        <f aca="false">VLOOKUP(A291,BD_ORDENES!A:BE,14,FALSE())</f>
        <v>2</v>
      </c>
      <c r="N291" s="68" t="n">
        <f aca="false">VLOOKUP(A291,BD_ORDENES!A:BE,15,FALSE())</f>
        <v>0</v>
      </c>
      <c r="O291" s="68" t="str">
        <f aca="false">VLOOKUP(A291,BD_ORDENES!A:BE,33,FALSE())</f>
        <v>TRANSPORTADORA HVM BGT</v>
      </c>
      <c r="P291" s="68" t="n">
        <f aca="false">VLOOKUP(A291,BD_ORDENES!A:BE,23,FALSE())</f>
        <v>0</v>
      </c>
      <c r="Q291" s="68" t="str">
        <f aca="false">VLOOKUP(A291,BD_ORDENES!A:BE,52,FALSE())</f>
        <v>Obtener Bajo Pedido (MTO)</v>
      </c>
      <c r="R291" s="68" t="str">
        <f aca="false">VLOOKUP(A291,BD_ORDENES!A:BE,25,FALSE())</f>
        <v>BOGOTA</v>
      </c>
      <c r="S291" s="68" t="str">
        <f aca="false">VLOOKUP(A291,BD_ORDENES!A:BE,22,FALSE())</f>
        <v>JOHNNA NAGLES PIEDRAHITA</v>
      </c>
      <c r="T291" s="65" t="str">
        <f aca="false">VLOOKUP(A291,BD_ORDENES!A:BE,55,FALSE())</f>
        <v>BODEGA LISTO</v>
      </c>
      <c r="U291" s="68" t="str">
        <f aca="false">VLOOKUP(A291,BD_ORDENES!A:BE,57,FALSE())</f>
        <v>8 VENECIA</v>
      </c>
      <c r="V291" s="70"/>
      <c r="W291" s="71"/>
    </row>
    <row r="292" s="72" customFormat="true" ht="98.25" hidden="false" customHeight="true" outlineLevel="0" collapsed="false">
      <c r="A292" s="62" t="n">
        <f aca="false">A291+1</f>
        <v>285</v>
      </c>
      <c r="B292" s="63" t="str">
        <f aca="false">VLOOKUP(A292,BD_ORDENES!A:BG,12,FALSE())</f>
        <v>__export__.product_product_315938_6fd770cf</v>
      </c>
      <c r="C292" s="64" t="n">
        <v>285</v>
      </c>
      <c r="D292" s="65" t="str">
        <f aca="false">VLOOKUP(A292,BD_ORDENES!A:BE,10,0)</f>
        <v>TIENDA CEDRITOS</v>
      </c>
      <c r="E292" s="66" t="str">
        <f aca="false">VLOOKUP(A292,BD_ORDENES!A:BG,4,FALSE())</f>
        <v>DQ1524</v>
      </c>
      <c r="F292" s="66" t="str">
        <f aca="false">VLOOKUP(A292,BD_ORDENES!A:BE,56,FALSE())</f>
        <v>S268850</v>
      </c>
      <c r="G292" s="67" t="str">
        <f aca="false">VLOOKUP(A292,BD_ORDENES!A:BE,13,FALSE())</f>
        <v>SOFA PORTO DICOSTA TRIGO (MATIZ CAOBA)</v>
      </c>
      <c r="H292" s="68" t="str">
        <f aca="false">VLOOKUP(A292,BD_ORDENES!A:BE,17,FALSE())</f>
        <v>SOFA</v>
      </c>
      <c r="I292" s="68" t="str">
        <f aca="false">VLOOKUP(A292,BD_ORDENES!A:BE,18,FALSE())</f>
        <v>PORTO</v>
      </c>
      <c r="J292" s="68" t="str">
        <f aca="false">VLOOKUP(A292,BD_ORDENES!A:BE,19,FALSE())</f>
        <v>DICOSTA</v>
      </c>
      <c r="K292" s="68" t="str">
        <f aca="false">VLOOKUP(A292,BD_ORDENES!A:BE,20,FALSE())</f>
        <v>TRIGO</v>
      </c>
      <c r="L292" s="68" t="str">
        <f aca="false">VLOOKUP(A292,BD_ORDENES!A:BE,21,FALSE())</f>
        <v>MATIZ-CAOBA</v>
      </c>
      <c r="M292" s="69" t="n">
        <f aca="false">VLOOKUP(A292,BD_ORDENES!A:BE,14,FALSE())</f>
        <v>1</v>
      </c>
      <c r="N292" s="68" t="n">
        <f aca="false">VLOOKUP(A292,BD_ORDENES!A:BE,15,FALSE())</f>
        <v>0</v>
      </c>
      <c r="O292" s="68" t="str">
        <f aca="false">VLOOKUP(A292,BD_ORDENES!A:BE,33,FALSE())</f>
        <v>TRANSPORTADORA HVM BGT</v>
      </c>
      <c r="P292" s="68" t="n">
        <f aca="false">VLOOKUP(A292,BD_ORDENES!A:BE,23,FALSE())</f>
        <v>0</v>
      </c>
      <c r="Q292" s="68" t="str">
        <f aca="false">VLOOKUP(A292,BD_ORDENES!A:BE,52,FALSE())</f>
        <v>Obtener Bajo Pedido (MTO)</v>
      </c>
      <c r="R292" s="68" t="str">
        <f aca="false">VLOOKUP(A292,BD_ORDENES!A:BE,25,FALSE())</f>
        <v>BOGOTA</v>
      </c>
      <c r="S292" s="68" t="str">
        <f aca="false">VLOOKUP(A292,BD_ORDENES!A:BE,22,FALSE())</f>
        <v>JOHNNA NAGLES PIEDRAHITA</v>
      </c>
      <c r="T292" s="65" t="str">
        <f aca="false">VLOOKUP(A292,BD_ORDENES!A:BE,55,FALSE())</f>
        <v>BODEGA LISTO</v>
      </c>
      <c r="U292" s="68" t="str">
        <f aca="false">VLOOKUP(A292,BD_ORDENES!A:BE,57,FALSE())</f>
        <v>8 VENECIA</v>
      </c>
      <c r="V292" s="70"/>
      <c r="W292" s="71"/>
    </row>
    <row r="293" s="72" customFormat="true" ht="98.25" hidden="false" customHeight="true" outlineLevel="0" collapsed="false">
      <c r="A293" s="62" t="n">
        <f aca="false">A292+1</f>
        <v>286</v>
      </c>
      <c r="B293" s="63" t="str">
        <f aca="false">VLOOKUP(A293,BD_ORDENES!A:BG,12,FALSE())</f>
        <v>__export__.product_product_316754_35dfe1d1</v>
      </c>
      <c r="C293" s="64" t="n">
        <v>286</v>
      </c>
      <c r="D293" s="65" t="str">
        <f aca="false">VLOOKUP(A293,BD_ORDENES!A:BE,10,0)</f>
        <v>TIENDA CEDRITOS</v>
      </c>
      <c r="E293" s="66" t="str">
        <f aca="false">VLOOKUP(A293,BD_ORDENES!A:BG,4,FALSE())</f>
        <v>DQ1524</v>
      </c>
      <c r="F293" s="66" t="str">
        <f aca="false">VLOOKUP(A293,BD_ORDENES!A:BE,56,FALSE())</f>
        <v>S268850</v>
      </c>
      <c r="G293" s="67" t="str">
        <f aca="false">VLOOKUP(A293,BD_ORDENES!A:BE,13,FALSE())</f>
        <v>POLTRONA PORTO DICOSTA SALMON (MATIZ CAOBA)</v>
      </c>
      <c r="H293" s="68" t="str">
        <f aca="false">VLOOKUP(A293,BD_ORDENES!A:BE,17,FALSE())</f>
        <v>POLTRONA</v>
      </c>
      <c r="I293" s="68" t="str">
        <f aca="false">VLOOKUP(A293,BD_ORDENES!A:BE,18,FALSE())</f>
        <v>PORTO</v>
      </c>
      <c r="J293" s="68" t="str">
        <f aca="false">VLOOKUP(A293,BD_ORDENES!A:BE,19,FALSE())</f>
        <v>DICOSTA</v>
      </c>
      <c r="K293" s="68" t="str">
        <f aca="false">VLOOKUP(A293,BD_ORDENES!A:BE,20,FALSE())</f>
        <v>SALMON</v>
      </c>
      <c r="L293" s="68" t="str">
        <f aca="false">VLOOKUP(A293,BD_ORDENES!A:BE,21,FALSE())</f>
        <v>MATIZ-CAOBA</v>
      </c>
      <c r="M293" s="69" t="n">
        <f aca="false">VLOOKUP(A293,BD_ORDENES!A:BE,14,FALSE())</f>
        <v>1</v>
      </c>
      <c r="N293" s="68" t="n">
        <f aca="false">VLOOKUP(A293,BD_ORDENES!A:BE,15,FALSE())</f>
        <v>0</v>
      </c>
      <c r="O293" s="68" t="str">
        <f aca="false">VLOOKUP(A293,BD_ORDENES!A:BE,33,FALSE())</f>
        <v>TRANSPORTADORA HVM BGT</v>
      </c>
      <c r="P293" s="68" t="n">
        <f aca="false">VLOOKUP(A293,BD_ORDENES!A:BE,23,FALSE())</f>
        <v>0</v>
      </c>
      <c r="Q293" s="68" t="str">
        <f aca="false">VLOOKUP(A293,BD_ORDENES!A:BE,52,FALSE())</f>
        <v>Obtener Bajo Pedido (MTO)</v>
      </c>
      <c r="R293" s="68" t="str">
        <f aca="false">VLOOKUP(A293,BD_ORDENES!A:BE,25,FALSE())</f>
        <v>BOGOTA</v>
      </c>
      <c r="S293" s="68" t="str">
        <f aca="false">VLOOKUP(A293,BD_ORDENES!A:BE,22,FALSE())</f>
        <v>JOHNNA NAGLES PIEDRAHITA</v>
      </c>
      <c r="T293" s="65" t="str">
        <f aca="false">VLOOKUP(A293,BD_ORDENES!A:BE,55,FALSE())</f>
        <v>BODEGA LISTO</v>
      </c>
      <c r="U293" s="68" t="str">
        <f aca="false">VLOOKUP(A293,BD_ORDENES!A:BE,57,FALSE())</f>
        <v>8 VENECIA</v>
      </c>
      <c r="V293" s="70"/>
      <c r="W293" s="71"/>
    </row>
    <row r="294" s="72" customFormat="true" ht="98.25" hidden="false" customHeight="true" outlineLevel="0" collapsed="false">
      <c r="A294" s="62" t="n">
        <f aca="false">A293+1</f>
        <v>287</v>
      </c>
      <c r="B294" s="63" t="str">
        <f aca="false">VLOOKUP(A294,BD_ORDENES!A:BG,12,FALSE())</f>
        <v>__export__.product_product_318796_ac80d267</v>
      </c>
      <c r="C294" s="64" t="n">
        <v>287</v>
      </c>
      <c r="D294" s="65" t="str">
        <f aca="false">VLOOKUP(A294,BD_ORDENES!A:BE,10,0)</f>
        <v>TIENDA CEDRITOS</v>
      </c>
      <c r="E294" s="66" t="str">
        <f aca="false">VLOOKUP(A294,BD_ORDENES!A:BG,4,FALSE())</f>
        <v>DQ1524</v>
      </c>
      <c r="F294" s="66" t="str">
        <f aca="false">VLOOKUP(A294,BD_ORDENES!A:BE,56,FALSE())</f>
        <v>S268850</v>
      </c>
      <c r="G294" s="67" t="str">
        <f aca="false">VLOOKUP(A294,BD_ORDENES!A:BE,13,FALSE())</f>
        <v>MESA DE CENTRO NOVA MACULA (MATIZ CAOBA)</v>
      </c>
      <c r="H294" s="68" t="str">
        <f aca="false">VLOOKUP(A294,BD_ORDENES!A:BE,17,FALSE())</f>
        <v>MESA-CENTRO</v>
      </c>
      <c r="I294" s="68" t="str">
        <f aca="false">VLOOKUP(A294,BD_ORDENES!A:BE,18,FALSE())</f>
        <v>NOVA</v>
      </c>
      <c r="J294" s="68" t="n">
        <f aca="false">VLOOKUP(A294,BD_ORDENES!A:BE,19,FALSE())</f>
        <v>0</v>
      </c>
      <c r="K294" s="68" t="str">
        <f aca="false">VLOOKUP(A294,BD_ORDENES!A:BE,20,FALSE())</f>
        <v>MACULA</v>
      </c>
      <c r="L294" s="68" t="str">
        <f aca="false">VLOOKUP(A294,BD_ORDENES!A:BE,21,FALSE())</f>
        <v>MATIZ-CAOBA</v>
      </c>
      <c r="M294" s="69" t="n">
        <f aca="false">VLOOKUP(A294,BD_ORDENES!A:BE,14,FALSE())</f>
        <v>1</v>
      </c>
      <c r="N294" s="68" t="n">
        <f aca="false">VLOOKUP(A294,BD_ORDENES!A:BE,15,FALSE())</f>
        <v>0</v>
      </c>
      <c r="O294" s="68" t="str">
        <f aca="false">VLOOKUP(A294,BD_ORDENES!A:BE,33,FALSE())</f>
        <v>TRANSPORTADORA HVM BGT</v>
      </c>
      <c r="P294" s="68" t="n">
        <f aca="false">VLOOKUP(A294,BD_ORDENES!A:BE,23,FALSE())</f>
        <v>0</v>
      </c>
      <c r="Q294" s="68" t="str">
        <f aca="false">VLOOKUP(A294,BD_ORDENES!A:BE,52,FALSE())</f>
        <v>Obtener Bajo Pedido (MTO)</v>
      </c>
      <c r="R294" s="68" t="str">
        <f aca="false">VLOOKUP(A294,BD_ORDENES!A:BE,25,FALSE())</f>
        <v>BOGOTA</v>
      </c>
      <c r="S294" s="68" t="str">
        <f aca="false">VLOOKUP(A294,BD_ORDENES!A:BE,22,FALSE())</f>
        <v>JOHNNA NAGLES PIEDRAHITA</v>
      </c>
      <c r="T294" s="65" t="str">
        <f aca="false">VLOOKUP(A294,BD_ORDENES!A:BE,55,FALSE())</f>
        <v>BODEGA LISTO</v>
      </c>
      <c r="U294" s="68" t="str">
        <f aca="false">VLOOKUP(A294,BD_ORDENES!A:BE,57,FALSE())</f>
        <v>8 VENECIA</v>
      </c>
      <c r="V294" s="70"/>
      <c r="W294" s="71"/>
    </row>
    <row r="295" s="72" customFormat="true" ht="98.25" hidden="false" customHeight="true" outlineLevel="0" collapsed="false">
      <c r="A295" s="62" t="n">
        <f aca="false">A294+1</f>
        <v>288</v>
      </c>
      <c r="B295" s="63" t="str">
        <f aca="false">VLOOKUP(A295,BD_ORDENES!A:BG,12,FALSE())</f>
        <v>__export__.product_product_163632_d7b6ef64</v>
      </c>
      <c r="C295" s="64" t="n">
        <v>288</v>
      </c>
      <c r="D295" s="65" t="str">
        <f aca="false">VLOOKUP(A295,BD_ORDENES!A:BE,10,0)</f>
        <v>TIENDA CEDRITOS</v>
      </c>
      <c r="E295" s="66" t="str">
        <f aca="false">VLOOKUP(A295,BD_ORDENES!A:BG,4,FALSE())</f>
        <v>DQ1524</v>
      </c>
      <c r="F295" s="66" t="str">
        <f aca="false">VLOOKUP(A295,BD_ORDENES!A:BE,56,FALSE())</f>
        <v>S268850</v>
      </c>
      <c r="G295" s="67" t="str">
        <f aca="false">VLOOKUP(A295,BD_ORDENES!A:BE,13,FALSE())</f>
        <v>MESA DE NOCHE VERONA MACULA-BLANCO</v>
      </c>
      <c r="H295" s="68" t="str">
        <f aca="false">VLOOKUP(A295,BD_ORDENES!A:BE,17,FALSE())</f>
        <v>MESA-NOCHE</v>
      </c>
      <c r="I295" s="68" t="str">
        <f aca="false">VLOOKUP(A295,BD_ORDENES!A:BE,18,FALSE())</f>
        <v>VERONA</v>
      </c>
      <c r="J295" s="68" t="n">
        <f aca="false">VLOOKUP(A295,BD_ORDENES!A:BE,19,FALSE())</f>
        <v>0</v>
      </c>
      <c r="K295" s="68" t="str">
        <f aca="false">VLOOKUP(A295,BD_ORDENES!A:BE,20,FALSE())</f>
        <v>MACULA-BLANCO</v>
      </c>
      <c r="L295" s="68" t="n">
        <f aca="false">VLOOKUP(A295,BD_ORDENES!A:BE,21,FALSE())</f>
        <v>0</v>
      </c>
      <c r="M295" s="69" t="n">
        <f aca="false">VLOOKUP(A295,BD_ORDENES!A:BE,14,FALSE())</f>
        <v>2</v>
      </c>
      <c r="N295" s="68" t="n">
        <f aca="false">VLOOKUP(A295,BD_ORDENES!A:BE,15,FALSE())</f>
        <v>0</v>
      </c>
      <c r="O295" s="68" t="str">
        <f aca="false">VLOOKUP(A295,BD_ORDENES!A:BE,33,FALSE())</f>
        <v>TRANSPORTADORA HVM BGT</v>
      </c>
      <c r="P295" s="68" t="n">
        <f aca="false">VLOOKUP(A295,BD_ORDENES!A:BE,23,FALSE())</f>
        <v>0</v>
      </c>
      <c r="Q295" s="68" t="str">
        <f aca="false">VLOOKUP(A295,BD_ORDENES!A:BE,52,FALSE())</f>
        <v>Obtener Bajo Pedido (MTO)</v>
      </c>
      <c r="R295" s="68" t="str">
        <f aca="false">VLOOKUP(A295,BD_ORDENES!A:BE,25,FALSE())</f>
        <v>BOGOTA</v>
      </c>
      <c r="S295" s="68" t="str">
        <f aca="false">VLOOKUP(A295,BD_ORDENES!A:BE,22,FALSE())</f>
        <v>JOHNNA NAGLES PIEDRAHITA</v>
      </c>
      <c r="T295" s="65" t="str">
        <f aca="false">VLOOKUP(A295,BD_ORDENES!A:BE,55,FALSE())</f>
        <v>BODEGA LISTO</v>
      </c>
      <c r="U295" s="68" t="str">
        <f aca="false">VLOOKUP(A295,BD_ORDENES!A:BE,57,FALSE())</f>
        <v>8 VENECIA</v>
      </c>
      <c r="V295" s="70"/>
      <c r="W295" s="71"/>
    </row>
    <row r="296" s="72" customFormat="true" ht="98.25" hidden="false" customHeight="true" outlineLevel="0" collapsed="false">
      <c r="A296" s="62" t="n">
        <f aca="false">A295+1</f>
        <v>289</v>
      </c>
      <c r="B296" s="63" t="str">
        <f aca="false">VLOOKUP(A296,BD_ORDENES!A:BG,12,FALSE())</f>
        <v>__export__.product_product_330646_3eb9e152</v>
      </c>
      <c r="C296" s="64" t="n">
        <v>289</v>
      </c>
      <c r="D296" s="65" t="str">
        <f aca="false">VLOOKUP(A296,BD_ORDENES!A:BE,10,0)</f>
        <v>TIENDA SUBA</v>
      </c>
      <c r="E296" s="66" t="str">
        <f aca="false">VLOOKUP(A296,BD_ORDENES!A:BG,4,FALSE())</f>
        <v>JM508</v>
      </c>
      <c r="F296" s="66" t="str">
        <f aca="false">VLOOKUP(A296,BD_ORDENES!A:BE,56,FALSE())</f>
        <v>S268846</v>
      </c>
      <c r="G296" s="67" t="str">
        <f aca="false">VLOOKUP(A296,BD_ORDENES!A:BE,13,FALSE())</f>
        <v>SOFA APOLO BRAZO IZQUIERDO SKY GRIS (MATIZ CAOBA)</v>
      </c>
      <c r="H296" s="68" t="str">
        <f aca="false">VLOOKUP(A296,BD_ORDENES!A:BE,17,FALSE())</f>
        <v>SOFA</v>
      </c>
      <c r="I296" s="68" t="str">
        <f aca="false">VLOOKUP(A296,BD_ORDENES!A:BE,18,FALSE())</f>
        <v>APOLO-BRAZO-IZQUIERDO</v>
      </c>
      <c r="J296" s="68" t="str">
        <f aca="false">VLOOKUP(A296,BD_ORDENES!A:BE,19,FALSE())</f>
        <v>SKY</v>
      </c>
      <c r="K296" s="68" t="str">
        <f aca="false">VLOOKUP(A296,BD_ORDENES!A:BE,20,FALSE())</f>
        <v>GRIS</v>
      </c>
      <c r="L296" s="68" t="str">
        <f aca="false">VLOOKUP(A296,BD_ORDENES!A:BE,21,FALSE())</f>
        <v>MATIZ-CAOBA</v>
      </c>
      <c r="M296" s="69" t="n">
        <f aca="false">VLOOKUP(A296,BD_ORDENES!A:BE,14,FALSE())</f>
        <v>1</v>
      </c>
      <c r="N296" s="68" t="n">
        <f aca="false">VLOOKUP(A296,BD_ORDENES!A:BE,15,FALSE())</f>
        <v>0</v>
      </c>
      <c r="O296" s="68" t="str">
        <f aca="false">VLOOKUP(A296,BD_ORDENES!A:BE,33,FALSE())</f>
        <v>TRANSPORTADORA HVM BGT</v>
      </c>
      <c r="P296" s="68" t="n">
        <f aca="false">VLOOKUP(A296,BD_ORDENES!A:BE,23,FALSE())</f>
        <v>0</v>
      </c>
      <c r="Q296" s="68" t="str">
        <f aca="false">VLOOKUP(A296,BD_ORDENES!A:BE,52,FALSE())</f>
        <v>Obtener Bajo Pedido (MTO)</v>
      </c>
      <c r="R296" s="68" t="str">
        <f aca="false">VLOOKUP(A296,BD_ORDENES!A:BE,25,FALSE())</f>
        <v>BOGOTA</v>
      </c>
      <c r="S296" s="68" t="str">
        <f aca="false">VLOOKUP(A296,BD_ORDENES!A:BE,22,FALSE())</f>
        <v>DANIELA ALEJANDRA ROMERO GAITAN</v>
      </c>
      <c r="T296" s="65" t="str">
        <f aca="false">VLOOKUP(A296,BD_ORDENES!A:BE,55,FALSE())</f>
        <v>BODEGA LISTO</v>
      </c>
      <c r="U296" s="68" t="str">
        <f aca="false">VLOOKUP(A296,BD_ORDENES!A:BE,57,FALSE())</f>
        <v>8 VENECIA</v>
      </c>
      <c r="V296" s="70"/>
      <c r="W296" s="71"/>
    </row>
    <row r="297" s="72" customFormat="true" ht="98.25" hidden="false" customHeight="true" outlineLevel="0" collapsed="false">
      <c r="A297" s="62" t="n">
        <f aca="false">A296+1</f>
        <v>290</v>
      </c>
      <c r="B297" s="63" t="str">
        <f aca="false">VLOOKUP(A297,BD_ORDENES!A:BG,12,FALSE())</f>
        <v>__export__.product_product_330644_b6ea6a83</v>
      </c>
      <c r="C297" s="64" t="n">
        <v>290</v>
      </c>
      <c r="D297" s="65" t="str">
        <f aca="false">VLOOKUP(A297,BD_ORDENES!A:BE,10,0)</f>
        <v>TIENDA SUBA</v>
      </c>
      <c r="E297" s="66" t="str">
        <f aca="false">VLOOKUP(A297,BD_ORDENES!A:BG,4,FALSE())</f>
        <v>JM508</v>
      </c>
      <c r="F297" s="66" t="str">
        <f aca="false">VLOOKUP(A297,BD_ORDENES!A:BE,56,FALSE())</f>
        <v>S268846</v>
      </c>
      <c r="G297" s="67" t="str">
        <f aca="false">VLOOKUP(A297,BD_ORDENES!A:BE,13,FALSE())</f>
        <v>CHAISE APOLO BRAZO DERECHO SKY GRIS (MATIZ CAOBA)</v>
      </c>
      <c r="H297" s="68" t="str">
        <f aca="false">VLOOKUP(A297,BD_ORDENES!A:BE,17,FALSE())</f>
        <v>CHAISE</v>
      </c>
      <c r="I297" s="68" t="str">
        <f aca="false">VLOOKUP(A297,BD_ORDENES!A:BE,18,FALSE())</f>
        <v>APOLO-BRAZO-DERECHO</v>
      </c>
      <c r="J297" s="68" t="str">
        <f aca="false">VLOOKUP(A297,BD_ORDENES!A:BE,19,FALSE())</f>
        <v>SKY</v>
      </c>
      <c r="K297" s="68" t="str">
        <f aca="false">VLOOKUP(A297,BD_ORDENES!A:BE,20,FALSE())</f>
        <v>GRIS</v>
      </c>
      <c r="L297" s="68" t="str">
        <f aca="false">VLOOKUP(A297,BD_ORDENES!A:BE,21,FALSE())</f>
        <v>MATIZ-CAOBA</v>
      </c>
      <c r="M297" s="69" t="n">
        <f aca="false">VLOOKUP(A297,BD_ORDENES!A:BE,14,FALSE())</f>
        <v>1</v>
      </c>
      <c r="N297" s="68" t="n">
        <f aca="false">VLOOKUP(A297,BD_ORDENES!A:BE,15,FALSE())</f>
        <v>0</v>
      </c>
      <c r="O297" s="68" t="str">
        <f aca="false">VLOOKUP(A297,BD_ORDENES!A:BE,33,FALSE())</f>
        <v>TRANSPORTADORA HVM BGT</v>
      </c>
      <c r="P297" s="68" t="n">
        <f aca="false">VLOOKUP(A297,BD_ORDENES!A:BE,23,FALSE())</f>
        <v>0</v>
      </c>
      <c r="Q297" s="68" t="str">
        <f aca="false">VLOOKUP(A297,BD_ORDENES!A:BE,52,FALSE())</f>
        <v>Obtener Bajo Pedido (MTO)</v>
      </c>
      <c r="R297" s="68" t="str">
        <f aca="false">VLOOKUP(A297,BD_ORDENES!A:BE,25,FALSE())</f>
        <v>BOGOTA</v>
      </c>
      <c r="S297" s="68" t="str">
        <f aca="false">VLOOKUP(A297,BD_ORDENES!A:BE,22,FALSE())</f>
        <v>DANIELA ALEJANDRA ROMERO GAITAN</v>
      </c>
      <c r="T297" s="65" t="str">
        <f aca="false">VLOOKUP(A297,BD_ORDENES!A:BE,55,FALSE())</f>
        <v>BODEGA LISTO</v>
      </c>
      <c r="U297" s="68" t="str">
        <f aca="false">VLOOKUP(A297,BD_ORDENES!A:BE,57,FALSE())</f>
        <v>8 VENECIA</v>
      </c>
      <c r="V297" s="70"/>
      <c r="W297" s="71"/>
    </row>
    <row r="298" s="72" customFormat="true" ht="98.25" hidden="false" customHeight="true" outlineLevel="0" collapsed="false">
      <c r="A298" s="62" t="n">
        <f aca="false">A297+1</f>
        <v>291</v>
      </c>
      <c r="B298" s="63" t="str">
        <f aca="false">VLOOKUP(A298,BD_ORDENES!A:BG,12,FALSE())</f>
        <v>__export__.product_product_315943_428059b0</v>
      </c>
      <c r="C298" s="64" t="n">
        <v>291</v>
      </c>
      <c r="D298" s="65" t="str">
        <f aca="false">VLOOKUP(A298,BD_ORDENES!A:BE,10,0)</f>
        <v>TIENDA SUBA</v>
      </c>
      <c r="E298" s="66" t="str">
        <f aca="false">VLOOKUP(A298,BD_ORDENES!A:BG,4,FALSE())</f>
        <v>JM508</v>
      </c>
      <c r="F298" s="66" t="str">
        <f aca="false">VLOOKUP(A298,BD_ORDENES!A:BE,56,FALSE())</f>
        <v>S268846</v>
      </c>
      <c r="G298" s="67" t="str">
        <f aca="false">VLOOKUP(A298,BD_ORDENES!A:BE,13,FALSE())</f>
        <v>MESA LUGO MATIZ JG4 BLANCO (MATIZ CAOBA)</v>
      </c>
      <c r="H298" s="68" t="str">
        <f aca="false">VLOOKUP(A298,BD_ORDENES!A:BE,17,FALSE())</f>
        <v>MESA</v>
      </c>
      <c r="I298" s="68" t="str">
        <f aca="false">VLOOKUP(A298,BD_ORDENES!A:BE,18,FALSE())</f>
        <v>LUGO-MATIZ-JG4</v>
      </c>
      <c r="J298" s="68" t="n">
        <f aca="false">VLOOKUP(A298,BD_ORDENES!A:BE,19,FALSE())</f>
        <v>0</v>
      </c>
      <c r="K298" s="68" t="str">
        <f aca="false">VLOOKUP(A298,BD_ORDENES!A:BE,20,FALSE())</f>
        <v>BLANCO</v>
      </c>
      <c r="L298" s="68" t="str">
        <f aca="false">VLOOKUP(A298,BD_ORDENES!A:BE,21,FALSE())</f>
        <v>MATIZ-CAOBA</v>
      </c>
      <c r="M298" s="69" t="n">
        <f aca="false">VLOOKUP(A298,BD_ORDENES!A:BE,14,FALSE())</f>
        <v>1</v>
      </c>
      <c r="N298" s="68" t="n">
        <f aca="false">VLOOKUP(A298,BD_ORDENES!A:BE,15,FALSE())</f>
        <v>0</v>
      </c>
      <c r="O298" s="68" t="str">
        <f aca="false">VLOOKUP(A298,BD_ORDENES!A:BE,33,FALSE())</f>
        <v>TRANSPORTADORA HVM BGT</v>
      </c>
      <c r="P298" s="68" t="n">
        <f aca="false">VLOOKUP(A298,BD_ORDENES!A:BE,23,FALSE())</f>
        <v>0</v>
      </c>
      <c r="Q298" s="68" t="str">
        <f aca="false">VLOOKUP(A298,BD_ORDENES!A:BE,52,FALSE())</f>
        <v>Obtener Bajo Pedido (MTO)</v>
      </c>
      <c r="R298" s="68" t="str">
        <f aca="false">VLOOKUP(A298,BD_ORDENES!A:BE,25,FALSE())</f>
        <v>BOGOTA</v>
      </c>
      <c r="S298" s="68" t="str">
        <f aca="false">VLOOKUP(A298,BD_ORDENES!A:BE,22,FALSE())</f>
        <v>DANIELA ALEJANDRA ROMERO GAITAN</v>
      </c>
      <c r="T298" s="65" t="str">
        <f aca="false">VLOOKUP(A298,BD_ORDENES!A:BE,55,FALSE())</f>
        <v>BODEGA LISTO</v>
      </c>
      <c r="U298" s="68" t="str">
        <f aca="false">VLOOKUP(A298,BD_ORDENES!A:BE,57,FALSE())</f>
        <v>8 VENECIA</v>
      </c>
      <c r="V298" s="70"/>
      <c r="W298" s="71"/>
    </row>
    <row r="299" s="72" customFormat="true" ht="98.25" hidden="false" customHeight="true" outlineLevel="0" collapsed="false">
      <c r="A299" s="62" t="n">
        <f aca="false">A298+1</f>
        <v>292</v>
      </c>
      <c r="B299" s="63" t="str">
        <f aca="false">VLOOKUP(A299,BD_ORDENES!A:BG,12,FALSE())</f>
        <v>__export__.product_product_324226_10b27dec</v>
      </c>
      <c r="C299" s="64" t="n">
        <v>292</v>
      </c>
      <c r="D299" s="65" t="str">
        <f aca="false">VLOOKUP(A299,BD_ORDENES!A:BE,10,0)</f>
        <v>TIENDA SUBA</v>
      </c>
      <c r="E299" s="66" t="str">
        <f aca="false">VLOOKUP(A299,BD_ORDENES!A:BG,4,FALSE())</f>
        <v>JM508</v>
      </c>
      <c r="F299" s="66" t="str">
        <f aca="false">VLOOKUP(A299,BD_ORDENES!A:BE,56,FALSE())</f>
        <v>S268846</v>
      </c>
      <c r="G299" s="67" t="str">
        <f aca="false">VLOOKUP(A299,BD_ORDENES!A:BE,13,FALSE())</f>
        <v>SILLA GALICIA SKY GRIS (MATIZ CAOBA)</v>
      </c>
      <c r="H299" s="68" t="str">
        <f aca="false">VLOOKUP(A299,BD_ORDENES!A:BE,17,FALSE())</f>
        <v>SILLA-MADERA</v>
      </c>
      <c r="I299" s="68" t="str">
        <f aca="false">VLOOKUP(A299,BD_ORDENES!A:BE,18,FALSE())</f>
        <v>GALICIA</v>
      </c>
      <c r="J299" s="68" t="str">
        <f aca="false">VLOOKUP(A299,BD_ORDENES!A:BE,19,FALSE())</f>
        <v>SKY</v>
      </c>
      <c r="K299" s="68" t="str">
        <f aca="false">VLOOKUP(A299,BD_ORDENES!A:BE,20,FALSE())</f>
        <v>GRIS</v>
      </c>
      <c r="L299" s="68" t="str">
        <f aca="false">VLOOKUP(A299,BD_ORDENES!A:BE,21,FALSE())</f>
        <v>MATIZ-CAOBA</v>
      </c>
      <c r="M299" s="69" t="n">
        <f aca="false">VLOOKUP(A299,BD_ORDENES!A:BE,14,FALSE())</f>
        <v>2</v>
      </c>
      <c r="N299" s="68" t="n">
        <f aca="false">VLOOKUP(A299,BD_ORDENES!A:BE,15,FALSE())</f>
        <v>0</v>
      </c>
      <c r="O299" s="68" t="str">
        <f aca="false">VLOOKUP(A299,BD_ORDENES!A:BE,33,FALSE())</f>
        <v>TRANSPORTADORA HVM BGT</v>
      </c>
      <c r="P299" s="68" t="n">
        <f aca="false">VLOOKUP(A299,BD_ORDENES!A:BE,23,FALSE())</f>
        <v>0</v>
      </c>
      <c r="Q299" s="68" t="str">
        <f aca="false">VLOOKUP(A299,BD_ORDENES!A:BE,52,FALSE())</f>
        <v>Obtener Bajo Pedido (MTO)</v>
      </c>
      <c r="R299" s="68" t="str">
        <f aca="false">VLOOKUP(A299,BD_ORDENES!A:BE,25,FALSE())</f>
        <v>BOGOTA</v>
      </c>
      <c r="S299" s="68" t="str">
        <f aca="false">VLOOKUP(A299,BD_ORDENES!A:BE,22,FALSE())</f>
        <v>DANIELA ALEJANDRA ROMERO GAITAN</v>
      </c>
      <c r="T299" s="65" t="str">
        <f aca="false">VLOOKUP(A299,BD_ORDENES!A:BE,55,FALSE())</f>
        <v>BODEGA LISTO</v>
      </c>
      <c r="U299" s="68" t="str">
        <f aca="false">VLOOKUP(A299,BD_ORDENES!A:BE,57,FALSE())</f>
        <v>8 VENECIA</v>
      </c>
      <c r="V299" s="70"/>
      <c r="W299" s="71"/>
    </row>
    <row r="300" s="72" customFormat="true" ht="98.25" hidden="false" customHeight="true" outlineLevel="0" collapsed="false">
      <c r="A300" s="62" t="n">
        <f aca="false">A299+1</f>
        <v>293</v>
      </c>
      <c r="B300" s="63" t="str">
        <f aca="false">VLOOKUP(A300,BD_ORDENES!A:BG,12,FALSE())</f>
        <v>__export__.product_product_327831_da5a7493</v>
      </c>
      <c r="C300" s="64" t="n">
        <v>293</v>
      </c>
      <c r="D300" s="65" t="str">
        <f aca="false">VLOOKUP(A300,BD_ORDENES!A:BE,10,0)</f>
        <v>TIENDA SUBA</v>
      </c>
      <c r="E300" s="66" t="str">
        <f aca="false">VLOOKUP(A300,BD_ORDENES!A:BG,4,FALSE())</f>
        <v>JM508</v>
      </c>
      <c r="F300" s="66" t="str">
        <f aca="false">VLOOKUP(A300,BD_ORDENES!A:BE,56,FALSE())</f>
        <v>S268846</v>
      </c>
      <c r="G300" s="67" t="str">
        <f aca="false">VLOOKUP(A300,BD_ORDENES!A:BE,13,FALSE())</f>
        <v>BUTACO VIENA SKY TURQUESA (MATIZ CAOBA)</v>
      </c>
      <c r="H300" s="68" t="str">
        <f aca="false">VLOOKUP(A300,BD_ORDENES!A:BE,17,FALSE())</f>
        <v>BUTACO</v>
      </c>
      <c r="I300" s="68" t="str">
        <f aca="false">VLOOKUP(A300,BD_ORDENES!A:BE,18,FALSE())</f>
        <v>VIENA</v>
      </c>
      <c r="J300" s="68" t="str">
        <f aca="false">VLOOKUP(A300,BD_ORDENES!A:BE,19,FALSE())</f>
        <v>SKY</v>
      </c>
      <c r="K300" s="68" t="str">
        <f aca="false">VLOOKUP(A300,BD_ORDENES!A:BE,20,FALSE())</f>
        <v>TURQUESA</v>
      </c>
      <c r="L300" s="68" t="str">
        <f aca="false">VLOOKUP(A300,BD_ORDENES!A:BE,21,FALSE())</f>
        <v>MATIZ-CAOBA</v>
      </c>
      <c r="M300" s="69" t="n">
        <f aca="false">VLOOKUP(A300,BD_ORDENES!A:BE,14,FALSE())</f>
        <v>1</v>
      </c>
      <c r="N300" s="68" t="n">
        <f aca="false">VLOOKUP(A300,BD_ORDENES!A:BE,15,FALSE())</f>
        <v>0</v>
      </c>
      <c r="O300" s="68" t="str">
        <f aca="false">VLOOKUP(A300,BD_ORDENES!A:BE,33,FALSE())</f>
        <v>TRANSPORTADORA HVM BGT</v>
      </c>
      <c r="P300" s="68" t="n">
        <f aca="false">VLOOKUP(A300,BD_ORDENES!A:BE,23,FALSE())</f>
        <v>0</v>
      </c>
      <c r="Q300" s="68" t="str">
        <f aca="false">VLOOKUP(A300,BD_ORDENES!A:BE,52,FALSE())</f>
        <v>Obtener Bajo Pedido (MTO)</v>
      </c>
      <c r="R300" s="68" t="str">
        <f aca="false">VLOOKUP(A300,BD_ORDENES!A:BE,25,FALSE())</f>
        <v>BOGOTA</v>
      </c>
      <c r="S300" s="68" t="str">
        <f aca="false">VLOOKUP(A300,BD_ORDENES!A:BE,22,FALSE())</f>
        <v>DANIELA ALEJANDRA ROMERO GAITAN</v>
      </c>
      <c r="T300" s="65" t="str">
        <f aca="false">VLOOKUP(A300,BD_ORDENES!A:BE,55,FALSE())</f>
        <v>BODEGA LISTO</v>
      </c>
      <c r="U300" s="68" t="str">
        <f aca="false">VLOOKUP(A300,BD_ORDENES!A:BE,57,FALSE())</f>
        <v>8 VENECIA</v>
      </c>
      <c r="V300" s="70"/>
      <c r="W300" s="71"/>
    </row>
    <row r="301" s="72" customFormat="true" ht="98.25" hidden="false" customHeight="true" outlineLevel="0" collapsed="false">
      <c r="A301" s="62" t="n">
        <f aca="false">A300+1</f>
        <v>294</v>
      </c>
      <c r="B301" s="63" t="str">
        <f aca="false">VLOOKUP(A301,BD_ORDENES!A:BG,12,FALSE())</f>
        <v>__export__.product_product_316167_dcaf9150</v>
      </c>
      <c r="C301" s="64" t="n">
        <v>294</v>
      </c>
      <c r="D301" s="65" t="str">
        <f aca="false">VLOOKUP(A301,BD_ORDENES!A:BE,10,0)</f>
        <v>TIENDA SUBA</v>
      </c>
      <c r="E301" s="66" t="str">
        <f aca="false">VLOOKUP(A301,BD_ORDENES!A:BG,4,FALSE())</f>
        <v>JM508</v>
      </c>
      <c r="F301" s="66" t="str">
        <f aca="false">VLOOKUP(A301,BD_ORDENES!A:BE,56,FALSE())</f>
        <v>S268846</v>
      </c>
      <c r="G301" s="67" t="str">
        <f aca="false">VLOOKUP(A301,BD_ORDENES!A:BE,13,FALSE())</f>
        <v>MESA DE CENTRO NOVA BLANCO (MATIZ CAOBA)</v>
      </c>
      <c r="H301" s="68" t="str">
        <f aca="false">VLOOKUP(A301,BD_ORDENES!A:BE,17,FALSE())</f>
        <v>MESA-CENTRO</v>
      </c>
      <c r="I301" s="68" t="str">
        <f aca="false">VLOOKUP(A301,BD_ORDENES!A:BE,18,FALSE())</f>
        <v>NOVA</v>
      </c>
      <c r="J301" s="68" t="n">
        <f aca="false">VLOOKUP(A301,BD_ORDENES!A:BE,19,FALSE())</f>
        <v>0</v>
      </c>
      <c r="K301" s="68" t="str">
        <f aca="false">VLOOKUP(A301,BD_ORDENES!A:BE,20,FALSE())</f>
        <v>BLANCO</v>
      </c>
      <c r="L301" s="68" t="str">
        <f aca="false">VLOOKUP(A301,BD_ORDENES!A:BE,21,FALSE())</f>
        <v>MATIZ-CAOBA</v>
      </c>
      <c r="M301" s="69" t="n">
        <f aca="false">VLOOKUP(A301,BD_ORDENES!A:BE,14,FALSE())</f>
        <v>1</v>
      </c>
      <c r="N301" s="68" t="n">
        <f aca="false">VLOOKUP(A301,BD_ORDENES!A:BE,15,FALSE())</f>
        <v>0</v>
      </c>
      <c r="O301" s="68" t="str">
        <f aca="false">VLOOKUP(A301,BD_ORDENES!A:BE,33,FALSE())</f>
        <v>TRANSPORTADORA HVM BGT</v>
      </c>
      <c r="P301" s="68" t="n">
        <f aca="false">VLOOKUP(A301,BD_ORDENES!A:BE,23,FALSE())</f>
        <v>0</v>
      </c>
      <c r="Q301" s="68" t="str">
        <f aca="false">VLOOKUP(A301,BD_ORDENES!A:BE,52,FALSE())</f>
        <v>Obtener Bajo Pedido (MTO)</v>
      </c>
      <c r="R301" s="68" t="str">
        <f aca="false">VLOOKUP(A301,BD_ORDENES!A:BE,25,FALSE())</f>
        <v>BOGOTA</v>
      </c>
      <c r="S301" s="68" t="str">
        <f aca="false">VLOOKUP(A301,BD_ORDENES!A:BE,22,FALSE())</f>
        <v>DANIELA ALEJANDRA ROMERO GAITAN</v>
      </c>
      <c r="T301" s="65" t="str">
        <f aca="false">VLOOKUP(A301,BD_ORDENES!A:BE,55,FALSE())</f>
        <v>BODEGA LISTO</v>
      </c>
      <c r="U301" s="68" t="str">
        <f aca="false">VLOOKUP(A301,BD_ORDENES!A:BE,57,FALSE())</f>
        <v>8 VENECIA</v>
      </c>
      <c r="V301" s="70"/>
      <c r="W301" s="71"/>
    </row>
    <row r="302" s="72" customFormat="true" ht="98.25" hidden="false" customHeight="true" outlineLevel="0" collapsed="false">
      <c r="A302" s="62" t="n">
        <f aca="false">A301+1</f>
        <v>295</v>
      </c>
      <c r="B302" s="63" t="str">
        <f aca="false">VLOOKUP(A302,BD_ORDENES!A:BG,12,FALSE())</f>
        <v>__export__.product_product_330279_231d9afc</v>
      </c>
      <c r="C302" s="64" t="n">
        <v>295</v>
      </c>
      <c r="D302" s="65" t="str">
        <f aca="false">VLOOKUP(A302,BD_ORDENES!A:BE,10,0)</f>
        <v>TIENDA SUBA</v>
      </c>
      <c r="E302" s="66" t="str">
        <f aca="false">VLOOKUP(A302,BD_ORDENES!A:BG,4,FALSE())</f>
        <v>JM508</v>
      </c>
      <c r="F302" s="66" t="str">
        <f aca="false">VLOOKUP(A302,BD_ORDENES!A:BE,56,FALSE())</f>
        <v>S268846</v>
      </c>
      <c r="G302" s="67" t="str">
        <f aca="false">VLOOKUP(A302,BD_ORDENES!A:BE,13,FALSE())</f>
        <v>OBSEQUIO COJIN VENECIA SKY TURQUESA</v>
      </c>
      <c r="H302" s="68" t="str">
        <f aca="false">VLOOKUP(A302,BD_ORDENES!A:BE,17,FALSE())</f>
        <v>COJIN</v>
      </c>
      <c r="I302" s="68" t="str">
        <f aca="false">VLOOKUP(A302,BD_ORDENES!A:BE,18,FALSE())</f>
        <v>OBSEQUIO-VENECIA</v>
      </c>
      <c r="J302" s="68" t="str">
        <f aca="false">VLOOKUP(A302,BD_ORDENES!A:BE,19,FALSE())</f>
        <v>SKY</v>
      </c>
      <c r="K302" s="68" t="str">
        <f aca="false">VLOOKUP(A302,BD_ORDENES!A:BE,20,FALSE())</f>
        <v>TURQUESA</v>
      </c>
      <c r="L302" s="68" t="n">
        <f aca="false">VLOOKUP(A302,BD_ORDENES!A:BE,21,FALSE())</f>
        <v>0</v>
      </c>
      <c r="M302" s="69" t="n">
        <f aca="false">VLOOKUP(A302,BD_ORDENES!A:BE,14,FALSE())</f>
        <v>2</v>
      </c>
      <c r="N302" s="68" t="n">
        <f aca="false">VLOOKUP(A302,BD_ORDENES!A:BE,15,FALSE())</f>
        <v>0</v>
      </c>
      <c r="O302" s="68" t="str">
        <f aca="false">VLOOKUP(A302,BD_ORDENES!A:BE,33,FALSE())</f>
        <v>TRANSPORTADORA HVM BGT</v>
      </c>
      <c r="P302" s="68" t="n">
        <f aca="false">VLOOKUP(A302,BD_ORDENES!A:BE,23,FALSE())</f>
        <v>0</v>
      </c>
      <c r="Q302" s="68" t="str">
        <f aca="false">VLOOKUP(A302,BD_ORDENES!A:BE,52,FALSE())</f>
        <v>Obtener Bajo Pedido (MTO)</v>
      </c>
      <c r="R302" s="68" t="str">
        <f aca="false">VLOOKUP(A302,BD_ORDENES!A:BE,25,FALSE())</f>
        <v>BOGOTA</v>
      </c>
      <c r="S302" s="68" t="str">
        <f aca="false">VLOOKUP(A302,BD_ORDENES!A:BE,22,FALSE())</f>
        <v>DANIELA ALEJANDRA ROMERO GAITAN</v>
      </c>
      <c r="T302" s="65" t="str">
        <f aca="false">VLOOKUP(A302,BD_ORDENES!A:BE,55,FALSE())</f>
        <v>BODEGA LISTO</v>
      </c>
      <c r="U302" s="68" t="str">
        <f aca="false">VLOOKUP(A302,BD_ORDENES!A:BE,57,FALSE())</f>
        <v>8 VENECIA</v>
      </c>
      <c r="V302" s="70"/>
      <c r="W302" s="71"/>
    </row>
    <row r="303" s="72" customFormat="true" ht="98.25" hidden="false" customHeight="true" outlineLevel="0" collapsed="false">
      <c r="A303" s="62" t="n">
        <f aca="false">A302+1</f>
        <v>296</v>
      </c>
      <c r="B303" s="63" t="str">
        <f aca="false">VLOOKUP(A303,BD_ORDENES!A:BG,12,FALSE())</f>
        <v>__export__.product_product_319033_59c0a5c6</v>
      </c>
      <c r="C303" s="64" t="n">
        <v>296</v>
      </c>
      <c r="D303" s="65" t="str">
        <f aca="false">VLOOKUP(A303,BD_ORDENES!A:BE,10,0)</f>
        <v>TIENDA CEDRITOS</v>
      </c>
      <c r="E303" s="66" t="str">
        <f aca="false">VLOOKUP(A303,BD_ORDENES!A:BG,4,FALSE())</f>
        <v>DQ1523</v>
      </c>
      <c r="F303" s="66" t="str">
        <f aca="false">VLOOKUP(A303,BD_ORDENES!A:BE,56,FALSE())</f>
        <v>S268845</v>
      </c>
      <c r="G303" s="67" t="str">
        <f aca="false">VLOOKUP(A303,BD_ORDENES!A:BE,13,FALSE())</f>
        <v>SOFA PORTO DICOSTA BEIGE (MATIZ CAOBA)</v>
      </c>
      <c r="H303" s="68" t="str">
        <f aca="false">VLOOKUP(A303,BD_ORDENES!A:BE,17,FALSE())</f>
        <v>SOFA</v>
      </c>
      <c r="I303" s="68" t="str">
        <f aca="false">VLOOKUP(A303,BD_ORDENES!A:BE,18,FALSE())</f>
        <v>PORTO</v>
      </c>
      <c r="J303" s="68" t="str">
        <f aca="false">VLOOKUP(A303,BD_ORDENES!A:BE,19,FALSE())</f>
        <v>DICOSTA</v>
      </c>
      <c r="K303" s="68" t="str">
        <f aca="false">VLOOKUP(A303,BD_ORDENES!A:BE,20,FALSE())</f>
        <v>BEIGE</v>
      </c>
      <c r="L303" s="68" t="str">
        <f aca="false">VLOOKUP(A303,BD_ORDENES!A:BE,21,FALSE())</f>
        <v>MATIZ-CAOBA</v>
      </c>
      <c r="M303" s="69" t="n">
        <f aca="false">VLOOKUP(A303,BD_ORDENES!A:BE,14,FALSE())</f>
        <v>1</v>
      </c>
      <c r="N303" s="68" t="n">
        <f aca="false">VLOOKUP(A303,BD_ORDENES!A:BE,15,FALSE())</f>
        <v>0</v>
      </c>
      <c r="O303" s="68" t="str">
        <f aca="false">VLOOKUP(A303,BD_ORDENES!A:BE,33,FALSE())</f>
        <v>TRANSPORTADORA HVM BGT</v>
      </c>
      <c r="P303" s="68" t="n">
        <f aca="false">VLOOKUP(A303,BD_ORDENES!A:BE,23,FALSE())</f>
        <v>0</v>
      </c>
      <c r="Q303" s="68" t="str">
        <f aca="false">VLOOKUP(A303,BD_ORDENES!A:BE,52,FALSE())</f>
        <v>Obtener Bajo Pedido (MTO)</v>
      </c>
      <c r="R303" s="68" t="str">
        <f aca="false">VLOOKUP(A303,BD_ORDENES!A:BE,25,FALSE())</f>
        <v>BOGOTA</v>
      </c>
      <c r="S303" s="68" t="str">
        <f aca="false">VLOOKUP(A303,BD_ORDENES!A:BE,22,FALSE())</f>
        <v>SARA LILIANA GÓMEZ MENDOZA</v>
      </c>
      <c r="T303" s="65" t="str">
        <f aca="false">VLOOKUP(A303,BD_ORDENES!A:BE,55,FALSE())</f>
        <v>BODEGA LISTO</v>
      </c>
      <c r="U303" s="68" t="str">
        <f aca="false">VLOOKUP(A303,BD_ORDENES!A:BE,57,FALSE())</f>
        <v>8 VENECIA</v>
      </c>
      <c r="V303" s="70"/>
      <c r="W303" s="71"/>
    </row>
    <row r="304" s="72" customFormat="true" ht="98.25" hidden="false" customHeight="true" outlineLevel="0" collapsed="false">
      <c r="A304" s="62" t="n">
        <f aca="false">A303+1</f>
        <v>297</v>
      </c>
      <c r="B304" s="63" t="str">
        <f aca="false">VLOOKUP(A304,BD_ORDENES!A:BG,12,FALSE())</f>
        <v>__export__.product_product_326836_b92dde12</v>
      </c>
      <c r="C304" s="64" t="n">
        <v>297</v>
      </c>
      <c r="D304" s="65" t="str">
        <f aca="false">VLOOKUP(A304,BD_ORDENES!A:BE,10,0)</f>
        <v>TIENDA CEDRITOS</v>
      </c>
      <c r="E304" s="66" t="str">
        <f aca="false">VLOOKUP(A304,BD_ORDENES!A:BG,4,FALSE())</f>
        <v>DQ1523</v>
      </c>
      <c r="F304" s="66" t="str">
        <f aca="false">VLOOKUP(A304,BD_ORDENES!A:BE,56,FALSE())</f>
        <v>S268845</v>
      </c>
      <c r="G304" s="67" t="str">
        <f aca="false">VLOOKUP(A304,BD_ORDENES!A:BE,13,FALSE())</f>
        <v>POLTRONA PORTO DICOSTA BEIGE (MATIZ CAOBA)</v>
      </c>
      <c r="H304" s="68" t="str">
        <f aca="false">VLOOKUP(A304,BD_ORDENES!A:BE,17,FALSE())</f>
        <v>POLTRONA</v>
      </c>
      <c r="I304" s="68" t="str">
        <f aca="false">VLOOKUP(A304,BD_ORDENES!A:BE,18,FALSE())</f>
        <v>PORTO</v>
      </c>
      <c r="J304" s="68" t="str">
        <f aca="false">VLOOKUP(A304,BD_ORDENES!A:BE,19,FALSE())</f>
        <v>DICOSTA</v>
      </c>
      <c r="K304" s="68" t="str">
        <f aca="false">VLOOKUP(A304,BD_ORDENES!A:BE,20,FALSE())</f>
        <v>BEIGE</v>
      </c>
      <c r="L304" s="68" t="str">
        <f aca="false">VLOOKUP(A304,BD_ORDENES!A:BE,21,FALSE())</f>
        <v>MATIZ-CAOBA</v>
      </c>
      <c r="M304" s="69" t="n">
        <f aca="false">VLOOKUP(A304,BD_ORDENES!A:BE,14,FALSE())</f>
        <v>1</v>
      </c>
      <c r="N304" s="68" t="n">
        <f aca="false">VLOOKUP(A304,BD_ORDENES!A:BE,15,FALSE())</f>
        <v>0</v>
      </c>
      <c r="O304" s="68" t="str">
        <f aca="false">VLOOKUP(A304,BD_ORDENES!A:BE,33,FALSE())</f>
        <v>TRANSPORTADORA HVM BGT</v>
      </c>
      <c r="P304" s="68" t="n">
        <f aca="false">VLOOKUP(A304,BD_ORDENES!A:BE,23,FALSE())</f>
        <v>0</v>
      </c>
      <c r="Q304" s="68" t="str">
        <f aca="false">VLOOKUP(A304,BD_ORDENES!A:BE,52,FALSE())</f>
        <v>Obtener Bajo Pedido (MTO)</v>
      </c>
      <c r="R304" s="68" t="str">
        <f aca="false">VLOOKUP(A304,BD_ORDENES!A:BE,25,FALSE())</f>
        <v>BOGOTA</v>
      </c>
      <c r="S304" s="68" t="str">
        <f aca="false">VLOOKUP(A304,BD_ORDENES!A:BE,22,FALSE())</f>
        <v>SARA LILIANA GÓMEZ MENDOZA</v>
      </c>
      <c r="T304" s="65" t="str">
        <f aca="false">VLOOKUP(A304,BD_ORDENES!A:BE,55,FALSE())</f>
        <v>BODEGA LISTO</v>
      </c>
      <c r="U304" s="68" t="str">
        <f aca="false">VLOOKUP(A304,BD_ORDENES!A:BE,57,FALSE())</f>
        <v>8 VENECIA</v>
      </c>
      <c r="V304" s="70"/>
      <c r="W304" s="71"/>
    </row>
    <row r="305" s="72" customFormat="true" ht="98.25" hidden="false" customHeight="true" outlineLevel="0" collapsed="false">
      <c r="A305" s="62" t="n">
        <f aca="false">A304+1</f>
        <v>298</v>
      </c>
      <c r="B305" s="63" t="str">
        <f aca="false">VLOOKUP(A305,BD_ORDENES!A:BG,12,FALSE())</f>
        <v>__export__.product_product_316766_c9de7846</v>
      </c>
      <c r="C305" s="64" t="n">
        <v>298</v>
      </c>
      <c r="D305" s="65" t="str">
        <f aca="false">VLOOKUP(A305,BD_ORDENES!A:BE,10,0)</f>
        <v>TIENDA CEDRITOS</v>
      </c>
      <c r="E305" s="66" t="str">
        <f aca="false">VLOOKUP(A305,BD_ORDENES!A:BG,4,FALSE())</f>
        <v>DQ1523</v>
      </c>
      <c r="F305" s="66" t="str">
        <f aca="false">VLOOKUP(A305,BD_ORDENES!A:BE,56,FALSE())</f>
        <v>S268845</v>
      </c>
      <c r="G305" s="67" t="str">
        <f aca="false">VLOOKUP(A305,BD_ORDENES!A:BE,13,FALSE())</f>
        <v>POLTRONA PORTO DICOSTA INDIGO (MATIZ CAOBA)</v>
      </c>
      <c r="H305" s="68" t="str">
        <f aca="false">VLOOKUP(A305,BD_ORDENES!A:BE,17,FALSE())</f>
        <v>POLTRONA</v>
      </c>
      <c r="I305" s="68" t="str">
        <f aca="false">VLOOKUP(A305,BD_ORDENES!A:BE,18,FALSE())</f>
        <v>PORTO</v>
      </c>
      <c r="J305" s="68" t="str">
        <f aca="false">VLOOKUP(A305,BD_ORDENES!A:BE,19,FALSE())</f>
        <v>DICOSTA</v>
      </c>
      <c r="K305" s="68" t="str">
        <f aca="false">VLOOKUP(A305,BD_ORDENES!A:BE,20,FALSE())</f>
        <v>INDIGO</v>
      </c>
      <c r="L305" s="68" t="str">
        <f aca="false">VLOOKUP(A305,BD_ORDENES!A:BE,21,FALSE())</f>
        <v>MATIZ-CAOBA</v>
      </c>
      <c r="M305" s="69" t="n">
        <f aca="false">VLOOKUP(A305,BD_ORDENES!A:BE,14,FALSE())</f>
        <v>1</v>
      </c>
      <c r="N305" s="68" t="n">
        <f aca="false">VLOOKUP(A305,BD_ORDENES!A:BE,15,FALSE())</f>
        <v>0</v>
      </c>
      <c r="O305" s="68" t="str">
        <f aca="false">VLOOKUP(A305,BD_ORDENES!A:BE,33,FALSE())</f>
        <v>TRANSPORTADORA HVM BGT</v>
      </c>
      <c r="P305" s="68" t="n">
        <f aca="false">VLOOKUP(A305,BD_ORDENES!A:BE,23,FALSE())</f>
        <v>0</v>
      </c>
      <c r="Q305" s="68" t="str">
        <f aca="false">VLOOKUP(A305,BD_ORDENES!A:BE,52,FALSE())</f>
        <v>Obtener Bajo Pedido (MTO)</v>
      </c>
      <c r="R305" s="68" t="str">
        <f aca="false">VLOOKUP(A305,BD_ORDENES!A:BE,25,FALSE())</f>
        <v>BOGOTA</v>
      </c>
      <c r="S305" s="68" t="str">
        <f aca="false">VLOOKUP(A305,BD_ORDENES!A:BE,22,FALSE())</f>
        <v>SARA LILIANA GÓMEZ MENDOZA</v>
      </c>
      <c r="T305" s="65" t="str">
        <f aca="false">VLOOKUP(A305,BD_ORDENES!A:BE,55,FALSE())</f>
        <v>BODEGA LISTO</v>
      </c>
      <c r="U305" s="68" t="str">
        <f aca="false">VLOOKUP(A305,BD_ORDENES!A:BE,57,FALSE())</f>
        <v>8 VENECIA</v>
      </c>
      <c r="V305" s="70"/>
      <c r="W305" s="71"/>
    </row>
    <row r="306" s="72" customFormat="true" ht="98.25" hidden="false" customHeight="true" outlineLevel="0" collapsed="false">
      <c r="A306" s="62" t="n">
        <f aca="false">A305+1</f>
        <v>299</v>
      </c>
      <c r="B306" s="63" t="str">
        <f aca="false">VLOOKUP(A306,BD_ORDENES!A:BG,12,FALSE())</f>
        <v>__export__.product_product_334598_96b06371</v>
      </c>
      <c r="C306" s="64" t="n">
        <v>299</v>
      </c>
      <c r="D306" s="65" t="str">
        <f aca="false">VLOOKUP(A306,BD_ORDENES!A:BE,10,0)</f>
        <v>TIENDA GALERIAS</v>
      </c>
      <c r="E306" s="66" t="str">
        <f aca="false">VLOOKUP(A306,BD_ORDENES!A:BG,4,FALSE())</f>
        <v>ET2306</v>
      </c>
      <c r="F306" s="66" t="str">
        <f aca="false">VLOOKUP(A306,BD_ORDENES!A:BE,56,FALSE())</f>
        <v>S268839</v>
      </c>
      <c r="G306" s="67" t="str">
        <f aca="false">VLOOKUP(A306,BD_ORDENES!A:BE,13,FALSE())</f>
        <v>MESA CHICAGO JG4 BALI-MACULA</v>
      </c>
      <c r="H306" s="68" t="str">
        <f aca="false">VLOOKUP(A306,BD_ORDENES!A:BE,17,FALSE())</f>
        <v>MESA</v>
      </c>
      <c r="I306" s="68" t="str">
        <f aca="false">VLOOKUP(A306,BD_ORDENES!A:BE,18,FALSE())</f>
        <v>CHICAGO-JG4</v>
      </c>
      <c r="J306" s="68" t="n">
        <f aca="false">VLOOKUP(A306,BD_ORDENES!A:BE,19,FALSE())</f>
        <v>0</v>
      </c>
      <c r="K306" s="68" t="str">
        <f aca="false">VLOOKUP(A306,BD_ORDENES!A:BE,20,FALSE())</f>
        <v>BALI-MACULA</v>
      </c>
      <c r="L306" s="68" t="n">
        <f aca="false">VLOOKUP(A306,BD_ORDENES!A:BE,21,FALSE())</f>
        <v>0</v>
      </c>
      <c r="M306" s="69" t="n">
        <f aca="false">VLOOKUP(A306,BD_ORDENES!A:BE,14,FALSE())</f>
        <v>1</v>
      </c>
      <c r="N306" s="68" t="n">
        <f aca="false">VLOOKUP(A306,BD_ORDENES!A:BE,15,FALSE())</f>
        <v>0</v>
      </c>
      <c r="O306" s="68" t="str">
        <f aca="false">VLOOKUP(A306,BD_ORDENES!A:BE,33,FALSE())</f>
        <v>TRANSPORTADORA</v>
      </c>
      <c r="P306" s="68" t="n">
        <f aca="false">VLOOKUP(A306,BD_ORDENES!A:BE,23,FALSE())</f>
        <v>0</v>
      </c>
      <c r="Q306" s="68" t="str">
        <f aca="false">VLOOKUP(A306,BD_ORDENES!A:BE,52,FALSE())</f>
        <v>Obtener Bajo Pedido (MTO)</v>
      </c>
      <c r="R306" s="68" t="str">
        <f aca="false">VLOOKUP(A306,BD_ORDENES!A:BE,25,FALSE())</f>
        <v>ZIPAQUIRA</v>
      </c>
      <c r="S306" s="68" t="str">
        <f aca="false">VLOOKUP(A306,BD_ORDENES!A:BE,22,FALSE())</f>
        <v>GIOVANNI ALIRIO ROMERO ORTIZ</v>
      </c>
      <c r="T306" s="65" t="str">
        <f aca="false">VLOOKUP(A306,BD_ORDENES!A:BE,55,FALSE())</f>
        <v>PRODUCCION</v>
      </c>
      <c r="U306" s="68" t="str">
        <f aca="false">VLOOKUP(A306,BD_ORDENES!A:BE,57,FALSE())</f>
        <v>1 ENVIA</v>
      </c>
      <c r="V306" s="70"/>
      <c r="W306" s="71"/>
    </row>
    <row r="307" s="72" customFormat="true" ht="98.25" hidden="false" customHeight="true" outlineLevel="0" collapsed="false">
      <c r="A307" s="62" t="n">
        <f aca="false">A306+1</f>
        <v>300</v>
      </c>
      <c r="B307" s="63" t="str">
        <f aca="false">VLOOKUP(A307,BD_ORDENES!A:BG,12,FALSE())</f>
        <v>__export__.product_product_316275_fe120064</v>
      </c>
      <c r="C307" s="64" t="n">
        <v>300</v>
      </c>
      <c r="D307" s="65" t="str">
        <f aca="false">VLOOKUP(A307,BD_ORDENES!A:BE,10,0)</f>
        <v>TIENDA GALERIAS</v>
      </c>
      <c r="E307" s="66" t="str">
        <f aca="false">VLOOKUP(A307,BD_ORDENES!A:BG,4,FALSE())</f>
        <v>ET2306</v>
      </c>
      <c r="F307" s="66" t="str">
        <f aca="false">VLOOKUP(A307,BD_ORDENES!A:BE,56,FALSE())</f>
        <v>S268839</v>
      </c>
      <c r="G307" s="67" t="str">
        <f aca="false">VLOOKUP(A307,BD_ORDENES!A:BE,13,FALSE())</f>
        <v>SILLA GALICIA DICOSTA GRIS (MATIZ CAOBA)</v>
      </c>
      <c r="H307" s="68" t="str">
        <f aca="false">VLOOKUP(A307,BD_ORDENES!A:BE,17,FALSE())</f>
        <v>SILLA-MADERA</v>
      </c>
      <c r="I307" s="68" t="str">
        <f aca="false">VLOOKUP(A307,BD_ORDENES!A:BE,18,FALSE())</f>
        <v>GALICIA</v>
      </c>
      <c r="J307" s="68" t="str">
        <f aca="false">VLOOKUP(A307,BD_ORDENES!A:BE,19,FALSE())</f>
        <v>DICOSTA</v>
      </c>
      <c r="K307" s="68" t="str">
        <f aca="false">VLOOKUP(A307,BD_ORDENES!A:BE,20,FALSE())</f>
        <v>GRIS</v>
      </c>
      <c r="L307" s="68" t="str">
        <f aca="false">VLOOKUP(A307,BD_ORDENES!A:BE,21,FALSE())</f>
        <v>MATIZ-CAOBA</v>
      </c>
      <c r="M307" s="69" t="n">
        <f aca="false">VLOOKUP(A307,BD_ORDENES!A:BE,14,FALSE())</f>
        <v>2</v>
      </c>
      <c r="N307" s="68" t="n">
        <f aca="false">VLOOKUP(A307,BD_ORDENES!A:BE,15,FALSE())</f>
        <v>0</v>
      </c>
      <c r="O307" s="68" t="str">
        <f aca="false">VLOOKUP(A307,BD_ORDENES!A:BE,33,FALSE())</f>
        <v>TRANSPORTADORA</v>
      </c>
      <c r="P307" s="68" t="n">
        <f aca="false">VLOOKUP(A307,BD_ORDENES!A:BE,23,FALSE())</f>
        <v>0</v>
      </c>
      <c r="Q307" s="68" t="str">
        <f aca="false">VLOOKUP(A307,BD_ORDENES!A:BE,52,FALSE())</f>
        <v>Obtener Bajo Pedido (MTO)</v>
      </c>
      <c r="R307" s="68" t="str">
        <f aca="false">VLOOKUP(A307,BD_ORDENES!A:BE,25,FALSE())</f>
        <v>ZIPAQUIRA</v>
      </c>
      <c r="S307" s="68" t="str">
        <f aca="false">VLOOKUP(A307,BD_ORDENES!A:BE,22,FALSE())</f>
        <v>GIOVANNI ALIRIO ROMERO ORTIZ</v>
      </c>
      <c r="T307" s="65" t="str">
        <f aca="false">VLOOKUP(A307,BD_ORDENES!A:BE,55,FALSE())</f>
        <v>PRODUCCION</v>
      </c>
      <c r="U307" s="68" t="str">
        <f aca="false">VLOOKUP(A307,BD_ORDENES!A:BE,57,FALSE())</f>
        <v>1 ENVIA</v>
      </c>
      <c r="V307" s="70"/>
      <c r="W307" s="71"/>
    </row>
    <row r="308" s="72" customFormat="true" ht="98.25" hidden="false" customHeight="true" outlineLevel="0" collapsed="false">
      <c r="A308" s="62" t="n">
        <f aca="false">A307+1</f>
        <v>301</v>
      </c>
      <c r="B308" s="63" t="str">
        <f aca="false">VLOOKUP(A308,BD_ORDENES!A:BG,12,FALSE())</f>
        <v>__export__.product_product_316774_5def6e64</v>
      </c>
      <c r="C308" s="64" t="n">
        <v>301</v>
      </c>
      <c r="D308" s="65" t="str">
        <f aca="false">VLOOKUP(A308,BD_ORDENES!A:BE,10,0)</f>
        <v>TIENDA GALERIAS</v>
      </c>
      <c r="E308" s="66" t="str">
        <f aca="false">VLOOKUP(A308,BD_ORDENES!A:BG,4,FALSE())</f>
        <v>ET2306</v>
      </c>
      <c r="F308" s="66" t="str">
        <f aca="false">VLOOKUP(A308,BD_ORDENES!A:BE,56,FALSE())</f>
        <v>S268839</v>
      </c>
      <c r="G308" s="67" t="str">
        <f aca="false">VLOOKUP(A308,BD_ORDENES!A:BE,13,FALSE())</f>
        <v>SILLA GALICIA DICOSTA MOSTAZA (MATIZ CAOBA)</v>
      </c>
      <c r="H308" s="68" t="str">
        <f aca="false">VLOOKUP(A308,BD_ORDENES!A:BE,17,FALSE())</f>
        <v>SILLA-MADERA</v>
      </c>
      <c r="I308" s="68" t="str">
        <f aca="false">VLOOKUP(A308,BD_ORDENES!A:BE,18,FALSE())</f>
        <v>GALICIA</v>
      </c>
      <c r="J308" s="68" t="str">
        <f aca="false">VLOOKUP(A308,BD_ORDENES!A:BE,19,FALSE())</f>
        <v>DICOSTA</v>
      </c>
      <c r="K308" s="68" t="str">
        <f aca="false">VLOOKUP(A308,BD_ORDENES!A:BE,20,FALSE())</f>
        <v>MOSTAZA</v>
      </c>
      <c r="L308" s="68" t="str">
        <f aca="false">VLOOKUP(A308,BD_ORDENES!A:BE,21,FALSE())</f>
        <v>MATIZ-CAOBA</v>
      </c>
      <c r="M308" s="69" t="n">
        <f aca="false">VLOOKUP(A308,BD_ORDENES!A:BE,14,FALSE())</f>
        <v>2</v>
      </c>
      <c r="N308" s="68" t="n">
        <f aca="false">VLOOKUP(A308,BD_ORDENES!A:BE,15,FALSE())</f>
        <v>0</v>
      </c>
      <c r="O308" s="68" t="str">
        <f aca="false">VLOOKUP(A308,BD_ORDENES!A:BE,33,FALSE())</f>
        <v>TRANSPORTADORA</v>
      </c>
      <c r="P308" s="68" t="n">
        <f aca="false">VLOOKUP(A308,BD_ORDENES!A:BE,23,FALSE())</f>
        <v>0</v>
      </c>
      <c r="Q308" s="68" t="str">
        <f aca="false">VLOOKUP(A308,BD_ORDENES!A:BE,52,FALSE())</f>
        <v>Obtener Bajo Pedido (MTO)</v>
      </c>
      <c r="R308" s="68" t="str">
        <f aca="false">VLOOKUP(A308,BD_ORDENES!A:BE,25,FALSE())</f>
        <v>ZIPAQUIRA</v>
      </c>
      <c r="S308" s="68" t="str">
        <f aca="false">VLOOKUP(A308,BD_ORDENES!A:BE,22,FALSE())</f>
        <v>GIOVANNI ALIRIO ROMERO ORTIZ</v>
      </c>
      <c r="T308" s="65" t="str">
        <f aca="false">VLOOKUP(A308,BD_ORDENES!A:BE,55,FALSE())</f>
        <v>PRODUCCION</v>
      </c>
      <c r="U308" s="68" t="str">
        <f aca="false">VLOOKUP(A308,BD_ORDENES!A:BE,57,FALSE())</f>
        <v>1 ENVIA</v>
      </c>
      <c r="V308" s="70"/>
      <c r="W308" s="71"/>
    </row>
    <row r="309" s="72" customFormat="true" ht="98.25" hidden="false" customHeight="true" outlineLevel="0" collapsed="false">
      <c r="A309" s="62" t="n">
        <f aca="false">A308+1</f>
        <v>302</v>
      </c>
      <c r="B309" s="63" t="str">
        <f aca="false">VLOOKUP(A309,BD_ORDENES!A:BG,12,FALSE())</f>
        <v>__export__.product_product_268326_89df8170</v>
      </c>
      <c r="C309" s="64" t="n">
        <v>302</v>
      </c>
      <c r="D309" s="65" t="str">
        <f aca="false">VLOOKUP(A309,BD_ORDENES!A:BE,10,0)</f>
        <v>TIENDA GALERIAS</v>
      </c>
      <c r="E309" s="66" t="str">
        <f aca="false">VLOOKUP(A309,BD_ORDENES!A:BG,4,FALSE())</f>
        <v>ET2304</v>
      </c>
      <c r="F309" s="66" t="str">
        <f aca="false">VLOOKUP(A309,BD_ORDENES!A:BE,56,FALSE())</f>
        <v>S268834</v>
      </c>
      <c r="G309" s="67" t="str">
        <f aca="false">VLOOKUP(A309,BD_ORDENES!A:BE,13,FALSE())</f>
        <v>CHAISE BRAZO IZQUIERDO CHELSEA DICOSTA TAUPE (MATIZ NATURAL)</v>
      </c>
      <c r="H309" s="68" t="str">
        <f aca="false">VLOOKUP(A309,BD_ORDENES!A:BE,17,FALSE())</f>
        <v>CHAISE</v>
      </c>
      <c r="I309" s="68" t="str">
        <f aca="false">VLOOKUP(A309,BD_ORDENES!A:BE,18,FALSE())</f>
        <v>BRAZO-IZQUIERDO-CHELSEA</v>
      </c>
      <c r="J309" s="68" t="str">
        <f aca="false">VLOOKUP(A309,BD_ORDENES!A:BE,19,FALSE())</f>
        <v>DICOSTA</v>
      </c>
      <c r="K309" s="68" t="str">
        <f aca="false">VLOOKUP(A309,BD_ORDENES!A:BE,20,FALSE())</f>
        <v>TAUPE</v>
      </c>
      <c r="L309" s="68" t="str">
        <f aca="false">VLOOKUP(A309,BD_ORDENES!A:BE,21,FALSE())</f>
        <v>MATIZ-NATURAL</v>
      </c>
      <c r="M309" s="69" t="n">
        <f aca="false">VLOOKUP(A309,BD_ORDENES!A:BE,14,FALSE())</f>
        <v>1</v>
      </c>
      <c r="N309" s="68" t="n">
        <f aca="false">VLOOKUP(A309,BD_ORDENES!A:BE,15,FALSE())</f>
        <v>0</v>
      </c>
      <c r="O309" s="68" t="str">
        <f aca="false">VLOOKUP(A309,BD_ORDENES!A:BE,33,FALSE())</f>
        <v>TRANSPORTADORA HVM BGT</v>
      </c>
      <c r="P309" s="68" t="n">
        <f aca="false">VLOOKUP(A309,BD_ORDENES!A:BE,23,FALSE())</f>
        <v>0</v>
      </c>
      <c r="Q309" s="68" t="str">
        <f aca="false">VLOOKUP(A309,BD_ORDENES!A:BE,52,FALSE())</f>
        <v>Obtener Bajo Pedido (MTO)</v>
      </c>
      <c r="R309" s="68" t="str">
        <f aca="false">VLOOKUP(A309,BD_ORDENES!A:BE,25,FALSE())</f>
        <v>BOGOTA</v>
      </c>
      <c r="S309" s="68" t="str">
        <f aca="false">VLOOKUP(A309,BD_ORDENES!A:BE,22,FALSE())</f>
        <v>WENDY PAOLA VILLAMIZAR QUINTERO</v>
      </c>
      <c r="T309" s="65" t="str">
        <f aca="false">VLOOKUP(A309,BD_ORDENES!A:BE,55,FALSE())</f>
        <v>BODEGA LISTO</v>
      </c>
      <c r="U309" s="68" t="str">
        <f aca="false">VLOOKUP(A309,BD_ORDENES!A:BE,57,FALSE())</f>
        <v>8 VENECIA</v>
      </c>
      <c r="V309" s="70"/>
      <c r="W309" s="71"/>
    </row>
    <row r="310" s="72" customFormat="true" ht="98.25" hidden="false" customHeight="true" outlineLevel="0" collapsed="false">
      <c r="A310" s="62" t="n">
        <f aca="false">A309+1</f>
        <v>303</v>
      </c>
      <c r="B310" s="63" t="str">
        <f aca="false">VLOOKUP(A310,BD_ORDENES!A:BG,12,FALSE())</f>
        <v>__export__.product_product_268257_1d30c21c</v>
      </c>
      <c r="C310" s="64" t="n">
        <v>303</v>
      </c>
      <c r="D310" s="65" t="str">
        <f aca="false">VLOOKUP(A310,BD_ORDENES!A:BE,10,0)</f>
        <v>TIENDA GALERIAS</v>
      </c>
      <c r="E310" s="66" t="str">
        <f aca="false">VLOOKUP(A310,BD_ORDENES!A:BG,4,FALSE())</f>
        <v>ET2304</v>
      </c>
      <c r="F310" s="66" t="str">
        <f aca="false">VLOOKUP(A310,BD_ORDENES!A:BE,56,FALSE())</f>
        <v>S268834</v>
      </c>
      <c r="G310" s="67" t="str">
        <f aca="false">VLOOKUP(A310,BD_ORDENES!A:BE,13,FALSE())</f>
        <v>SOFA BRAZO DERECHO CHELSEA DICOSTA TAUPE (MATIZ NATURAL)</v>
      </c>
      <c r="H310" s="68" t="str">
        <f aca="false">VLOOKUP(A310,BD_ORDENES!A:BE,17,FALSE())</f>
        <v>SOFA</v>
      </c>
      <c r="I310" s="68" t="str">
        <f aca="false">VLOOKUP(A310,BD_ORDENES!A:BE,18,FALSE())</f>
        <v>BRAZO-DERECHO-CHELSEA</v>
      </c>
      <c r="J310" s="68" t="str">
        <f aca="false">VLOOKUP(A310,BD_ORDENES!A:BE,19,FALSE())</f>
        <v>DICOSTA</v>
      </c>
      <c r="K310" s="68" t="str">
        <f aca="false">VLOOKUP(A310,BD_ORDENES!A:BE,20,FALSE())</f>
        <v>TAUPE</v>
      </c>
      <c r="L310" s="68" t="str">
        <f aca="false">VLOOKUP(A310,BD_ORDENES!A:BE,21,FALSE())</f>
        <v>MATIZ-NATURAL</v>
      </c>
      <c r="M310" s="69" t="n">
        <f aca="false">VLOOKUP(A310,BD_ORDENES!A:BE,14,FALSE())</f>
        <v>1</v>
      </c>
      <c r="N310" s="68" t="n">
        <f aca="false">VLOOKUP(A310,BD_ORDENES!A:BE,15,FALSE())</f>
        <v>0</v>
      </c>
      <c r="O310" s="68" t="str">
        <f aca="false">VLOOKUP(A310,BD_ORDENES!A:BE,33,FALSE())</f>
        <v>TRANSPORTADORA HVM BGT</v>
      </c>
      <c r="P310" s="68" t="n">
        <f aca="false">VLOOKUP(A310,BD_ORDENES!A:BE,23,FALSE())</f>
        <v>0</v>
      </c>
      <c r="Q310" s="68" t="str">
        <f aca="false">VLOOKUP(A310,BD_ORDENES!A:BE,52,FALSE())</f>
        <v>Obtener Bajo Pedido (MTO)</v>
      </c>
      <c r="R310" s="68" t="str">
        <f aca="false">VLOOKUP(A310,BD_ORDENES!A:BE,25,FALSE())</f>
        <v>BOGOTA</v>
      </c>
      <c r="S310" s="68" t="str">
        <f aca="false">VLOOKUP(A310,BD_ORDENES!A:BE,22,FALSE())</f>
        <v>WENDY PAOLA VILLAMIZAR QUINTERO</v>
      </c>
      <c r="T310" s="65" t="str">
        <f aca="false">VLOOKUP(A310,BD_ORDENES!A:BE,55,FALSE())</f>
        <v>BODEGA LISTO</v>
      </c>
      <c r="U310" s="68" t="str">
        <f aca="false">VLOOKUP(A310,BD_ORDENES!A:BE,57,FALSE())</f>
        <v>8 VENECIA</v>
      </c>
      <c r="V310" s="70"/>
      <c r="W310" s="71"/>
    </row>
    <row r="311" s="72" customFormat="true" ht="98.25" hidden="false" customHeight="true" outlineLevel="0" collapsed="false">
      <c r="A311" s="62" t="n">
        <f aca="false">A310+1</f>
        <v>304</v>
      </c>
      <c r="B311" s="63" t="str">
        <f aca="false">VLOOKUP(A311,BD_ORDENES!A:BG,12,FALSE())</f>
        <v>__export__.product_product_334549_aa8d4e51</v>
      </c>
      <c r="C311" s="64" t="n">
        <v>304</v>
      </c>
      <c r="D311" s="65" t="str">
        <f aca="false">VLOOKUP(A311,BD_ORDENES!A:BE,10,0)</f>
        <v>TIENDA CEDRITOS</v>
      </c>
      <c r="E311" s="66" t="str">
        <f aca="false">VLOOKUP(A311,BD_ORDENES!A:BG,4,FALSE())</f>
        <v>DQ1522</v>
      </c>
      <c r="F311" s="66" t="str">
        <f aca="false">VLOOKUP(A311,BD_ORDENES!A:BE,56,FALSE())</f>
        <v>S268828</v>
      </c>
      <c r="G311" s="67" t="str">
        <f aca="false">VLOOKUP(A311,BD_ORDENES!A:BE,13,FALSE())</f>
        <v>SOFA ZEN SKY BEIGE (MATIZ CARAMELO)</v>
      </c>
      <c r="H311" s="68" t="str">
        <f aca="false">VLOOKUP(A311,BD_ORDENES!A:BE,17,FALSE())</f>
        <v>SOFA</v>
      </c>
      <c r="I311" s="68" t="str">
        <f aca="false">VLOOKUP(A311,BD_ORDENES!A:BE,18,FALSE())</f>
        <v>SELENA</v>
      </c>
      <c r="J311" s="68" t="str">
        <f aca="false">VLOOKUP(A311,BD_ORDENES!A:BE,19,FALSE())</f>
        <v>SKY</v>
      </c>
      <c r="K311" s="68" t="str">
        <f aca="false">VLOOKUP(A311,BD_ORDENES!A:BE,20,FALSE())</f>
        <v>BEIGE</v>
      </c>
      <c r="L311" s="68" t="str">
        <f aca="false">VLOOKUP(A311,BD_ORDENES!A:BE,21,FALSE())</f>
        <v>MATIZ-CARAMELO</v>
      </c>
      <c r="M311" s="69" t="n">
        <f aca="false">VLOOKUP(A311,BD_ORDENES!A:BE,14,FALSE())</f>
        <v>1</v>
      </c>
      <c r="N311" s="68" t="n">
        <f aca="false">VLOOKUP(A311,BD_ORDENES!A:BE,15,FALSE())</f>
        <v>0</v>
      </c>
      <c r="O311" s="68" t="str">
        <f aca="false">VLOOKUP(A311,BD_ORDENES!A:BE,33,FALSE())</f>
        <v>TRANSPORTADORA HVM BGT</v>
      </c>
      <c r="P311" s="68" t="n">
        <f aca="false">VLOOKUP(A311,BD_ORDENES!A:BE,23,FALSE())</f>
        <v>0</v>
      </c>
      <c r="Q311" s="68" t="str">
        <f aca="false">VLOOKUP(A311,BD_ORDENES!A:BE,52,FALSE())</f>
        <v>Obtener Bajo Pedido (MTO)</v>
      </c>
      <c r="R311" s="68" t="str">
        <f aca="false">VLOOKUP(A311,BD_ORDENES!A:BE,25,FALSE())</f>
        <v>BOGOTA</v>
      </c>
      <c r="S311" s="68" t="str">
        <f aca="false">VLOOKUP(A311,BD_ORDENES!A:BE,22,FALSE())</f>
        <v>BLANCA BENITA PACHON PERALTA</v>
      </c>
      <c r="T311" s="65" t="str">
        <f aca="false">VLOOKUP(A311,BD_ORDENES!A:BE,55,FALSE())</f>
        <v>BODEGA LISTO</v>
      </c>
      <c r="U311" s="68" t="str">
        <f aca="false">VLOOKUP(A311,BD_ORDENES!A:BE,57,FALSE())</f>
        <v>8 VENECIA</v>
      </c>
      <c r="V311" s="70"/>
      <c r="W311" s="71"/>
    </row>
    <row r="312" s="72" customFormat="true" ht="98.25" hidden="false" customHeight="true" outlineLevel="0" collapsed="false">
      <c r="A312" s="62" t="n">
        <f aca="false">A311+1</f>
        <v>305</v>
      </c>
      <c r="B312" s="63" t="str">
        <f aca="false">VLOOKUP(A312,BD_ORDENES!A:BG,12,FALSE())</f>
        <v>__export__.product_product_323881_20bd28c3</v>
      </c>
      <c r="C312" s="64" t="n">
        <v>305</v>
      </c>
      <c r="D312" s="65" t="str">
        <f aca="false">VLOOKUP(A312,BD_ORDENES!A:BE,10,0)</f>
        <v>TIENDA CEDRITOS</v>
      </c>
      <c r="E312" s="66" t="str">
        <f aca="false">VLOOKUP(A312,BD_ORDENES!A:BG,4,FALSE())</f>
        <v>DQ1522</v>
      </c>
      <c r="F312" s="66" t="str">
        <f aca="false">VLOOKUP(A312,BD_ORDENES!A:BE,56,FALSE())</f>
        <v>S268828</v>
      </c>
      <c r="G312" s="67" t="str">
        <f aca="false">VLOOKUP(A312,BD_ORDENES!A:BE,13,FALSE())</f>
        <v>TL TELA SKY BEIGE</v>
      </c>
      <c r="H312" s="68" t="n">
        <f aca="false">VLOOKUP(A312,BD_ORDENES!A:BE,17,FALSE())</f>
        <v>0</v>
      </c>
      <c r="I312" s="68" t="str">
        <f aca="false">VLOOKUP(A312,BD_ORDENES!A:BE,18,FALSE())</f>
        <v>TL-TELA-SKY-BEIGE</v>
      </c>
      <c r="J312" s="68" t="n">
        <f aca="false">VLOOKUP(A312,BD_ORDENES!A:BE,19,FALSE())</f>
        <v>0</v>
      </c>
      <c r="K312" s="68" t="n">
        <f aca="false">VLOOKUP(A312,BD_ORDENES!A:BE,20,FALSE())</f>
        <v>0</v>
      </c>
      <c r="L312" s="68" t="n">
        <f aca="false">VLOOKUP(A312,BD_ORDENES!A:BE,21,FALSE())</f>
        <v>0</v>
      </c>
      <c r="M312" s="69" t="n">
        <f aca="false">VLOOKUP(A312,BD_ORDENES!A:BE,14,FALSE())</f>
        <v>10</v>
      </c>
      <c r="N312" s="68" t="n">
        <f aca="false">VLOOKUP(A312,BD_ORDENES!A:BE,15,FALSE())</f>
        <v>0</v>
      </c>
      <c r="O312" s="68" t="str">
        <f aca="false">VLOOKUP(A312,BD_ORDENES!A:BE,33,FALSE())</f>
        <v>TRANSPORTADORA HVM BGT</v>
      </c>
      <c r="P312" s="68" t="n">
        <f aca="false">VLOOKUP(A312,BD_ORDENES!A:BE,23,FALSE())</f>
        <v>0</v>
      </c>
      <c r="Q312" s="68" t="str">
        <f aca="false">VLOOKUP(A312,BD_ORDENES!A:BE,52,FALSE())</f>
        <v>Obtener Bajo Pedido (MTO)</v>
      </c>
      <c r="R312" s="68" t="str">
        <f aca="false">VLOOKUP(A312,BD_ORDENES!A:BE,25,FALSE())</f>
        <v>BOGOTA</v>
      </c>
      <c r="S312" s="68" t="str">
        <f aca="false">VLOOKUP(A312,BD_ORDENES!A:BE,22,FALSE())</f>
        <v>BLANCA BENITA PACHON PERALTA</v>
      </c>
      <c r="T312" s="65" t="str">
        <f aca="false">VLOOKUP(A312,BD_ORDENES!A:BE,55,FALSE())</f>
        <v>BODEGA LISTO</v>
      </c>
      <c r="U312" s="68" t="str">
        <f aca="false">VLOOKUP(A312,BD_ORDENES!A:BE,57,FALSE())</f>
        <v>8 VENECIA</v>
      </c>
      <c r="V312" s="70"/>
      <c r="W312" s="71"/>
    </row>
    <row r="313" s="72" customFormat="true" ht="98.25" hidden="false" customHeight="true" outlineLevel="0" collapsed="false">
      <c r="A313" s="62" t="n">
        <f aca="false">A312+1</f>
        <v>306</v>
      </c>
      <c r="B313" s="63" t="str">
        <f aca="false">VLOOKUP(A313,BD_ORDENES!A:BG,12,FALSE())</f>
        <v>__export__.product_product_327030_e7785705</v>
      </c>
      <c r="C313" s="64" t="n">
        <v>306</v>
      </c>
      <c r="D313" s="65" t="str">
        <f aca="false">VLOOKUP(A313,BD_ORDENES!A:BE,10,0)</f>
        <v>TIENDA CEDRITOS</v>
      </c>
      <c r="E313" s="66" t="str">
        <f aca="false">VLOOKUP(A313,BD_ORDENES!A:BG,4,FALSE())</f>
        <v>DQ1522</v>
      </c>
      <c r="F313" s="66" t="str">
        <f aca="false">VLOOKUP(A313,BD_ORDENES!A:BE,56,FALSE())</f>
        <v>S268828</v>
      </c>
      <c r="G313" s="67" t="str">
        <f aca="false">VLOOKUP(A313,BD_ORDENES!A:BE,13,FALSE())</f>
        <v>TL TELA SKY TURQUESA</v>
      </c>
      <c r="H313" s="68" t="n">
        <f aca="false">VLOOKUP(A313,BD_ORDENES!A:BE,17,FALSE())</f>
        <v>0</v>
      </c>
      <c r="I313" s="68" t="str">
        <f aca="false">VLOOKUP(A313,BD_ORDENES!A:BE,18,FALSE())</f>
        <v>TL-TELA-SKY-TURQUESA</v>
      </c>
      <c r="J313" s="68" t="n">
        <f aca="false">VLOOKUP(A313,BD_ORDENES!A:BE,19,FALSE())</f>
        <v>0</v>
      </c>
      <c r="K313" s="68" t="n">
        <f aca="false">VLOOKUP(A313,BD_ORDENES!A:BE,20,FALSE())</f>
        <v>0</v>
      </c>
      <c r="L313" s="68" t="n">
        <f aca="false">VLOOKUP(A313,BD_ORDENES!A:BE,21,FALSE())</f>
        <v>0</v>
      </c>
      <c r="M313" s="69" t="n">
        <f aca="false">VLOOKUP(A313,BD_ORDENES!A:BE,14,FALSE())</f>
        <v>4</v>
      </c>
      <c r="N313" s="68" t="n">
        <f aca="false">VLOOKUP(A313,BD_ORDENES!A:BE,15,FALSE())</f>
        <v>0</v>
      </c>
      <c r="O313" s="68" t="str">
        <f aca="false">VLOOKUP(A313,BD_ORDENES!A:BE,33,FALSE())</f>
        <v>TRANSPORTADORA HVM BGT</v>
      </c>
      <c r="P313" s="68" t="n">
        <f aca="false">VLOOKUP(A313,BD_ORDENES!A:BE,23,FALSE())</f>
        <v>0</v>
      </c>
      <c r="Q313" s="68" t="str">
        <f aca="false">VLOOKUP(A313,BD_ORDENES!A:BE,52,FALSE())</f>
        <v>Obtener Bajo Pedido (MTO)</v>
      </c>
      <c r="R313" s="68" t="str">
        <f aca="false">VLOOKUP(A313,BD_ORDENES!A:BE,25,FALSE())</f>
        <v>BOGOTA</v>
      </c>
      <c r="S313" s="68" t="str">
        <f aca="false">VLOOKUP(A313,BD_ORDENES!A:BE,22,FALSE())</f>
        <v>BLANCA BENITA PACHON PERALTA</v>
      </c>
      <c r="T313" s="65" t="str">
        <f aca="false">VLOOKUP(A313,BD_ORDENES!A:BE,55,FALSE())</f>
        <v>BODEGA LISTO</v>
      </c>
      <c r="U313" s="68" t="str">
        <f aca="false">VLOOKUP(A313,BD_ORDENES!A:BE,57,FALSE())</f>
        <v>8 VENECIA</v>
      </c>
      <c r="V313" s="70"/>
      <c r="W313" s="71"/>
    </row>
    <row r="314" s="72" customFormat="true" ht="98.25" hidden="false" customHeight="true" outlineLevel="0" collapsed="false">
      <c r="A314" s="62" t="n">
        <f aca="false">A313+1</f>
        <v>307</v>
      </c>
      <c r="B314" s="63" t="str">
        <f aca="false">VLOOKUP(A314,BD_ORDENES!A:BG,12,FALSE())</f>
        <v>__export__.product_product_163721_5e390946</v>
      </c>
      <c r="C314" s="64" t="n">
        <v>307</v>
      </c>
      <c r="D314" s="65" t="str">
        <f aca="false">VLOOKUP(A314,BD_ORDENES!A:BE,10,0)</f>
        <v>TIENDA SUBA</v>
      </c>
      <c r="E314" s="66" t="str">
        <f aca="false">VLOOKUP(A314,BD_ORDENES!A:BG,4,FALSE())</f>
        <v>RL052</v>
      </c>
      <c r="F314" s="66" t="str">
        <f aca="false">VLOOKUP(A314,BD_ORDENES!A:BE,56,FALSE())</f>
        <v>S268826</v>
      </c>
      <c r="G314" s="67" t="str">
        <f aca="false">VLOOKUP(A314,BD_ORDENES!A:BE,13,FALSE())</f>
        <v>MESA MERIDA JG6 DUNA</v>
      </c>
      <c r="H314" s="68" t="str">
        <f aca="false">VLOOKUP(A314,BD_ORDENES!A:BE,17,FALSE())</f>
        <v>MESA</v>
      </c>
      <c r="I314" s="68" t="str">
        <f aca="false">VLOOKUP(A314,BD_ORDENES!A:BE,18,FALSE())</f>
        <v>MERIDA-JG6</v>
      </c>
      <c r="J314" s="68" t="n">
        <f aca="false">VLOOKUP(A314,BD_ORDENES!A:BE,19,FALSE())</f>
        <v>0</v>
      </c>
      <c r="K314" s="68" t="str">
        <f aca="false">VLOOKUP(A314,BD_ORDENES!A:BE,20,FALSE())</f>
        <v>DUNA</v>
      </c>
      <c r="L314" s="68" t="n">
        <f aca="false">VLOOKUP(A314,BD_ORDENES!A:BE,21,FALSE())</f>
        <v>0</v>
      </c>
      <c r="M314" s="69" t="n">
        <f aca="false">VLOOKUP(A314,BD_ORDENES!A:BE,14,FALSE())</f>
        <v>1</v>
      </c>
      <c r="N314" s="68" t="n">
        <f aca="false">VLOOKUP(A314,BD_ORDENES!A:BE,15,FALSE())</f>
        <v>0</v>
      </c>
      <c r="O314" s="68" t="str">
        <f aca="false">VLOOKUP(A314,BD_ORDENES!A:BE,33,FALSE())</f>
        <v>TRANSPORTADORA HVM BGT</v>
      </c>
      <c r="P314" s="68" t="n">
        <f aca="false">VLOOKUP(A314,BD_ORDENES!A:BE,23,FALSE())</f>
        <v>0</v>
      </c>
      <c r="Q314" s="68" t="str">
        <f aca="false">VLOOKUP(A314,BD_ORDENES!A:BE,52,FALSE())</f>
        <v>Obtener Bajo Pedido (MTO)</v>
      </c>
      <c r="R314" s="68" t="str">
        <f aca="false">VLOOKUP(A314,BD_ORDENES!A:BE,25,FALSE())</f>
        <v>BOGOTA</v>
      </c>
      <c r="S314" s="68" t="str">
        <f aca="false">VLOOKUP(A314,BD_ORDENES!A:BE,22,FALSE())</f>
        <v>MIGUEL ANGEL BERNAL SOLORZANO</v>
      </c>
      <c r="T314" s="65" t="str">
        <f aca="false">VLOOKUP(A314,BD_ORDENES!A:BE,55,FALSE())</f>
        <v>BODEGA LISTO</v>
      </c>
      <c r="U314" s="68" t="str">
        <f aca="false">VLOOKUP(A314,BD_ORDENES!A:BE,57,FALSE())</f>
        <v>8 VENECIA</v>
      </c>
      <c r="V314" s="70"/>
      <c r="W314" s="71"/>
    </row>
    <row r="315" s="72" customFormat="true" ht="98.25" hidden="false" customHeight="true" outlineLevel="0" collapsed="false">
      <c r="A315" s="62" t="n">
        <f aca="false">A314+1</f>
        <v>308</v>
      </c>
      <c r="B315" s="63" t="str">
        <f aca="false">VLOOKUP(A315,BD_ORDENES!A:BG,12,FALSE())</f>
        <v>__export__.product_product_163888_a67bb55b</v>
      </c>
      <c r="C315" s="64" t="n">
        <v>308</v>
      </c>
      <c r="D315" s="65" t="str">
        <f aca="false">VLOOKUP(A315,BD_ORDENES!A:BE,10,0)</f>
        <v>TIENDA SUBA</v>
      </c>
      <c r="E315" s="66" t="str">
        <f aca="false">VLOOKUP(A315,BD_ORDENES!A:BG,4,FALSE())</f>
        <v>RL052</v>
      </c>
      <c r="F315" s="66" t="str">
        <f aca="false">VLOOKUP(A315,BD_ORDENES!A:BE,56,FALSE())</f>
        <v>S268826</v>
      </c>
      <c r="G315" s="67" t="str">
        <f aca="false">VLOOKUP(A315,BD_ORDENES!A:BE,13,FALSE())</f>
        <v>SILLA CAIRO DICOSTA ACERO (METALICA NATURAL)</v>
      </c>
      <c r="H315" s="68" t="str">
        <f aca="false">VLOOKUP(A315,BD_ORDENES!A:BE,17,FALSE())</f>
        <v>SILLA</v>
      </c>
      <c r="I315" s="68" t="str">
        <f aca="false">VLOOKUP(A315,BD_ORDENES!A:BE,18,FALSE())</f>
        <v>CAIRO</v>
      </c>
      <c r="J315" s="68" t="str">
        <f aca="false">VLOOKUP(A315,BD_ORDENES!A:BE,19,FALSE())</f>
        <v>DICOSTA</v>
      </c>
      <c r="K315" s="68" t="str">
        <f aca="false">VLOOKUP(A315,BD_ORDENES!A:BE,20,FALSE())</f>
        <v>ACERO</v>
      </c>
      <c r="L315" s="68" t="str">
        <f aca="false">VLOOKUP(A315,BD_ORDENES!A:BE,21,FALSE())</f>
        <v>METALICO-MATIZ-NATURAL</v>
      </c>
      <c r="M315" s="69" t="n">
        <f aca="false">VLOOKUP(A315,BD_ORDENES!A:BE,14,FALSE())</f>
        <v>3</v>
      </c>
      <c r="N315" s="68" t="n">
        <f aca="false">VLOOKUP(A315,BD_ORDENES!A:BE,15,FALSE())</f>
        <v>0</v>
      </c>
      <c r="O315" s="68" t="str">
        <f aca="false">VLOOKUP(A315,BD_ORDENES!A:BE,33,FALSE())</f>
        <v>TRANSPORTADORA HVM BGT</v>
      </c>
      <c r="P315" s="68" t="n">
        <f aca="false">VLOOKUP(A315,BD_ORDENES!A:BE,23,FALSE())</f>
        <v>0</v>
      </c>
      <c r="Q315" s="68" t="str">
        <f aca="false">VLOOKUP(A315,BD_ORDENES!A:BE,52,FALSE())</f>
        <v>Obtener Bajo Pedido (MTO)</v>
      </c>
      <c r="R315" s="68" t="str">
        <f aca="false">VLOOKUP(A315,BD_ORDENES!A:BE,25,FALSE())</f>
        <v>BOGOTA</v>
      </c>
      <c r="S315" s="68" t="str">
        <f aca="false">VLOOKUP(A315,BD_ORDENES!A:BE,22,FALSE())</f>
        <v>MIGUEL ANGEL BERNAL SOLORZANO</v>
      </c>
      <c r="T315" s="65" t="str">
        <f aca="false">VLOOKUP(A315,BD_ORDENES!A:BE,55,FALSE())</f>
        <v>BODEGA LISTO</v>
      </c>
      <c r="U315" s="68" t="str">
        <f aca="false">VLOOKUP(A315,BD_ORDENES!A:BE,57,FALSE())</f>
        <v>8 VENECIA</v>
      </c>
      <c r="V315" s="70"/>
      <c r="W315" s="71"/>
    </row>
    <row r="316" s="72" customFormat="true" ht="98.25" hidden="false" customHeight="true" outlineLevel="0" collapsed="false">
      <c r="A316" s="62" t="n">
        <f aca="false">A315+1</f>
        <v>309</v>
      </c>
      <c r="B316" s="63" t="str">
        <f aca="false">VLOOKUP(A316,BD_ORDENES!A:BG,12,FALSE())</f>
        <v>__export__.product_product_163906_f9137621</v>
      </c>
      <c r="C316" s="64" t="n">
        <v>309</v>
      </c>
      <c r="D316" s="65" t="str">
        <f aca="false">VLOOKUP(A316,BD_ORDENES!A:BE,10,0)</f>
        <v>TIENDA SUBA</v>
      </c>
      <c r="E316" s="66" t="str">
        <f aca="false">VLOOKUP(A316,BD_ORDENES!A:BG,4,FALSE())</f>
        <v>RL052</v>
      </c>
      <c r="F316" s="66" t="str">
        <f aca="false">VLOOKUP(A316,BD_ORDENES!A:BE,56,FALSE())</f>
        <v>S268826</v>
      </c>
      <c r="G316" s="67" t="str">
        <f aca="false">VLOOKUP(A316,BD_ORDENES!A:BE,13,FALSE())</f>
        <v>SILLA CAIRO DICOSTA INDIGO (METALICA NATURAL)</v>
      </c>
      <c r="H316" s="68" t="str">
        <f aca="false">VLOOKUP(A316,BD_ORDENES!A:BE,17,FALSE())</f>
        <v>SILLA</v>
      </c>
      <c r="I316" s="68" t="str">
        <f aca="false">VLOOKUP(A316,BD_ORDENES!A:BE,18,FALSE())</f>
        <v>CAIRO</v>
      </c>
      <c r="J316" s="68" t="str">
        <f aca="false">VLOOKUP(A316,BD_ORDENES!A:BE,19,FALSE())</f>
        <v>DICOSTA</v>
      </c>
      <c r="K316" s="68" t="str">
        <f aca="false">VLOOKUP(A316,BD_ORDENES!A:BE,20,FALSE())</f>
        <v>INDIGO</v>
      </c>
      <c r="L316" s="68" t="str">
        <f aca="false">VLOOKUP(A316,BD_ORDENES!A:BE,21,FALSE())</f>
        <v>METALICO-MATIZ-NATURAL</v>
      </c>
      <c r="M316" s="69" t="n">
        <f aca="false">VLOOKUP(A316,BD_ORDENES!A:BE,14,FALSE())</f>
        <v>3</v>
      </c>
      <c r="N316" s="68" t="n">
        <f aca="false">VLOOKUP(A316,BD_ORDENES!A:BE,15,FALSE())</f>
        <v>0</v>
      </c>
      <c r="O316" s="68" t="str">
        <f aca="false">VLOOKUP(A316,BD_ORDENES!A:BE,33,FALSE())</f>
        <v>TRANSPORTADORA HVM BGT</v>
      </c>
      <c r="P316" s="68" t="n">
        <f aca="false">VLOOKUP(A316,BD_ORDENES!A:BE,23,FALSE())</f>
        <v>0</v>
      </c>
      <c r="Q316" s="68" t="str">
        <f aca="false">VLOOKUP(A316,BD_ORDENES!A:BE,52,FALSE())</f>
        <v>Obtener Bajo Pedido (MTO)</v>
      </c>
      <c r="R316" s="68" t="str">
        <f aca="false">VLOOKUP(A316,BD_ORDENES!A:BE,25,FALSE())</f>
        <v>BOGOTA</v>
      </c>
      <c r="S316" s="68" t="str">
        <f aca="false">VLOOKUP(A316,BD_ORDENES!A:BE,22,FALSE())</f>
        <v>MIGUEL ANGEL BERNAL SOLORZANO</v>
      </c>
      <c r="T316" s="65" t="str">
        <f aca="false">VLOOKUP(A316,BD_ORDENES!A:BE,55,FALSE())</f>
        <v>BODEGA LISTO</v>
      </c>
      <c r="U316" s="68" t="str">
        <f aca="false">VLOOKUP(A316,BD_ORDENES!A:BE,57,FALSE())</f>
        <v>8 VENECIA</v>
      </c>
      <c r="V316" s="70"/>
      <c r="W316" s="71"/>
    </row>
    <row r="317" s="72" customFormat="true" ht="98.25" hidden="false" customHeight="true" outlineLevel="0" collapsed="false">
      <c r="A317" s="62" t="n">
        <f aca="false">A316+1</f>
        <v>310</v>
      </c>
      <c r="B317" s="63" t="str">
        <f aca="false">VLOOKUP(A317,BD_ORDENES!A:BG,12,FALSE())</f>
        <v>__export__.product_product_320368_8cbd5e4c</v>
      </c>
      <c r="C317" s="64" t="n">
        <v>310</v>
      </c>
      <c r="D317" s="65" t="str">
        <f aca="false">VLOOKUP(A317,BD_ORDENES!A:BE,10,0)</f>
        <v>FB</v>
      </c>
      <c r="E317" s="66" t="str">
        <f aca="false">VLOOKUP(A317,BD_ORDENES!A:BG,4,FALSE())</f>
        <v>RP3288</v>
      </c>
      <c r="F317" s="66" t="str">
        <f aca="false">VLOOKUP(A317,BD_ORDENES!A:BE,56,FALSE())</f>
        <v>S268824</v>
      </c>
      <c r="G317" s="67" t="str">
        <f aca="false">VLOOKUP(A317,BD_ORDENES!A:BE,13,FALSE())</f>
        <v>CAMA VIRGINIA DOBLE DICOSTA AQUA (MATIZ CARAMELO)</v>
      </c>
      <c r="H317" s="68" t="str">
        <f aca="false">VLOOKUP(A317,BD_ORDENES!A:BE,17,FALSE())</f>
        <v>CAMA</v>
      </c>
      <c r="I317" s="68" t="str">
        <f aca="false">VLOOKUP(A317,BD_ORDENES!A:BE,18,FALSE())</f>
        <v>VIRGINIA-DOBLE</v>
      </c>
      <c r="J317" s="68" t="str">
        <f aca="false">VLOOKUP(A317,BD_ORDENES!A:BE,19,FALSE())</f>
        <v>DICOSTA</v>
      </c>
      <c r="K317" s="68" t="str">
        <f aca="false">VLOOKUP(A317,BD_ORDENES!A:BE,20,FALSE())</f>
        <v>AQUA</v>
      </c>
      <c r="L317" s="68" t="str">
        <f aca="false">VLOOKUP(A317,BD_ORDENES!A:BE,21,FALSE())</f>
        <v>MATIZ-CARAMELO</v>
      </c>
      <c r="M317" s="69" t="n">
        <f aca="false">VLOOKUP(A317,BD_ORDENES!A:BE,14,FALSE())</f>
        <v>1</v>
      </c>
      <c r="N317" s="68" t="n">
        <f aca="false">VLOOKUP(A317,BD_ORDENES!A:BE,15,FALSE())</f>
        <v>0</v>
      </c>
      <c r="O317" s="68" t="str">
        <f aca="false">VLOOKUP(A317,BD_ORDENES!A:BE,33,FALSE())</f>
        <v>ENVIO TUNJA - SIN SALDO</v>
      </c>
      <c r="P317" s="68" t="n">
        <f aca="false">VLOOKUP(A317,BD_ORDENES!A:BE,23,FALSE())</f>
        <v>0</v>
      </c>
      <c r="Q317" s="68" t="str">
        <f aca="false">VLOOKUP(A317,BD_ORDENES!A:BE,52,FALSE())</f>
        <v>Obtener Bajo Pedido (MTO)</v>
      </c>
      <c r="R317" s="68" t="str">
        <f aca="false">VLOOKUP(A317,BD_ORDENES!A:BE,25,FALSE())</f>
        <v>TUNJA</v>
      </c>
      <c r="S317" s="68" t="str">
        <f aca="false">VLOOKUP(A317,BD_ORDENES!A:BE,22,FALSE())</f>
        <v>DANIEL FELIPE MONTAÑEZ INFANTE</v>
      </c>
      <c r="T317" s="65" t="str">
        <f aca="false">VLOOKUP(A317,BD_ORDENES!A:BE,55,FALSE())</f>
        <v>BODEGA LISTO</v>
      </c>
      <c r="U317" s="68" t="str">
        <f aca="false">VLOOKUP(A317,BD_ORDENES!A:BE,57,FALSE())</f>
        <v>0 BODEGA</v>
      </c>
      <c r="V317" s="70"/>
      <c r="W317" s="71"/>
    </row>
    <row r="318" s="72" customFormat="true" ht="98.25" hidden="false" customHeight="true" outlineLevel="0" collapsed="false">
      <c r="A318" s="62" t="n">
        <f aca="false">A317+1</f>
        <v>311</v>
      </c>
      <c r="B318" s="63" t="str">
        <f aca="false">VLOOKUP(A318,BD_ORDENES!A:BG,12,FALSE())</f>
        <v>__export__.product_product_244701_221a9788</v>
      </c>
      <c r="C318" s="64" t="n">
        <v>311</v>
      </c>
      <c r="D318" s="65" t="str">
        <f aca="false">VLOOKUP(A318,BD_ORDENES!A:BE,10,0)</f>
        <v>FB</v>
      </c>
      <c r="E318" s="66" t="str">
        <f aca="false">VLOOKUP(A318,BD_ORDENES!A:BG,4,FALSE())</f>
        <v>RP3288</v>
      </c>
      <c r="F318" s="66" t="str">
        <f aca="false">VLOOKUP(A318,BD_ORDENES!A:BE,56,FALSE())</f>
        <v>S268824</v>
      </c>
      <c r="G318" s="67" t="str">
        <f aca="false">VLOOKUP(A318,BD_ORDENES!A:BE,13,FALSE())</f>
        <v>COLCHON VERSALLES DOBLE</v>
      </c>
      <c r="H318" s="68" t="str">
        <f aca="false">VLOOKUP(A318,BD_ORDENES!A:BE,17,FALSE())</f>
        <v>COLCHON</v>
      </c>
      <c r="I318" s="68" t="str">
        <f aca="false">VLOOKUP(A318,BD_ORDENES!A:BE,18,FALSE())</f>
        <v>VERSALLES-DOBLE</v>
      </c>
      <c r="J318" s="68" t="n">
        <f aca="false">VLOOKUP(A318,BD_ORDENES!A:BE,19,FALSE())</f>
        <v>0</v>
      </c>
      <c r="K318" s="68" t="n">
        <f aca="false">VLOOKUP(A318,BD_ORDENES!A:BE,20,FALSE())</f>
        <v>0</v>
      </c>
      <c r="L318" s="68" t="n">
        <f aca="false">VLOOKUP(A318,BD_ORDENES!A:BE,21,FALSE())</f>
        <v>0</v>
      </c>
      <c r="M318" s="69" t="n">
        <f aca="false">VLOOKUP(A318,BD_ORDENES!A:BE,14,FALSE())</f>
        <v>1</v>
      </c>
      <c r="N318" s="68" t="n">
        <f aca="false">VLOOKUP(A318,BD_ORDENES!A:BE,15,FALSE())</f>
        <v>0</v>
      </c>
      <c r="O318" s="68" t="str">
        <f aca="false">VLOOKUP(A318,BD_ORDENES!A:BE,33,FALSE())</f>
        <v>ENVIO TUNJA - SIN SALDO</v>
      </c>
      <c r="P318" s="68" t="n">
        <f aca="false">VLOOKUP(A318,BD_ORDENES!A:BE,23,FALSE())</f>
        <v>0</v>
      </c>
      <c r="Q318" s="68" t="str">
        <f aca="false">VLOOKUP(A318,BD_ORDENES!A:BE,52,FALSE())</f>
        <v>Obtener Bajo Pedido (MTO)</v>
      </c>
      <c r="R318" s="68" t="str">
        <f aca="false">VLOOKUP(A318,BD_ORDENES!A:BE,25,FALSE())</f>
        <v>TUNJA</v>
      </c>
      <c r="S318" s="68" t="str">
        <f aca="false">VLOOKUP(A318,BD_ORDENES!A:BE,22,FALSE())</f>
        <v>DANIEL FELIPE MONTAÑEZ INFANTE</v>
      </c>
      <c r="T318" s="65" t="str">
        <f aca="false">VLOOKUP(A318,BD_ORDENES!A:BE,55,FALSE())</f>
        <v>BODEGA LISTO</v>
      </c>
      <c r="U318" s="68" t="str">
        <f aca="false">VLOOKUP(A318,BD_ORDENES!A:BE,57,FALSE())</f>
        <v>0 BODEGA</v>
      </c>
      <c r="V318" s="70"/>
      <c r="W318" s="71"/>
    </row>
    <row r="319" s="72" customFormat="true" ht="98.25" hidden="false" customHeight="true" outlineLevel="0" collapsed="false">
      <c r="A319" s="62" t="n">
        <f aca="false">A318+1</f>
        <v>312</v>
      </c>
      <c r="B319" s="63" t="str">
        <f aca="false">VLOOKUP(A319,BD_ORDENES!A:BG,12,FALSE())</f>
        <v>__export__.product_product_329282_ab077779</v>
      </c>
      <c r="C319" s="64" t="n">
        <v>312</v>
      </c>
      <c r="D319" s="65" t="str">
        <f aca="false">VLOOKUP(A319,BD_ORDENES!A:BE,10,0)</f>
        <v>TIENDA SUBA</v>
      </c>
      <c r="E319" s="66" t="str">
        <f aca="false">VLOOKUP(A319,BD_ORDENES!A:BG,4,FALSE())</f>
        <v>HL557</v>
      </c>
      <c r="F319" s="66" t="str">
        <f aca="false">VLOOKUP(A319,BD_ORDENES!A:BE,56,FALSE())</f>
        <v>S268820</v>
      </c>
      <c r="G319" s="67" t="str">
        <f aca="false">VLOOKUP(A319,BD_ORDENES!A:BE,13,FALSE())</f>
        <v>MESA WISCONSIN JG4 BLANCO (MATIZ CAOBA)</v>
      </c>
      <c r="H319" s="68" t="str">
        <f aca="false">VLOOKUP(A319,BD_ORDENES!A:BE,17,FALSE())</f>
        <v>MESA</v>
      </c>
      <c r="I319" s="68" t="str">
        <f aca="false">VLOOKUP(A319,BD_ORDENES!A:BE,18,FALSE())</f>
        <v>WISCONSIN-JG4</v>
      </c>
      <c r="J319" s="68" t="n">
        <f aca="false">VLOOKUP(A319,BD_ORDENES!A:BE,19,FALSE())</f>
        <v>0</v>
      </c>
      <c r="K319" s="68" t="str">
        <f aca="false">VLOOKUP(A319,BD_ORDENES!A:BE,20,FALSE())</f>
        <v>BLANCO</v>
      </c>
      <c r="L319" s="68" t="str">
        <f aca="false">VLOOKUP(A319,BD_ORDENES!A:BE,21,FALSE())</f>
        <v>MATIZ-CAOBA</v>
      </c>
      <c r="M319" s="69" t="n">
        <f aca="false">VLOOKUP(A319,BD_ORDENES!A:BE,14,FALSE())</f>
        <v>1</v>
      </c>
      <c r="N319" s="68" t="n">
        <f aca="false">VLOOKUP(A319,BD_ORDENES!A:BE,15,FALSE())</f>
        <v>0</v>
      </c>
      <c r="O319" s="68" t="str">
        <f aca="false">VLOOKUP(A319,BD_ORDENES!A:BE,33,FALSE())</f>
        <v>TRANSPORTADORA HVM BGT</v>
      </c>
      <c r="P319" s="68" t="n">
        <f aca="false">VLOOKUP(A319,BD_ORDENES!A:BE,23,FALSE())</f>
        <v>0</v>
      </c>
      <c r="Q319" s="68" t="str">
        <f aca="false">VLOOKUP(A319,BD_ORDENES!A:BE,52,FALSE())</f>
        <v>Obtener Bajo Pedido (MTO)</v>
      </c>
      <c r="R319" s="68" t="str">
        <f aca="false">VLOOKUP(A319,BD_ORDENES!A:BE,25,FALSE())</f>
        <v>BOGOTA</v>
      </c>
      <c r="S319" s="68" t="str">
        <f aca="false">VLOOKUP(A319,BD_ORDENES!A:BE,22,FALSE())</f>
        <v>KAREN TATIANA GUALDRON CHAPARRO</v>
      </c>
      <c r="T319" s="65" t="str">
        <f aca="false">VLOOKUP(A319,BD_ORDENES!A:BE,55,FALSE())</f>
        <v>BODEGA LISTO</v>
      </c>
      <c r="U319" s="68" t="str">
        <f aca="false">VLOOKUP(A319,BD_ORDENES!A:BE,57,FALSE())</f>
        <v>8 VENECIA</v>
      </c>
      <c r="V319" s="70"/>
      <c r="W319" s="71"/>
    </row>
    <row r="320" s="72" customFormat="true" ht="98.25" hidden="false" customHeight="true" outlineLevel="0" collapsed="false">
      <c r="A320" s="62" t="n">
        <f aca="false">A319+1</f>
        <v>313</v>
      </c>
      <c r="B320" s="63" t="str">
        <f aca="false">VLOOKUP(A320,BD_ORDENES!A:BG,12,FALSE())</f>
        <v>__export__.product_product_316672_363b2856</v>
      </c>
      <c r="C320" s="64" t="n">
        <v>313</v>
      </c>
      <c r="D320" s="65" t="str">
        <f aca="false">VLOOKUP(A320,BD_ORDENES!A:BE,10,0)</f>
        <v>TIENDA SUBA</v>
      </c>
      <c r="E320" s="66" t="str">
        <f aca="false">VLOOKUP(A320,BD_ORDENES!A:BG,4,FALSE())</f>
        <v>HL557</v>
      </c>
      <c r="F320" s="66" t="str">
        <f aca="false">VLOOKUP(A320,BD_ORDENES!A:BE,56,FALSE())</f>
        <v>S268820</v>
      </c>
      <c r="G320" s="67" t="str">
        <f aca="false">VLOOKUP(A320,BD_ORDENES!A:BE,13,FALSE())</f>
        <v>BUTACO VIENA DICOSTA MOSTAZA (MATIZ CAOBA)</v>
      </c>
      <c r="H320" s="68" t="str">
        <f aca="false">VLOOKUP(A320,BD_ORDENES!A:BE,17,FALSE())</f>
        <v>BUTACO</v>
      </c>
      <c r="I320" s="68" t="str">
        <f aca="false">VLOOKUP(A320,BD_ORDENES!A:BE,18,FALSE())</f>
        <v>VIENA</v>
      </c>
      <c r="J320" s="68" t="str">
        <f aca="false">VLOOKUP(A320,BD_ORDENES!A:BE,19,FALSE())</f>
        <v>DICOSTA</v>
      </c>
      <c r="K320" s="68" t="str">
        <f aca="false">VLOOKUP(A320,BD_ORDENES!A:BE,20,FALSE())</f>
        <v>MOSTAZA</v>
      </c>
      <c r="L320" s="68" t="str">
        <f aca="false">VLOOKUP(A320,BD_ORDENES!A:BE,21,FALSE())</f>
        <v>MATIZ-CAOBA</v>
      </c>
      <c r="M320" s="69" t="n">
        <f aca="false">VLOOKUP(A320,BD_ORDENES!A:BE,14,FALSE())</f>
        <v>1</v>
      </c>
      <c r="N320" s="68" t="n">
        <f aca="false">VLOOKUP(A320,BD_ORDENES!A:BE,15,FALSE())</f>
        <v>0</v>
      </c>
      <c r="O320" s="68" t="str">
        <f aca="false">VLOOKUP(A320,BD_ORDENES!A:BE,33,FALSE())</f>
        <v>TRANSPORTADORA HVM BGT</v>
      </c>
      <c r="P320" s="68" t="n">
        <f aca="false">VLOOKUP(A320,BD_ORDENES!A:BE,23,FALSE())</f>
        <v>0</v>
      </c>
      <c r="Q320" s="68" t="str">
        <f aca="false">VLOOKUP(A320,BD_ORDENES!A:BE,52,FALSE())</f>
        <v>Obtener Bajo Pedido (MTO)</v>
      </c>
      <c r="R320" s="68" t="str">
        <f aca="false">VLOOKUP(A320,BD_ORDENES!A:BE,25,FALSE())</f>
        <v>BOGOTA</v>
      </c>
      <c r="S320" s="68" t="str">
        <f aca="false">VLOOKUP(A320,BD_ORDENES!A:BE,22,FALSE())</f>
        <v>KAREN TATIANA GUALDRON CHAPARRO</v>
      </c>
      <c r="T320" s="65" t="str">
        <f aca="false">VLOOKUP(A320,BD_ORDENES!A:BE,55,FALSE())</f>
        <v>BODEGA LISTO</v>
      </c>
      <c r="U320" s="68" t="str">
        <f aca="false">VLOOKUP(A320,BD_ORDENES!A:BE,57,FALSE())</f>
        <v>8 VENECIA</v>
      </c>
      <c r="V320" s="70"/>
      <c r="W320" s="71"/>
    </row>
    <row r="321" s="72" customFormat="true" ht="98.25" hidden="false" customHeight="true" outlineLevel="0" collapsed="false">
      <c r="A321" s="62" t="n">
        <f aca="false">A320+1</f>
        <v>314</v>
      </c>
      <c r="B321" s="63" t="str">
        <f aca="false">VLOOKUP(A321,BD_ORDENES!A:BG,12,FALSE())</f>
        <v>__export__.product_product_321305_490222da</v>
      </c>
      <c r="C321" s="64" t="n">
        <v>314</v>
      </c>
      <c r="D321" s="65" t="str">
        <f aca="false">VLOOKUP(A321,BD_ORDENES!A:BE,10,0)</f>
        <v>TIENDA SUBA</v>
      </c>
      <c r="E321" s="66" t="str">
        <f aca="false">VLOOKUP(A321,BD_ORDENES!A:BG,4,FALSE())</f>
        <v>HL557</v>
      </c>
      <c r="F321" s="66" t="str">
        <f aca="false">VLOOKUP(A321,BD_ORDENES!A:BE,56,FALSE())</f>
        <v>S268820</v>
      </c>
      <c r="G321" s="67" t="str">
        <f aca="false">VLOOKUP(A321,BD_ORDENES!A:BE,13,FALSE())</f>
        <v>POLTRONA MONTECARLO DICOSTA MOSTAZA (MATIZ CAOBA)</v>
      </c>
      <c r="H321" s="68" t="str">
        <f aca="false">VLOOKUP(A321,BD_ORDENES!A:BE,17,FALSE())</f>
        <v>POLTRONA</v>
      </c>
      <c r="I321" s="68" t="str">
        <f aca="false">VLOOKUP(A321,BD_ORDENES!A:BE,18,FALSE())</f>
        <v>MONTECARLO</v>
      </c>
      <c r="J321" s="68" t="str">
        <f aca="false">VLOOKUP(A321,BD_ORDENES!A:BE,19,FALSE())</f>
        <v>DICOSTA</v>
      </c>
      <c r="K321" s="68" t="str">
        <f aca="false">VLOOKUP(A321,BD_ORDENES!A:BE,20,FALSE())</f>
        <v>MOSTAZA</v>
      </c>
      <c r="L321" s="68" t="str">
        <f aca="false">VLOOKUP(A321,BD_ORDENES!A:BE,21,FALSE())</f>
        <v>MATIZ-CAOBA</v>
      </c>
      <c r="M321" s="69" t="n">
        <f aca="false">VLOOKUP(A321,BD_ORDENES!A:BE,14,FALSE())</f>
        <v>1</v>
      </c>
      <c r="N321" s="68" t="n">
        <f aca="false">VLOOKUP(A321,BD_ORDENES!A:BE,15,FALSE())</f>
        <v>0</v>
      </c>
      <c r="O321" s="68" t="str">
        <f aca="false">VLOOKUP(A321,BD_ORDENES!A:BE,33,FALSE())</f>
        <v>TRANSPORTADORA HVM BGT</v>
      </c>
      <c r="P321" s="68" t="n">
        <f aca="false">VLOOKUP(A321,BD_ORDENES!A:BE,23,FALSE())</f>
        <v>0</v>
      </c>
      <c r="Q321" s="68" t="str">
        <f aca="false">VLOOKUP(A321,BD_ORDENES!A:BE,52,FALSE())</f>
        <v>Obtener Bajo Pedido (MTO)</v>
      </c>
      <c r="R321" s="68" t="str">
        <f aca="false">VLOOKUP(A321,BD_ORDENES!A:BE,25,FALSE())</f>
        <v>BOGOTA</v>
      </c>
      <c r="S321" s="68" t="str">
        <f aca="false">VLOOKUP(A321,BD_ORDENES!A:BE,22,FALSE())</f>
        <v>KAREN TATIANA GUALDRON CHAPARRO</v>
      </c>
      <c r="T321" s="65" t="str">
        <f aca="false">VLOOKUP(A321,BD_ORDENES!A:BE,55,FALSE())</f>
        <v>BODEGA LISTO</v>
      </c>
      <c r="U321" s="68" t="str">
        <f aca="false">VLOOKUP(A321,BD_ORDENES!A:BE,57,FALSE())</f>
        <v>8 VENECIA</v>
      </c>
      <c r="V321" s="70"/>
      <c r="W321" s="71"/>
    </row>
    <row r="322" s="72" customFormat="true" ht="98.25" hidden="false" customHeight="true" outlineLevel="0" collapsed="false">
      <c r="A322" s="62" t="n">
        <f aca="false">A321+1</f>
        <v>315</v>
      </c>
      <c r="B322" s="63" t="str">
        <f aca="false">VLOOKUP(A322,BD_ORDENES!A:BG,12,FALSE())</f>
        <v>__export__.product_product_329863_5afe040a</v>
      </c>
      <c r="C322" s="64" t="n">
        <v>315</v>
      </c>
      <c r="D322" s="65" t="str">
        <f aca="false">VLOOKUP(A322,BD_ORDENES!A:BE,10,0)</f>
        <v>TIENDA SUBA</v>
      </c>
      <c r="E322" s="66" t="str">
        <f aca="false">VLOOKUP(A322,BD_ORDENES!A:BG,4,FALSE())</f>
        <v>HL557</v>
      </c>
      <c r="F322" s="66" t="str">
        <f aca="false">VLOOKUP(A322,BD_ORDENES!A:BE,56,FALSE())</f>
        <v>S268820</v>
      </c>
      <c r="G322" s="67" t="str">
        <f aca="false">VLOOKUP(A322,BD_ORDENES!A:BE,13,FALSE())</f>
        <v>OBSEQUIO COJIN VENECIA DICOSTA MOSTAZA</v>
      </c>
      <c r="H322" s="68" t="str">
        <f aca="false">VLOOKUP(A322,BD_ORDENES!A:BE,17,FALSE())</f>
        <v>COJIN</v>
      </c>
      <c r="I322" s="68" t="str">
        <f aca="false">VLOOKUP(A322,BD_ORDENES!A:BE,18,FALSE())</f>
        <v>OBSEQUIO-VENECIA</v>
      </c>
      <c r="J322" s="68" t="str">
        <f aca="false">VLOOKUP(A322,BD_ORDENES!A:BE,19,FALSE())</f>
        <v>DICOSTA</v>
      </c>
      <c r="K322" s="68" t="str">
        <f aca="false">VLOOKUP(A322,BD_ORDENES!A:BE,20,FALSE())</f>
        <v>MOSTAZA</v>
      </c>
      <c r="L322" s="68" t="n">
        <f aca="false">VLOOKUP(A322,BD_ORDENES!A:BE,21,FALSE())</f>
        <v>0</v>
      </c>
      <c r="M322" s="69" t="n">
        <f aca="false">VLOOKUP(A322,BD_ORDENES!A:BE,14,FALSE())</f>
        <v>1</v>
      </c>
      <c r="N322" s="68" t="n">
        <f aca="false">VLOOKUP(A322,BD_ORDENES!A:BE,15,FALSE())</f>
        <v>0</v>
      </c>
      <c r="O322" s="68" t="str">
        <f aca="false">VLOOKUP(A322,BD_ORDENES!A:BE,33,FALSE())</f>
        <v>TRANSPORTADORA HVM BGT</v>
      </c>
      <c r="P322" s="68" t="n">
        <f aca="false">VLOOKUP(A322,BD_ORDENES!A:BE,23,FALSE())</f>
        <v>0</v>
      </c>
      <c r="Q322" s="68" t="str">
        <f aca="false">VLOOKUP(A322,BD_ORDENES!A:BE,52,FALSE())</f>
        <v>Obtener Bajo Pedido (MTO)</v>
      </c>
      <c r="R322" s="68" t="str">
        <f aca="false">VLOOKUP(A322,BD_ORDENES!A:BE,25,FALSE())</f>
        <v>BOGOTA</v>
      </c>
      <c r="S322" s="68" t="str">
        <f aca="false">VLOOKUP(A322,BD_ORDENES!A:BE,22,FALSE())</f>
        <v>KAREN TATIANA GUALDRON CHAPARRO</v>
      </c>
      <c r="T322" s="65" t="str">
        <f aca="false">VLOOKUP(A322,BD_ORDENES!A:BE,55,FALSE())</f>
        <v>BODEGA LISTO</v>
      </c>
      <c r="U322" s="68" t="str">
        <f aca="false">VLOOKUP(A322,BD_ORDENES!A:BE,57,FALSE())</f>
        <v>8 VENECIA</v>
      </c>
      <c r="V322" s="70"/>
      <c r="W322" s="71"/>
    </row>
    <row r="323" s="72" customFormat="true" ht="98.25" hidden="false" customHeight="true" outlineLevel="0" collapsed="false">
      <c r="A323" s="62" t="n">
        <f aca="false">A322+1</f>
        <v>316</v>
      </c>
      <c r="B323" s="63" t="str">
        <f aca="false">VLOOKUP(A323,BD_ORDENES!A:BG,12,FALSE())</f>
        <v>__export__.product_product_334558_5667db84</v>
      </c>
      <c r="C323" s="64" t="n">
        <v>316</v>
      </c>
      <c r="D323" s="65" t="str">
        <f aca="false">VLOOKUP(A323,BD_ORDENES!A:BE,10,0)</f>
        <v>TIENDA SUBA</v>
      </c>
      <c r="E323" s="66" t="str">
        <f aca="false">VLOOKUP(A323,BD_ORDENES!A:BG,4,FALSE())</f>
        <v>HL557</v>
      </c>
      <c r="F323" s="66" t="str">
        <f aca="false">VLOOKUP(A323,BD_ORDENES!A:BE,56,FALSE())</f>
        <v>S268820</v>
      </c>
      <c r="G323" s="67" t="str">
        <f aca="false">VLOOKUP(A323,BD_ORDENES!A:BE,13,FALSE())</f>
        <v>SILLA DUNCAN OMEGA PLATA (MATIZ CAOBA)</v>
      </c>
      <c r="H323" s="68" t="str">
        <f aca="false">VLOOKUP(A323,BD_ORDENES!A:BE,17,FALSE())</f>
        <v>SILLA-MADERA</v>
      </c>
      <c r="I323" s="68" t="str">
        <f aca="false">VLOOKUP(A323,BD_ORDENES!A:BE,18,FALSE())</f>
        <v>DUNCAN</v>
      </c>
      <c r="J323" s="68" t="str">
        <f aca="false">VLOOKUP(A323,BD_ORDENES!A:BE,19,FALSE())</f>
        <v>OMEGA</v>
      </c>
      <c r="K323" s="68" t="str">
        <f aca="false">VLOOKUP(A323,BD_ORDENES!A:BE,20,FALSE())</f>
        <v>PLATA</v>
      </c>
      <c r="L323" s="68" t="str">
        <f aca="false">VLOOKUP(A323,BD_ORDENES!A:BE,21,FALSE())</f>
        <v>MATIZ-CAOBA</v>
      </c>
      <c r="M323" s="69" t="n">
        <f aca="false">VLOOKUP(A323,BD_ORDENES!A:BE,14,FALSE())</f>
        <v>3</v>
      </c>
      <c r="N323" s="68" t="n">
        <f aca="false">VLOOKUP(A323,BD_ORDENES!A:BE,15,FALSE())</f>
        <v>0</v>
      </c>
      <c r="O323" s="68" t="str">
        <f aca="false">VLOOKUP(A323,BD_ORDENES!A:BE,33,FALSE())</f>
        <v>TRANSPORTADORA HVM BGT</v>
      </c>
      <c r="P323" s="68" t="n">
        <f aca="false">VLOOKUP(A323,BD_ORDENES!A:BE,23,FALSE())</f>
        <v>0</v>
      </c>
      <c r="Q323" s="68" t="str">
        <f aca="false">VLOOKUP(A323,BD_ORDENES!A:BE,52,FALSE())</f>
        <v>Obtener Bajo Pedido (MTO)</v>
      </c>
      <c r="R323" s="68" t="str">
        <f aca="false">VLOOKUP(A323,BD_ORDENES!A:BE,25,FALSE())</f>
        <v>BOGOTA</v>
      </c>
      <c r="S323" s="68" t="str">
        <f aca="false">VLOOKUP(A323,BD_ORDENES!A:BE,22,FALSE())</f>
        <v>KAREN TATIANA GUALDRON CHAPARRO</v>
      </c>
      <c r="T323" s="65" t="str">
        <f aca="false">VLOOKUP(A323,BD_ORDENES!A:BE,55,FALSE())</f>
        <v>BODEGA LISTO</v>
      </c>
      <c r="U323" s="68" t="str">
        <f aca="false">VLOOKUP(A323,BD_ORDENES!A:BE,57,FALSE())</f>
        <v>8 VENECIA</v>
      </c>
      <c r="V323" s="70"/>
      <c r="W323" s="71"/>
    </row>
    <row r="324" s="72" customFormat="true" ht="98.25" hidden="false" customHeight="true" outlineLevel="0" collapsed="false">
      <c r="A324" s="62" t="n">
        <f aca="false">A323+1</f>
        <v>317</v>
      </c>
      <c r="B324" s="63" t="str">
        <f aca="false">VLOOKUP(A324,BD_ORDENES!A:BG,12,FALSE())</f>
        <v>__export__.product_product_334561_aeb4bdbf</v>
      </c>
      <c r="C324" s="64" t="n">
        <v>317</v>
      </c>
      <c r="D324" s="65" t="str">
        <f aca="false">VLOOKUP(A324,BD_ORDENES!A:BE,10,0)</f>
        <v>TIENDA SUBA</v>
      </c>
      <c r="E324" s="66" t="str">
        <f aca="false">VLOOKUP(A324,BD_ORDENES!A:BG,4,FALSE())</f>
        <v>HL557</v>
      </c>
      <c r="F324" s="66" t="str">
        <f aca="false">VLOOKUP(A324,BD_ORDENES!A:BE,56,FALSE())</f>
        <v>S268820</v>
      </c>
      <c r="G324" s="67" t="str">
        <f aca="false">VLOOKUP(A324,BD_ORDENES!A:BE,13,FALSE())</f>
        <v>SOFA MORETTO OMEGA PLATA (MATIZ CAOBA)</v>
      </c>
      <c r="H324" s="68" t="str">
        <f aca="false">VLOOKUP(A324,BD_ORDENES!A:BE,17,FALSE())</f>
        <v>SOFA</v>
      </c>
      <c r="I324" s="68" t="str">
        <f aca="false">VLOOKUP(A324,BD_ORDENES!A:BE,18,FALSE())</f>
        <v>MORETTO</v>
      </c>
      <c r="J324" s="68" t="str">
        <f aca="false">VLOOKUP(A324,BD_ORDENES!A:BE,19,FALSE())</f>
        <v>OMEGA</v>
      </c>
      <c r="K324" s="68" t="str">
        <f aca="false">VLOOKUP(A324,BD_ORDENES!A:BE,20,FALSE())</f>
        <v>PLATA</v>
      </c>
      <c r="L324" s="68" t="str">
        <f aca="false">VLOOKUP(A324,BD_ORDENES!A:BE,21,FALSE())</f>
        <v>MATIZ-CAOBA</v>
      </c>
      <c r="M324" s="69" t="n">
        <f aca="false">VLOOKUP(A324,BD_ORDENES!A:BE,14,FALSE())</f>
        <v>1</v>
      </c>
      <c r="N324" s="68" t="n">
        <f aca="false">VLOOKUP(A324,BD_ORDENES!A:BE,15,FALSE())</f>
        <v>0</v>
      </c>
      <c r="O324" s="68" t="str">
        <f aca="false">VLOOKUP(A324,BD_ORDENES!A:BE,33,FALSE())</f>
        <v>TRANSPORTADORA HVM BGT</v>
      </c>
      <c r="P324" s="68" t="n">
        <f aca="false">VLOOKUP(A324,BD_ORDENES!A:BE,23,FALSE())</f>
        <v>0</v>
      </c>
      <c r="Q324" s="68" t="str">
        <f aca="false">VLOOKUP(A324,BD_ORDENES!A:BE,52,FALSE())</f>
        <v>Obtener Bajo Pedido (MTO)</v>
      </c>
      <c r="R324" s="68" t="str">
        <f aca="false">VLOOKUP(A324,BD_ORDENES!A:BE,25,FALSE())</f>
        <v>BOGOTA</v>
      </c>
      <c r="S324" s="68" t="str">
        <f aca="false">VLOOKUP(A324,BD_ORDENES!A:BE,22,FALSE())</f>
        <v>KAREN TATIANA GUALDRON CHAPARRO</v>
      </c>
      <c r="T324" s="65" t="str">
        <f aca="false">VLOOKUP(A324,BD_ORDENES!A:BE,55,FALSE())</f>
        <v>BODEGA LISTO</v>
      </c>
      <c r="U324" s="68" t="str">
        <f aca="false">VLOOKUP(A324,BD_ORDENES!A:BE,57,FALSE())</f>
        <v>8 VENECIA</v>
      </c>
      <c r="V324" s="70"/>
      <c r="W324" s="71"/>
    </row>
    <row r="325" s="72" customFormat="true" ht="98.25" hidden="false" customHeight="true" outlineLevel="0" collapsed="false">
      <c r="A325" s="62" t="n">
        <f aca="false">A324+1</f>
        <v>318</v>
      </c>
      <c r="B325" s="63" t="str">
        <f aca="false">VLOOKUP(A325,BD_ORDENES!A:BG,12,FALSE())</f>
        <v>__export__.product_product_319598_6c5ab700</v>
      </c>
      <c r="C325" s="64" t="n">
        <v>318</v>
      </c>
      <c r="D325" s="65" t="str">
        <f aca="false">VLOOKUP(A325,BD_ORDENES!A:BE,10,0)</f>
        <v>VF</v>
      </c>
      <c r="E325" s="66" t="str">
        <f aca="false">VLOOKUP(A325,BD_ORDENES!A:BG,4,FALSE())</f>
        <v>EL272</v>
      </c>
      <c r="F325" s="66" t="str">
        <f aca="false">VLOOKUP(A325,BD_ORDENES!A:BE,56,FALSE())</f>
        <v>S268809</v>
      </c>
      <c r="G325" s="67" t="str">
        <f aca="false">VLOOKUP(A325,BD_ORDENES!A:BE,13,FALSE())</f>
        <v>MESA ANDARA JG4 BLANCO (MATIZ CAOBA)</v>
      </c>
      <c r="H325" s="68" t="str">
        <f aca="false">VLOOKUP(A325,BD_ORDENES!A:BE,17,FALSE())</f>
        <v>MESA</v>
      </c>
      <c r="I325" s="68" t="str">
        <f aca="false">VLOOKUP(A325,BD_ORDENES!A:BE,18,FALSE())</f>
        <v>ANDARA-JG4</v>
      </c>
      <c r="J325" s="68" t="n">
        <f aca="false">VLOOKUP(A325,BD_ORDENES!A:BE,19,FALSE())</f>
        <v>0</v>
      </c>
      <c r="K325" s="68" t="str">
        <f aca="false">VLOOKUP(A325,BD_ORDENES!A:BE,20,FALSE())</f>
        <v>BLANCO</v>
      </c>
      <c r="L325" s="68" t="str">
        <f aca="false">VLOOKUP(A325,BD_ORDENES!A:BE,21,FALSE())</f>
        <v>MATIZ-CAOBA</v>
      </c>
      <c r="M325" s="69" t="n">
        <f aca="false">VLOOKUP(A325,BD_ORDENES!A:BE,14,FALSE())</f>
        <v>1</v>
      </c>
      <c r="N325" s="68" t="n">
        <f aca="false">VLOOKUP(A325,BD_ORDENES!A:BE,15,FALSE())</f>
        <v>0</v>
      </c>
      <c r="O325" s="68" t="str">
        <f aca="false">VLOOKUP(A325,BD_ORDENES!A:BE,33,FALSE())</f>
        <v>CONTRA ENTREGA SALDO</v>
      </c>
      <c r="P325" s="68" t="n">
        <f aca="false">VLOOKUP(A325,BD_ORDENES!A:BE,23,FALSE())</f>
        <v>0</v>
      </c>
      <c r="Q325" s="68" t="str">
        <f aca="false">VLOOKUP(A325,BD_ORDENES!A:BE,52,FALSE())</f>
        <v>Obtener Bajo Pedido (MTO)</v>
      </c>
      <c r="R325" s="68" t="str">
        <f aca="false">VLOOKUP(A325,BD_ORDENES!A:BE,25,FALSE())</f>
        <v>TUNJA</v>
      </c>
      <c r="S325" s="68" t="str">
        <f aca="false">VLOOKUP(A325,BD_ORDENES!A:BE,22,FALSE())</f>
        <v>LINA MARCELA MESA BEDOYA</v>
      </c>
      <c r="T325" s="65" t="str">
        <f aca="false">VLOOKUP(A325,BD_ORDENES!A:BE,55,FALSE())</f>
        <v>BODEGA LISTO</v>
      </c>
      <c r="U325" s="68" t="str">
        <f aca="false">VLOOKUP(A325,BD_ORDENES!A:BE,57,FALSE())</f>
        <v>0 BODEGA</v>
      </c>
      <c r="V325" s="70"/>
      <c r="W325" s="71"/>
    </row>
    <row r="326" s="72" customFormat="true" ht="98.25" hidden="false" customHeight="true" outlineLevel="0" collapsed="false">
      <c r="A326" s="62" t="n">
        <f aca="false">A325+1</f>
        <v>319</v>
      </c>
      <c r="B326" s="63" t="str">
        <f aca="false">VLOOKUP(A326,BD_ORDENES!A:BG,12,FALSE())</f>
        <v>__export__.product_product_326816_74169cbc</v>
      </c>
      <c r="C326" s="64" t="n">
        <v>319</v>
      </c>
      <c r="D326" s="65" t="str">
        <f aca="false">VLOOKUP(A326,BD_ORDENES!A:BE,10,0)</f>
        <v>VF</v>
      </c>
      <c r="E326" s="66" t="str">
        <f aca="false">VLOOKUP(A326,BD_ORDENES!A:BG,4,FALSE())</f>
        <v>EL272</v>
      </c>
      <c r="F326" s="66" t="str">
        <f aca="false">VLOOKUP(A326,BD_ORDENES!A:BE,56,FALSE())</f>
        <v>S268809</v>
      </c>
      <c r="G326" s="67" t="str">
        <f aca="false">VLOOKUP(A326,BD_ORDENES!A:BE,13,FALSE())</f>
        <v>SILLA SABINA DORSEY INDIGO (MATIZ CAOBA)</v>
      </c>
      <c r="H326" s="68" t="str">
        <f aca="false">VLOOKUP(A326,BD_ORDENES!A:BE,17,FALSE())</f>
        <v>SILLA</v>
      </c>
      <c r="I326" s="68" t="str">
        <f aca="false">VLOOKUP(A326,BD_ORDENES!A:BE,18,FALSE())</f>
        <v>SABINA</v>
      </c>
      <c r="J326" s="68" t="str">
        <f aca="false">VLOOKUP(A326,BD_ORDENES!A:BE,19,FALSE())</f>
        <v>DORSEY</v>
      </c>
      <c r="K326" s="68" t="str">
        <f aca="false">VLOOKUP(A326,BD_ORDENES!A:BE,20,FALSE())</f>
        <v>INDIGO</v>
      </c>
      <c r="L326" s="68" t="str">
        <f aca="false">VLOOKUP(A326,BD_ORDENES!A:BE,21,FALSE())</f>
        <v>MATIZ-CAOBA</v>
      </c>
      <c r="M326" s="69" t="n">
        <f aca="false">VLOOKUP(A326,BD_ORDENES!A:BE,14,FALSE())</f>
        <v>4</v>
      </c>
      <c r="N326" s="68" t="n">
        <f aca="false">VLOOKUP(A326,BD_ORDENES!A:BE,15,FALSE())</f>
        <v>0</v>
      </c>
      <c r="O326" s="68" t="str">
        <f aca="false">VLOOKUP(A326,BD_ORDENES!A:BE,33,FALSE())</f>
        <v>CONTRA ENTREGA SALDO</v>
      </c>
      <c r="P326" s="68" t="n">
        <f aca="false">VLOOKUP(A326,BD_ORDENES!A:BE,23,FALSE())</f>
        <v>0</v>
      </c>
      <c r="Q326" s="68" t="str">
        <f aca="false">VLOOKUP(A326,BD_ORDENES!A:BE,52,FALSE())</f>
        <v>Obtener Bajo Pedido (MTO)</v>
      </c>
      <c r="R326" s="68" t="str">
        <f aca="false">VLOOKUP(A326,BD_ORDENES!A:BE,25,FALSE())</f>
        <v>TUNJA</v>
      </c>
      <c r="S326" s="68" t="str">
        <f aca="false">VLOOKUP(A326,BD_ORDENES!A:BE,22,FALSE())</f>
        <v>LINA MARCELA MESA BEDOYA</v>
      </c>
      <c r="T326" s="65" t="str">
        <f aca="false">VLOOKUP(A326,BD_ORDENES!A:BE,55,FALSE())</f>
        <v>BODEGA LISTO</v>
      </c>
      <c r="U326" s="68" t="str">
        <f aca="false">VLOOKUP(A326,BD_ORDENES!A:BE,57,FALSE())</f>
        <v>0 BODEGA</v>
      </c>
      <c r="V326" s="70"/>
      <c r="W326" s="71"/>
    </row>
    <row r="327" s="72" customFormat="true" ht="98.25" hidden="false" customHeight="true" outlineLevel="0" collapsed="false">
      <c r="A327" s="62" t="n">
        <f aca="false">A326+1</f>
        <v>320</v>
      </c>
      <c r="B327" s="63" t="str">
        <f aca="false">VLOOKUP(A327,BD_ORDENES!A:BG,12,FALSE())</f>
        <v>__export__.product_product_324773_d64ca6c2</v>
      </c>
      <c r="C327" s="64" t="n">
        <v>320</v>
      </c>
      <c r="D327" s="65" t="str">
        <f aca="false">VLOOKUP(A327,BD_ORDENES!A:BE,10,0)</f>
        <v>VF</v>
      </c>
      <c r="E327" s="66" t="str">
        <f aca="false">VLOOKUP(A327,BD_ORDENES!A:BG,4,FALSE())</f>
        <v>EL272</v>
      </c>
      <c r="F327" s="66" t="str">
        <f aca="false">VLOOKUP(A327,BD_ORDENES!A:BE,56,FALSE())</f>
        <v>S268809</v>
      </c>
      <c r="G327" s="67" t="str">
        <f aca="false">VLOOKUP(A327,BD_ORDENES!A:BE,13,FALSE())</f>
        <v>SOFA MUNICH DORSEY INDIGO (MATIZ CAOBA)</v>
      </c>
      <c r="H327" s="68" t="str">
        <f aca="false">VLOOKUP(A327,BD_ORDENES!A:BE,17,FALSE())</f>
        <v>SOFA</v>
      </c>
      <c r="I327" s="68" t="str">
        <f aca="false">VLOOKUP(A327,BD_ORDENES!A:BE,18,FALSE())</f>
        <v>MUNICH</v>
      </c>
      <c r="J327" s="68" t="str">
        <f aca="false">VLOOKUP(A327,BD_ORDENES!A:BE,19,FALSE())</f>
        <v>DORSEY</v>
      </c>
      <c r="K327" s="68" t="str">
        <f aca="false">VLOOKUP(A327,BD_ORDENES!A:BE,20,FALSE())</f>
        <v>INDIGO</v>
      </c>
      <c r="L327" s="68" t="str">
        <f aca="false">VLOOKUP(A327,BD_ORDENES!A:BE,21,FALSE())</f>
        <v>MATIZ-CAOBA</v>
      </c>
      <c r="M327" s="69" t="n">
        <f aca="false">VLOOKUP(A327,BD_ORDENES!A:BE,14,FALSE())</f>
        <v>1</v>
      </c>
      <c r="N327" s="68" t="n">
        <f aca="false">VLOOKUP(A327,BD_ORDENES!A:BE,15,FALSE())</f>
        <v>0</v>
      </c>
      <c r="O327" s="68" t="str">
        <f aca="false">VLOOKUP(A327,BD_ORDENES!A:BE,33,FALSE())</f>
        <v>CONTRA ENTREGA SALDO</v>
      </c>
      <c r="P327" s="68" t="n">
        <f aca="false">VLOOKUP(A327,BD_ORDENES!A:BE,23,FALSE())</f>
        <v>0</v>
      </c>
      <c r="Q327" s="68" t="str">
        <f aca="false">VLOOKUP(A327,BD_ORDENES!A:BE,52,FALSE())</f>
        <v>Obtener Bajo Pedido (MTO)</v>
      </c>
      <c r="R327" s="68" t="str">
        <f aca="false">VLOOKUP(A327,BD_ORDENES!A:BE,25,FALSE())</f>
        <v>TUNJA</v>
      </c>
      <c r="S327" s="68" t="str">
        <f aca="false">VLOOKUP(A327,BD_ORDENES!A:BE,22,FALSE())</f>
        <v>LINA MARCELA MESA BEDOYA</v>
      </c>
      <c r="T327" s="65" t="str">
        <f aca="false">VLOOKUP(A327,BD_ORDENES!A:BE,55,FALSE())</f>
        <v>BODEGA LISTO</v>
      </c>
      <c r="U327" s="68" t="str">
        <f aca="false">VLOOKUP(A327,BD_ORDENES!A:BE,57,FALSE())</f>
        <v>0 BODEGA</v>
      </c>
      <c r="V327" s="70"/>
      <c r="W327" s="71"/>
    </row>
    <row r="328" s="72" customFormat="true" ht="98.25" hidden="false" customHeight="true" outlineLevel="0" collapsed="false">
      <c r="A328" s="62" t="n">
        <f aca="false">A327+1</f>
        <v>321</v>
      </c>
      <c r="B328" s="63" t="str">
        <f aca="false">VLOOKUP(A328,BD_ORDENES!A:BG,12,FALSE())</f>
        <v>__export__.product_product_315903_528f23c3</v>
      </c>
      <c r="C328" s="64" t="n">
        <v>321</v>
      </c>
      <c r="D328" s="65" t="str">
        <f aca="false">VLOOKUP(A328,BD_ORDENES!A:BE,10,0)</f>
        <v>VF</v>
      </c>
      <c r="E328" s="66" t="str">
        <f aca="false">VLOOKUP(A328,BD_ORDENES!A:BG,4,FALSE())</f>
        <v>EL272</v>
      </c>
      <c r="F328" s="66" t="str">
        <f aca="false">VLOOKUP(A328,BD_ORDENES!A:BE,56,FALSE())</f>
        <v>S268809</v>
      </c>
      <c r="G328" s="67" t="str">
        <f aca="false">VLOOKUP(A328,BD_ORDENES!A:BE,13,FALSE())</f>
        <v>MESA DE CENTRO BARZA BLANCO (MATIZ CAOBA)</v>
      </c>
      <c r="H328" s="68" t="str">
        <f aca="false">VLOOKUP(A328,BD_ORDENES!A:BE,17,FALSE())</f>
        <v>MESA-CENTRO</v>
      </c>
      <c r="I328" s="68" t="str">
        <f aca="false">VLOOKUP(A328,BD_ORDENES!A:BE,18,FALSE())</f>
        <v>BARZA</v>
      </c>
      <c r="J328" s="68" t="n">
        <f aca="false">VLOOKUP(A328,BD_ORDENES!A:BE,19,FALSE())</f>
        <v>0</v>
      </c>
      <c r="K328" s="68" t="str">
        <f aca="false">VLOOKUP(A328,BD_ORDENES!A:BE,20,FALSE())</f>
        <v>BLANCO</v>
      </c>
      <c r="L328" s="68" t="str">
        <f aca="false">VLOOKUP(A328,BD_ORDENES!A:BE,21,FALSE())</f>
        <v>MATIZ-CAOBA</v>
      </c>
      <c r="M328" s="69" t="n">
        <f aca="false">VLOOKUP(A328,BD_ORDENES!A:BE,14,FALSE())</f>
        <v>1</v>
      </c>
      <c r="N328" s="68" t="n">
        <f aca="false">VLOOKUP(A328,BD_ORDENES!A:BE,15,FALSE())</f>
        <v>0</v>
      </c>
      <c r="O328" s="68" t="str">
        <f aca="false">VLOOKUP(A328,BD_ORDENES!A:BE,33,FALSE())</f>
        <v>CONTRA ENTREGA SALDO</v>
      </c>
      <c r="P328" s="68" t="n">
        <f aca="false">VLOOKUP(A328,BD_ORDENES!A:BE,23,FALSE())</f>
        <v>0</v>
      </c>
      <c r="Q328" s="68" t="str">
        <f aca="false">VLOOKUP(A328,BD_ORDENES!A:BE,52,FALSE())</f>
        <v>Obtener Bajo Pedido (MTO)</v>
      </c>
      <c r="R328" s="68" t="str">
        <f aca="false">VLOOKUP(A328,BD_ORDENES!A:BE,25,FALSE())</f>
        <v>TUNJA</v>
      </c>
      <c r="S328" s="68" t="str">
        <f aca="false">VLOOKUP(A328,BD_ORDENES!A:BE,22,FALSE())</f>
        <v>LINA MARCELA MESA BEDOYA</v>
      </c>
      <c r="T328" s="65" t="str">
        <f aca="false">VLOOKUP(A328,BD_ORDENES!A:BE,55,FALSE())</f>
        <v>BODEGA LISTO</v>
      </c>
      <c r="U328" s="68" t="str">
        <f aca="false">VLOOKUP(A328,BD_ORDENES!A:BE,57,FALSE())</f>
        <v>0 BODEGA</v>
      </c>
      <c r="V328" s="70"/>
      <c r="W328" s="71"/>
    </row>
    <row r="329" s="72" customFormat="true" ht="98.25" hidden="false" customHeight="true" outlineLevel="0" collapsed="false">
      <c r="A329" s="62" t="n">
        <f aca="false">A328+1</f>
        <v>322</v>
      </c>
      <c r="B329" s="63" t="str">
        <f aca="false">VLOOKUP(A329,BD_ORDENES!A:BG,12,FALSE())</f>
        <v>__export__.product_product_279286_322bb722</v>
      </c>
      <c r="C329" s="64" t="n">
        <v>322</v>
      </c>
      <c r="D329" s="65" t="str">
        <f aca="false">VLOOKUP(A329,BD_ORDENES!A:BE,10,0)</f>
        <v>VF</v>
      </c>
      <c r="E329" s="66" t="str">
        <f aca="false">VLOOKUP(A329,BD_ORDENES!A:BG,4,FALSE())</f>
        <v>EL272</v>
      </c>
      <c r="F329" s="66" t="str">
        <f aca="false">VLOOKUP(A329,BD_ORDENES!A:BE,56,FALSE())</f>
        <v>S268809</v>
      </c>
      <c r="G329" s="67" t="str">
        <f aca="false">VLOOKUP(A329,BD_ORDENES!A:BE,13,FALSE())</f>
        <v>COJIN VENECIA DORSEY PLATA</v>
      </c>
      <c r="H329" s="68" t="str">
        <f aca="false">VLOOKUP(A329,BD_ORDENES!A:BE,17,FALSE())</f>
        <v>COJIN</v>
      </c>
      <c r="I329" s="68" t="str">
        <f aca="false">VLOOKUP(A329,BD_ORDENES!A:BE,18,FALSE())</f>
        <v>VENECIA</v>
      </c>
      <c r="J329" s="68" t="str">
        <f aca="false">VLOOKUP(A329,BD_ORDENES!A:BE,19,FALSE())</f>
        <v>DORSEY</v>
      </c>
      <c r="K329" s="68" t="str">
        <f aca="false">VLOOKUP(A329,BD_ORDENES!A:BE,20,FALSE())</f>
        <v>PLATA</v>
      </c>
      <c r="L329" s="68" t="n">
        <f aca="false">VLOOKUP(A329,BD_ORDENES!A:BE,21,FALSE())</f>
        <v>0</v>
      </c>
      <c r="M329" s="69" t="n">
        <f aca="false">VLOOKUP(A329,BD_ORDENES!A:BE,14,FALSE())</f>
        <v>1</v>
      </c>
      <c r="N329" s="68" t="n">
        <f aca="false">VLOOKUP(A329,BD_ORDENES!A:BE,15,FALSE())</f>
        <v>0</v>
      </c>
      <c r="O329" s="68" t="str">
        <f aca="false">VLOOKUP(A329,BD_ORDENES!A:BE,33,FALSE())</f>
        <v>CONTRA ENTREGA SALDO</v>
      </c>
      <c r="P329" s="68" t="n">
        <f aca="false">VLOOKUP(A329,BD_ORDENES!A:BE,23,FALSE())</f>
        <v>0</v>
      </c>
      <c r="Q329" s="68" t="str">
        <f aca="false">VLOOKUP(A329,BD_ORDENES!A:BE,52,FALSE())</f>
        <v>Obtener Bajo Pedido (MTO)</v>
      </c>
      <c r="R329" s="68" t="str">
        <f aca="false">VLOOKUP(A329,BD_ORDENES!A:BE,25,FALSE())</f>
        <v>TUNJA</v>
      </c>
      <c r="S329" s="68" t="str">
        <f aca="false">VLOOKUP(A329,BD_ORDENES!A:BE,22,FALSE())</f>
        <v>LINA MARCELA MESA BEDOYA</v>
      </c>
      <c r="T329" s="65" t="str">
        <f aca="false">VLOOKUP(A329,BD_ORDENES!A:BE,55,FALSE())</f>
        <v>BODEGA LISTO</v>
      </c>
      <c r="U329" s="68" t="str">
        <f aca="false">VLOOKUP(A329,BD_ORDENES!A:BE,57,FALSE())</f>
        <v>0 BODEGA</v>
      </c>
      <c r="V329" s="70"/>
      <c r="W329" s="71"/>
    </row>
    <row r="330" s="72" customFormat="true" ht="98.25" hidden="false" customHeight="true" outlineLevel="0" collapsed="false">
      <c r="A330" s="62" t="n">
        <f aca="false">A329+1</f>
        <v>323</v>
      </c>
      <c r="B330" s="63" t="str">
        <f aca="false">VLOOKUP(A330,BD_ORDENES!A:BG,12,FALSE())</f>
        <v>__export__.product_product_279286_322bb722</v>
      </c>
      <c r="C330" s="64" t="n">
        <v>323</v>
      </c>
      <c r="D330" s="65" t="str">
        <f aca="false">VLOOKUP(A330,BD_ORDENES!A:BE,10,0)</f>
        <v>VF</v>
      </c>
      <c r="E330" s="66" t="str">
        <f aca="false">VLOOKUP(A330,BD_ORDENES!A:BG,4,FALSE())</f>
        <v>EL272</v>
      </c>
      <c r="F330" s="66" t="str">
        <f aca="false">VLOOKUP(A330,BD_ORDENES!A:BE,56,FALSE())</f>
        <v>S268809</v>
      </c>
      <c r="G330" s="67" t="str">
        <f aca="false">VLOOKUP(A330,BD_ORDENES!A:BE,13,FALSE())</f>
        <v>COJIN VENECIA DORSEY PLATA</v>
      </c>
      <c r="H330" s="68" t="str">
        <f aca="false">VLOOKUP(A330,BD_ORDENES!A:BE,17,FALSE())</f>
        <v>COJIN</v>
      </c>
      <c r="I330" s="68" t="str">
        <f aca="false">VLOOKUP(A330,BD_ORDENES!A:BE,18,FALSE())</f>
        <v>VENECIA</v>
      </c>
      <c r="J330" s="68" t="str">
        <f aca="false">VLOOKUP(A330,BD_ORDENES!A:BE,19,FALSE())</f>
        <v>DORSEY</v>
      </c>
      <c r="K330" s="68" t="str">
        <f aca="false">VLOOKUP(A330,BD_ORDENES!A:BE,20,FALSE())</f>
        <v>PLATA</v>
      </c>
      <c r="L330" s="68" t="n">
        <f aca="false">VLOOKUP(A330,BD_ORDENES!A:BE,21,FALSE())</f>
        <v>0</v>
      </c>
      <c r="M330" s="69" t="n">
        <f aca="false">VLOOKUP(A330,BD_ORDENES!A:BE,14,FALSE())</f>
        <v>1</v>
      </c>
      <c r="N330" s="68" t="n">
        <f aca="false">VLOOKUP(A330,BD_ORDENES!A:BE,15,FALSE())</f>
        <v>0</v>
      </c>
      <c r="O330" s="68" t="str">
        <f aca="false">VLOOKUP(A330,BD_ORDENES!A:BE,33,FALSE())</f>
        <v>CONTRA ENTREGA SALDO</v>
      </c>
      <c r="P330" s="68" t="n">
        <f aca="false">VLOOKUP(A330,BD_ORDENES!A:BE,23,FALSE())</f>
        <v>0</v>
      </c>
      <c r="Q330" s="68" t="str">
        <f aca="false">VLOOKUP(A330,BD_ORDENES!A:BE,52,FALSE())</f>
        <v>Obtener Bajo Pedido (MTO)</v>
      </c>
      <c r="R330" s="68" t="str">
        <f aca="false">VLOOKUP(A330,BD_ORDENES!A:BE,25,FALSE())</f>
        <v>TUNJA</v>
      </c>
      <c r="S330" s="68" t="str">
        <f aca="false">VLOOKUP(A330,BD_ORDENES!A:BE,22,FALSE())</f>
        <v>LINA MARCELA MESA BEDOYA</v>
      </c>
      <c r="T330" s="65" t="str">
        <f aca="false">VLOOKUP(A330,BD_ORDENES!A:BE,55,FALSE())</f>
        <v>BODEGA LISTO</v>
      </c>
      <c r="U330" s="68" t="str">
        <f aca="false">VLOOKUP(A330,BD_ORDENES!A:BE,57,FALSE())</f>
        <v>0 BODEGA</v>
      </c>
      <c r="V330" s="70"/>
      <c r="W330" s="71"/>
    </row>
    <row r="331" s="72" customFormat="true" ht="98.25" hidden="false" customHeight="true" outlineLevel="0" collapsed="false">
      <c r="A331" s="62" t="n">
        <f aca="false">A330+1</f>
        <v>324</v>
      </c>
      <c r="B331" s="63" t="str">
        <f aca="false">VLOOKUP(A331,BD_ORDENES!A:BG,12,FALSE())</f>
        <v>__export__.product_product_334620_61722bdb</v>
      </c>
      <c r="C331" s="64" t="n">
        <v>324</v>
      </c>
      <c r="D331" s="65" t="str">
        <f aca="false">VLOOKUP(A331,BD_ORDENES!A:BE,10,0)</f>
        <v>TIENDA GALERIAS</v>
      </c>
      <c r="E331" s="66" t="str">
        <f aca="false">VLOOKUP(A331,BD_ORDENES!A:BG,4,FALSE())</f>
        <v>ET2302</v>
      </c>
      <c r="F331" s="66" t="str">
        <f aca="false">VLOOKUP(A331,BD_ORDENES!A:BE,56,FALSE())</f>
        <v>S268799</v>
      </c>
      <c r="G331" s="67" t="str">
        <f aca="false">VLOOKUP(A331,BD_ORDENES!A:BE,13,FALSE())</f>
        <v>MESA CHICAGO JG4 BALI-WENGUE</v>
      </c>
      <c r="H331" s="68" t="str">
        <f aca="false">VLOOKUP(A331,BD_ORDENES!A:BE,17,FALSE())</f>
        <v>MESA</v>
      </c>
      <c r="I331" s="68" t="str">
        <f aca="false">VLOOKUP(A331,BD_ORDENES!A:BE,18,FALSE())</f>
        <v>CHICAGO-JG4</v>
      </c>
      <c r="J331" s="68" t="n">
        <f aca="false">VLOOKUP(A331,BD_ORDENES!A:BE,19,FALSE())</f>
        <v>0</v>
      </c>
      <c r="K331" s="68" t="str">
        <f aca="false">VLOOKUP(A331,BD_ORDENES!A:BE,20,FALSE())</f>
        <v>BALI-WENGUE</v>
      </c>
      <c r="L331" s="68" t="n">
        <f aca="false">VLOOKUP(A331,BD_ORDENES!A:BE,21,FALSE())</f>
        <v>0</v>
      </c>
      <c r="M331" s="69" t="n">
        <f aca="false">VLOOKUP(A331,BD_ORDENES!A:BE,14,FALSE())</f>
        <v>1</v>
      </c>
      <c r="N331" s="68" t="n">
        <f aca="false">VLOOKUP(A331,BD_ORDENES!A:BE,15,FALSE())</f>
        <v>0</v>
      </c>
      <c r="O331" s="68" t="str">
        <f aca="false">VLOOKUP(A331,BD_ORDENES!A:BE,33,FALSE())</f>
        <v>TRANSPORTADORA</v>
      </c>
      <c r="P331" s="68" t="n">
        <f aca="false">VLOOKUP(A331,BD_ORDENES!A:BE,23,FALSE())</f>
        <v>0</v>
      </c>
      <c r="Q331" s="68" t="str">
        <f aca="false">VLOOKUP(A331,BD_ORDENES!A:BE,52,FALSE())</f>
        <v>Obtener Bajo Pedido (MTO)</v>
      </c>
      <c r="R331" s="68" t="str">
        <f aca="false">VLOOKUP(A331,BD_ORDENES!A:BE,25,FALSE())</f>
        <v>BOGOTA</v>
      </c>
      <c r="S331" s="68" t="str">
        <f aca="false">VLOOKUP(A331,BD_ORDENES!A:BE,22,FALSE())</f>
        <v>KAROL MAYERLY LIZETH TOVAR VARGAS</v>
      </c>
      <c r="T331" s="65" t="str">
        <f aca="false">VLOOKUP(A331,BD_ORDENES!A:BE,55,FALSE())</f>
        <v>PRODUCCION</v>
      </c>
      <c r="U331" s="68" t="str">
        <f aca="false">VLOOKUP(A331,BD_ORDENES!A:BE,57,FALSE())</f>
        <v>1 ENVIA</v>
      </c>
      <c r="V331" s="70"/>
      <c r="W331" s="71"/>
    </row>
    <row r="332" s="72" customFormat="true" ht="98.25" hidden="false" customHeight="true" outlineLevel="0" collapsed="false">
      <c r="A332" s="62" t="n">
        <f aca="false">A331+1</f>
        <v>325</v>
      </c>
      <c r="B332" s="63" t="str">
        <f aca="false">VLOOKUP(A332,BD_ORDENES!A:BG,12,FALSE())</f>
        <v>__export__.product_product_333814_369ea583</v>
      </c>
      <c r="C332" s="64" t="n">
        <v>325</v>
      </c>
      <c r="D332" s="65" t="str">
        <f aca="false">VLOOKUP(A332,BD_ORDENES!A:BE,10,0)</f>
        <v>TIENDA GALERIAS</v>
      </c>
      <c r="E332" s="66" t="str">
        <f aca="false">VLOOKUP(A332,BD_ORDENES!A:BG,4,FALSE())</f>
        <v>ET2302</v>
      </c>
      <c r="F332" s="66" t="str">
        <f aca="false">VLOOKUP(A332,BD_ORDENES!A:BE,56,FALSE())</f>
        <v>S268799</v>
      </c>
      <c r="G332" s="67" t="str">
        <f aca="false">VLOOKUP(A332,BD_ORDENES!A:BE,13,FALSE())</f>
        <v>SILLA TOKYO OMEGA PLATA (METALICA WENGUE)</v>
      </c>
      <c r="H332" s="68" t="str">
        <f aca="false">VLOOKUP(A332,BD_ORDENES!A:BE,17,FALSE())</f>
        <v>SILLA</v>
      </c>
      <c r="I332" s="68" t="str">
        <f aca="false">VLOOKUP(A332,BD_ORDENES!A:BE,18,FALSE())</f>
        <v>TOKYO</v>
      </c>
      <c r="J332" s="68" t="str">
        <f aca="false">VLOOKUP(A332,BD_ORDENES!A:BE,19,FALSE())</f>
        <v>OMEGA</v>
      </c>
      <c r="K332" s="68" t="str">
        <f aca="false">VLOOKUP(A332,BD_ORDENES!A:BE,20,FALSE())</f>
        <v>PLATA</v>
      </c>
      <c r="L332" s="68" t="str">
        <f aca="false">VLOOKUP(A332,BD_ORDENES!A:BE,21,FALSE())</f>
        <v>METALICO-MATIZ-WENGUE</v>
      </c>
      <c r="M332" s="69" t="n">
        <f aca="false">VLOOKUP(A332,BD_ORDENES!A:BE,14,FALSE())</f>
        <v>2</v>
      </c>
      <c r="N332" s="68" t="n">
        <f aca="false">VLOOKUP(A332,BD_ORDENES!A:BE,15,FALSE())</f>
        <v>0</v>
      </c>
      <c r="O332" s="68" t="str">
        <f aca="false">VLOOKUP(A332,BD_ORDENES!A:BE,33,FALSE())</f>
        <v>TRANSPORTADORA</v>
      </c>
      <c r="P332" s="68" t="n">
        <f aca="false">VLOOKUP(A332,BD_ORDENES!A:BE,23,FALSE())</f>
        <v>0</v>
      </c>
      <c r="Q332" s="68" t="str">
        <f aca="false">VLOOKUP(A332,BD_ORDENES!A:BE,52,FALSE())</f>
        <v>Obtener Bajo Pedido (MTO)</v>
      </c>
      <c r="R332" s="68" t="str">
        <f aca="false">VLOOKUP(A332,BD_ORDENES!A:BE,25,FALSE())</f>
        <v>BOGOTA</v>
      </c>
      <c r="S332" s="68" t="str">
        <f aca="false">VLOOKUP(A332,BD_ORDENES!A:BE,22,FALSE())</f>
        <v>KAROL MAYERLY LIZETH TOVAR VARGAS</v>
      </c>
      <c r="T332" s="65" t="str">
        <f aca="false">VLOOKUP(A332,BD_ORDENES!A:BE,55,FALSE())</f>
        <v>PRODUCCION</v>
      </c>
      <c r="U332" s="68" t="str">
        <f aca="false">VLOOKUP(A332,BD_ORDENES!A:BE,57,FALSE())</f>
        <v>1 ENVIA</v>
      </c>
      <c r="V332" s="70"/>
      <c r="W332" s="71"/>
    </row>
    <row r="333" s="72" customFormat="true" ht="98.25" hidden="false" customHeight="true" outlineLevel="0" collapsed="false">
      <c r="A333" s="62" t="n">
        <f aca="false">A332+1</f>
        <v>326</v>
      </c>
      <c r="B333" s="63" t="str">
        <f aca="false">VLOOKUP(A333,BD_ORDENES!A:BG,12,FALSE())</f>
        <v>__export__.product_product_333817_d0374a35</v>
      </c>
      <c r="C333" s="64" t="n">
        <v>326</v>
      </c>
      <c r="D333" s="65" t="str">
        <f aca="false">VLOOKUP(A333,BD_ORDENES!A:BE,10,0)</f>
        <v>TIENDA GALERIAS</v>
      </c>
      <c r="E333" s="66" t="str">
        <f aca="false">VLOOKUP(A333,BD_ORDENES!A:BG,4,FALSE())</f>
        <v>ET2302</v>
      </c>
      <c r="F333" s="66" t="str">
        <f aca="false">VLOOKUP(A333,BD_ORDENES!A:BE,56,FALSE())</f>
        <v>S268799</v>
      </c>
      <c r="G333" s="67" t="str">
        <f aca="false">VLOOKUP(A333,BD_ORDENES!A:BE,13,FALSE())</f>
        <v>SILLA TOKYO OMEGA GRIS (METALICA WENGUE)</v>
      </c>
      <c r="H333" s="68" t="str">
        <f aca="false">VLOOKUP(A333,BD_ORDENES!A:BE,17,FALSE())</f>
        <v>SILLA</v>
      </c>
      <c r="I333" s="68" t="str">
        <f aca="false">VLOOKUP(A333,BD_ORDENES!A:BE,18,FALSE())</f>
        <v>TOKYO</v>
      </c>
      <c r="J333" s="68" t="str">
        <f aca="false">VLOOKUP(A333,BD_ORDENES!A:BE,19,FALSE())</f>
        <v>OMEGA</v>
      </c>
      <c r="K333" s="68" t="str">
        <f aca="false">VLOOKUP(A333,BD_ORDENES!A:BE,20,FALSE())</f>
        <v>GRIS</v>
      </c>
      <c r="L333" s="68" t="str">
        <f aca="false">VLOOKUP(A333,BD_ORDENES!A:BE,21,FALSE())</f>
        <v>METALICO-MATIZ-WENGUE</v>
      </c>
      <c r="M333" s="69" t="n">
        <f aca="false">VLOOKUP(A333,BD_ORDENES!A:BE,14,FALSE())</f>
        <v>2</v>
      </c>
      <c r="N333" s="68" t="n">
        <f aca="false">VLOOKUP(A333,BD_ORDENES!A:BE,15,FALSE())</f>
        <v>0</v>
      </c>
      <c r="O333" s="68" t="str">
        <f aca="false">VLOOKUP(A333,BD_ORDENES!A:BE,33,FALSE())</f>
        <v>TRANSPORTADORA</v>
      </c>
      <c r="P333" s="68" t="n">
        <f aca="false">VLOOKUP(A333,BD_ORDENES!A:BE,23,FALSE())</f>
        <v>0</v>
      </c>
      <c r="Q333" s="68" t="str">
        <f aca="false">VLOOKUP(A333,BD_ORDENES!A:BE,52,FALSE())</f>
        <v>Obtener Bajo Pedido (MTO)</v>
      </c>
      <c r="R333" s="68" t="str">
        <f aca="false">VLOOKUP(A333,BD_ORDENES!A:BE,25,FALSE())</f>
        <v>BOGOTA</v>
      </c>
      <c r="S333" s="68" t="str">
        <f aca="false">VLOOKUP(A333,BD_ORDENES!A:BE,22,FALSE())</f>
        <v>KAROL MAYERLY LIZETH TOVAR VARGAS</v>
      </c>
      <c r="T333" s="65" t="str">
        <f aca="false">VLOOKUP(A333,BD_ORDENES!A:BE,55,FALSE())</f>
        <v>PRODUCCION</v>
      </c>
      <c r="U333" s="68" t="str">
        <f aca="false">VLOOKUP(A333,BD_ORDENES!A:BE,57,FALSE())</f>
        <v>1 ENVIA</v>
      </c>
      <c r="V333" s="70"/>
      <c r="W333" s="71"/>
    </row>
    <row r="334" s="72" customFormat="true" ht="98.25" hidden="false" customHeight="true" outlineLevel="0" collapsed="false">
      <c r="A334" s="62" t="n">
        <f aca="false">A333+1</f>
        <v>327</v>
      </c>
      <c r="B334" s="63" t="str">
        <f aca="false">VLOOKUP(A334,BD_ORDENES!A:BG,12,FALSE())</f>
        <v>__export__.product_product_334619_cc480c6b</v>
      </c>
      <c r="C334" s="64" t="n">
        <v>327</v>
      </c>
      <c r="D334" s="65" t="str">
        <f aca="false">VLOOKUP(A334,BD_ORDENES!A:BE,10,0)</f>
        <v>TIENDA GALERIAS</v>
      </c>
      <c r="E334" s="66" t="str">
        <f aca="false">VLOOKUP(A334,BD_ORDENES!A:BG,4,FALSE())</f>
        <v>ET2302</v>
      </c>
      <c r="F334" s="66" t="str">
        <f aca="false">VLOOKUP(A334,BD_ORDENES!A:BE,56,FALSE())</f>
        <v>S268799</v>
      </c>
      <c r="G334" s="67" t="str">
        <f aca="false">VLOOKUP(A334,BD_ORDENES!A:BE,13,FALSE())</f>
        <v>SOFA MORETTO OMEGA PLATA (MATIZ WENGUE)</v>
      </c>
      <c r="H334" s="68" t="str">
        <f aca="false">VLOOKUP(A334,BD_ORDENES!A:BE,17,FALSE())</f>
        <v>SOFA</v>
      </c>
      <c r="I334" s="68" t="str">
        <f aca="false">VLOOKUP(A334,BD_ORDENES!A:BE,18,FALSE())</f>
        <v>MORETTO</v>
      </c>
      <c r="J334" s="68" t="str">
        <f aca="false">VLOOKUP(A334,BD_ORDENES!A:BE,19,FALSE())</f>
        <v>OMEGA</v>
      </c>
      <c r="K334" s="68" t="str">
        <f aca="false">VLOOKUP(A334,BD_ORDENES!A:BE,20,FALSE())</f>
        <v>PLATA</v>
      </c>
      <c r="L334" s="68" t="str">
        <f aca="false">VLOOKUP(A334,BD_ORDENES!A:BE,21,FALSE())</f>
        <v>MATIZ-WENGUE</v>
      </c>
      <c r="M334" s="69" t="n">
        <f aca="false">VLOOKUP(A334,BD_ORDENES!A:BE,14,FALSE())</f>
        <v>1</v>
      </c>
      <c r="N334" s="68" t="n">
        <f aca="false">VLOOKUP(A334,BD_ORDENES!A:BE,15,FALSE())</f>
        <v>0</v>
      </c>
      <c r="O334" s="68" t="str">
        <f aca="false">VLOOKUP(A334,BD_ORDENES!A:BE,33,FALSE())</f>
        <v>TRANSPORTADORA</v>
      </c>
      <c r="P334" s="68" t="n">
        <f aca="false">VLOOKUP(A334,BD_ORDENES!A:BE,23,FALSE())</f>
        <v>0</v>
      </c>
      <c r="Q334" s="68" t="str">
        <f aca="false">VLOOKUP(A334,BD_ORDENES!A:BE,52,FALSE())</f>
        <v>Obtener Bajo Pedido (MTO)</v>
      </c>
      <c r="R334" s="68" t="str">
        <f aca="false">VLOOKUP(A334,BD_ORDENES!A:BE,25,FALSE())</f>
        <v>BOGOTA</v>
      </c>
      <c r="S334" s="68" t="str">
        <f aca="false">VLOOKUP(A334,BD_ORDENES!A:BE,22,FALSE())</f>
        <v>KAROL MAYERLY LIZETH TOVAR VARGAS</v>
      </c>
      <c r="T334" s="65" t="str">
        <f aca="false">VLOOKUP(A334,BD_ORDENES!A:BE,55,FALSE())</f>
        <v>PRODUCCION</v>
      </c>
      <c r="U334" s="68" t="str">
        <f aca="false">VLOOKUP(A334,BD_ORDENES!A:BE,57,FALSE())</f>
        <v>1 ENVIA</v>
      </c>
      <c r="V334" s="70"/>
      <c r="W334" s="71"/>
    </row>
    <row r="335" s="72" customFormat="true" ht="98.25" hidden="false" customHeight="true" outlineLevel="0" collapsed="false">
      <c r="A335" s="62" t="n">
        <f aca="false">A334+1</f>
        <v>328</v>
      </c>
      <c r="B335" s="63" t="str">
        <f aca="false">VLOOKUP(A335,BD_ORDENES!A:BG,12,FALSE())</f>
        <v>__export__.product_product_281847_ef7c2892</v>
      </c>
      <c r="C335" s="64" t="n">
        <v>328</v>
      </c>
      <c r="D335" s="65" t="str">
        <f aca="false">VLOOKUP(A335,BD_ORDENES!A:BE,10,0)</f>
        <v>TIENDA GALERIAS</v>
      </c>
      <c r="E335" s="66" t="str">
        <f aca="false">VLOOKUP(A335,BD_ORDENES!A:BG,4,FALSE())</f>
        <v>ET2302</v>
      </c>
      <c r="F335" s="66" t="str">
        <f aca="false">VLOOKUP(A335,BD_ORDENES!A:BE,56,FALSE())</f>
        <v>S268799</v>
      </c>
      <c r="G335" s="67" t="str">
        <f aca="false">VLOOKUP(A335,BD_ORDENES!A:BE,13,FALSE())</f>
        <v>OBSEQUIO COJIN DECORATIVO</v>
      </c>
      <c r="H335" s="68" t="str">
        <f aca="false">VLOOKUP(A335,BD_ORDENES!A:BE,17,FALSE())</f>
        <v>COJIN</v>
      </c>
      <c r="I335" s="68" t="str">
        <f aca="false">VLOOKUP(A335,BD_ORDENES!A:BE,18,FALSE())</f>
        <v>OBSEQUIO-DECORATIVO</v>
      </c>
      <c r="J335" s="68" t="n">
        <f aca="false">VLOOKUP(A335,BD_ORDENES!A:BE,19,FALSE())</f>
        <v>0</v>
      </c>
      <c r="K335" s="68" t="n">
        <f aca="false">VLOOKUP(A335,BD_ORDENES!A:BE,20,FALSE())</f>
        <v>0</v>
      </c>
      <c r="L335" s="68" t="n">
        <f aca="false">VLOOKUP(A335,BD_ORDENES!A:BE,21,FALSE())</f>
        <v>0</v>
      </c>
      <c r="M335" s="69" t="n">
        <f aca="false">VLOOKUP(A335,BD_ORDENES!A:BE,14,FALSE())</f>
        <v>1</v>
      </c>
      <c r="N335" s="68" t="n">
        <f aca="false">VLOOKUP(A335,BD_ORDENES!A:BE,15,FALSE())</f>
        <v>0</v>
      </c>
      <c r="O335" s="68" t="str">
        <f aca="false">VLOOKUP(A335,BD_ORDENES!A:BE,33,FALSE())</f>
        <v>TRANSPORTADORA</v>
      </c>
      <c r="P335" s="68" t="n">
        <f aca="false">VLOOKUP(A335,BD_ORDENES!A:BE,23,FALSE())</f>
        <v>0</v>
      </c>
      <c r="Q335" s="68" t="str">
        <f aca="false">VLOOKUP(A335,BD_ORDENES!A:BE,52,FALSE())</f>
        <v>Obtener Bajo Pedido (MTO)</v>
      </c>
      <c r="R335" s="68" t="str">
        <f aca="false">VLOOKUP(A335,BD_ORDENES!A:BE,25,FALSE())</f>
        <v>BOGOTA</v>
      </c>
      <c r="S335" s="68" t="str">
        <f aca="false">VLOOKUP(A335,BD_ORDENES!A:BE,22,FALSE())</f>
        <v>KAROL MAYERLY LIZETH TOVAR VARGAS</v>
      </c>
      <c r="T335" s="65" t="str">
        <f aca="false">VLOOKUP(A335,BD_ORDENES!A:BE,55,FALSE())</f>
        <v>PRODUCCION</v>
      </c>
      <c r="U335" s="68" t="str">
        <f aca="false">VLOOKUP(A335,BD_ORDENES!A:BE,57,FALSE())</f>
        <v>1 ENVIA</v>
      </c>
      <c r="V335" s="70"/>
      <c r="W335" s="71"/>
    </row>
    <row r="336" s="72" customFormat="true" ht="98.25" hidden="false" customHeight="true" outlineLevel="0" collapsed="false">
      <c r="A336" s="62" t="n">
        <f aca="false">A335+1</f>
        <v>329</v>
      </c>
      <c r="B336" s="63" t="str">
        <f aca="false">VLOOKUP(A336,BD_ORDENES!A:BG,12,FALSE())</f>
        <v>__export__.product_product_239215_7eddc150</v>
      </c>
      <c r="C336" s="64" t="n">
        <v>329</v>
      </c>
      <c r="D336" s="65" t="str">
        <f aca="false">VLOOKUP(A336,BD_ORDENES!A:BE,10,0)</f>
        <v>HOME</v>
      </c>
      <c r="E336" s="66" t="n">
        <f aca="false">VLOOKUP(A336,BD_ORDENES!A:BG,4,FALSE())</f>
        <v>13899400</v>
      </c>
      <c r="F336" s="66" t="str">
        <f aca="false">VLOOKUP(A336,BD_ORDENES!A:BE,56,FALSE())</f>
        <v>S268781</v>
      </c>
      <c r="G336" s="67" t="str">
        <f aca="false">VLOOKUP(A336,BD_ORDENES!A:BE,13,FALSE())</f>
        <v>POLTRONA BALTIMORE DICOSTA GRIS (MATIZ NATURAL)</v>
      </c>
      <c r="H336" s="68" t="str">
        <f aca="false">VLOOKUP(A336,BD_ORDENES!A:BE,17,FALSE())</f>
        <v>POLTRONA</v>
      </c>
      <c r="I336" s="68" t="str">
        <f aca="false">VLOOKUP(A336,BD_ORDENES!A:BE,18,FALSE())</f>
        <v>BALTIMORE</v>
      </c>
      <c r="J336" s="68" t="str">
        <f aca="false">VLOOKUP(A336,BD_ORDENES!A:BE,19,FALSE())</f>
        <v>DICOSTA</v>
      </c>
      <c r="K336" s="68" t="str">
        <f aca="false">VLOOKUP(A336,BD_ORDENES!A:BE,20,FALSE())</f>
        <v>GRIS</v>
      </c>
      <c r="L336" s="68" t="str">
        <f aca="false">VLOOKUP(A336,BD_ORDENES!A:BE,21,FALSE())</f>
        <v>MATIZ-NATURAL</v>
      </c>
      <c r="M336" s="69" t="n">
        <f aca="false">VLOOKUP(A336,BD_ORDENES!A:BE,14,FALSE())</f>
        <v>16</v>
      </c>
      <c r="N336" s="68" t="n">
        <f aca="false">VLOOKUP(A336,BD_ORDENES!A:BE,15,FALSE())</f>
        <v>0</v>
      </c>
      <c r="O336" s="68" t="str">
        <f aca="false">VLOOKUP(A336,BD_ORDENES!A:BE,33,FALSE())</f>
        <v>PROV. CLIENTE</v>
      </c>
      <c r="P336" s="68" t="n">
        <f aca="false">VLOOKUP(A336,BD_ORDENES!A:BE,23,FALSE())</f>
        <v>0</v>
      </c>
      <c r="Q336" s="68" t="str">
        <f aca="false">VLOOKUP(A336,BD_ORDENES!A:BE,52,FALSE())</f>
        <v>Obtener Bajo Pedido (MTO)</v>
      </c>
      <c r="R336" s="68" t="str">
        <f aca="false">VLOOKUP(A336,BD_ORDENES!A:BE,25,FALSE())</f>
        <v>BOGOTA. D.C.</v>
      </c>
      <c r="S336" s="68" t="str">
        <f aca="false">VLOOKUP(A336,BD_ORDENES!A:BE,22,FALSE())</f>
        <v>INVERSIONES ALCABAMA S A</v>
      </c>
      <c r="T336" s="65" t="n">
        <f aca="false">VLOOKUP(A336,BD_ORDENES!A:BE,55,FALSE())</f>
        <v>0</v>
      </c>
      <c r="U336" s="68" t="str">
        <f aca="false">VLOOKUP(A336,BD_ORDENES!A:BE,57,FALSE())</f>
        <v>1.2 ENVIA</v>
      </c>
      <c r="V336" s="70"/>
      <c r="W336" s="71"/>
    </row>
    <row r="337" s="72" customFormat="true" ht="98.25" hidden="false" customHeight="true" outlineLevel="0" collapsed="false">
      <c r="A337" s="62" t="n">
        <f aca="false">A336+1</f>
        <v>330</v>
      </c>
      <c r="B337" s="63" t="str">
        <f aca="false">VLOOKUP(A337,BD_ORDENES!A:BG,12,FALSE())</f>
        <v>__export__.product_product_317819_2be79951</v>
      </c>
      <c r="C337" s="64" t="n">
        <v>330</v>
      </c>
      <c r="D337" s="65" t="str">
        <f aca="false">VLOOKUP(A337,BD_ORDENES!A:BE,10,0)</f>
        <v>HOME</v>
      </c>
      <c r="E337" s="66" t="n">
        <f aca="false">VLOOKUP(A337,BD_ORDENES!A:BG,4,FALSE())</f>
        <v>13899400</v>
      </c>
      <c r="F337" s="66" t="str">
        <f aca="false">VLOOKUP(A337,BD_ORDENES!A:BE,56,FALSE())</f>
        <v>S268781</v>
      </c>
      <c r="G337" s="67" t="str">
        <f aca="false">VLOOKUP(A337,BD_ORDENES!A:BE,13,FALSE())</f>
        <v>MESA DE CENTRO KAZAN WENGUE</v>
      </c>
      <c r="H337" s="68" t="str">
        <f aca="false">VLOOKUP(A337,BD_ORDENES!A:BE,17,FALSE())</f>
        <v>MESA-CENTRO</v>
      </c>
      <c r="I337" s="68" t="str">
        <f aca="false">VLOOKUP(A337,BD_ORDENES!A:BE,18,FALSE())</f>
        <v>KAZAN</v>
      </c>
      <c r="J337" s="68" t="n">
        <f aca="false">VLOOKUP(A337,BD_ORDENES!A:BE,19,FALSE())</f>
        <v>0</v>
      </c>
      <c r="K337" s="68" t="str">
        <f aca="false">VLOOKUP(A337,BD_ORDENES!A:BE,20,FALSE())</f>
        <v>MATIZ-WENGUE</v>
      </c>
      <c r="L337" s="68" t="str">
        <f aca="false">VLOOKUP(A337,BD_ORDENES!A:BE,21,FALSE())</f>
        <v>MATIZ-NEGRO</v>
      </c>
      <c r="M337" s="69" t="n">
        <f aca="false">VLOOKUP(A337,BD_ORDENES!A:BE,14,FALSE())</f>
        <v>4</v>
      </c>
      <c r="N337" s="68" t="n">
        <f aca="false">VLOOKUP(A337,BD_ORDENES!A:BE,15,FALSE())</f>
        <v>0</v>
      </c>
      <c r="O337" s="68" t="str">
        <f aca="false">VLOOKUP(A337,BD_ORDENES!A:BE,33,FALSE())</f>
        <v>PROV. CLIENTE</v>
      </c>
      <c r="P337" s="68" t="n">
        <f aca="false">VLOOKUP(A337,BD_ORDENES!A:BE,23,FALSE())</f>
        <v>0</v>
      </c>
      <c r="Q337" s="68" t="str">
        <f aca="false">VLOOKUP(A337,BD_ORDENES!A:BE,52,FALSE())</f>
        <v>Obtener Bajo Pedido (MTO)</v>
      </c>
      <c r="R337" s="68" t="str">
        <f aca="false">VLOOKUP(A337,BD_ORDENES!A:BE,25,FALSE())</f>
        <v>BOGOTA. D.C.</v>
      </c>
      <c r="S337" s="68" t="str">
        <f aca="false">VLOOKUP(A337,BD_ORDENES!A:BE,22,FALSE())</f>
        <v>INVERSIONES ALCABAMA S A</v>
      </c>
      <c r="T337" s="65" t="n">
        <f aca="false">VLOOKUP(A337,BD_ORDENES!A:BE,55,FALSE())</f>
        <v>0</v>
      </c>
      <c r="U337" s="68" t="str">
        <f aca="false">VLOOKUP(A337,BD_ORDENES!A:BE,57,FALSE())</f>
        <v>1.2 ENVIA</v>
      </c>
      <c r="V337" s="70"/>
      <c r="W337" s="71"/>
    </row>
    <row r="338" s="72" customFormat="true" ht="98.25" hidden="false" customHeight="true" outlineLevel="0" collapsed="false">
      <c r="A338" s="62" t="n">
        <f aca="false">A337+1</f>
        <v>331</v>
      </c>
      <c r="B338" s="63" t="str">
        <f aca="false">VLOOKUP(A338,BD_ORDENES!A:BG,12,FALSE())</f>
        <v>__export__.product_product_272677_038de425</v>
      </c>
      <c r="C338" s="64" t="n">
        <v>331</v>
      </c>
      <c r="D338" s="65" t="str">
        <f aca="false">VLOOKUP(A338,BD_ORDENES!A:BE,10,0)</f>
        <v>HOME</v>
      </c>
      <c r="E338" s="66" t="n">
        <f aca="false">VLOOKUP(A338,BD_ORDENES!A:BG,4,FALSE())</f>
        <v>13894897</v>
      </c>
      <c r="F338" s="66" t="str">
        <f aca="false">VLOOKUP(A338,BD_ORDENES!A:BE,56,FALSE())</f>
        <v>S268654</v>
      </c>
      <c r="G338" s="67" t="str">
        <f aca="false">VLOOKUP(A338,BD_ORDENES!A:BE,13,FALSE())</f>
        <v>POLTRONA TOULOUSE DENVER GRIS (MATIZ NATURAL)</v>
      </c>
      <c r="H338" s="68" t="str">
        <f aca="false">VLOOKUP(A338,BD_ORDENES!A:BE,17,FALSE())</f>
        <v>POLTRONA</v>
      </c>
      <c r="I338" s="68" t="str">
        <f aca="false">VLOOKUP(A338,BD_ORDENES!A:BE,18,FALSE())</f>
        <v>TOULOUSE</v>
      </c>
      <c r="J338" s="68" t="str">
        <f aca="false">VLOOKUP(A338,BD_ORDENES!A:BE,19,FALSE())</f>
        <v>DENVER</v>
      </c>
      <c r="K338" s="68" t="str">
        <f aca="false">VLOOKUP(A338,BD_ORDENES!A:BE,20,FALSE())</f>
        <v>GRIS</v>
      </c>
      <c r="L338" s="68" t="str">
        <f aca="false">VLOOKUP(A338,BD_ORDENES!A:BE,21,FALSE())</f>
        <v>MATIZ-NATURAL</v>
      </c>
      <c r="M338" s="69" t="n">
        <f aca="false">VLOOKUP(A338,BD_ORDENES!A:BE,14,FALSE())</f>
        <v>1</v>
      </c>
      <c r="N338" s="68" t="n">
        <f aca="false">VLOOKUP(A338,BD_ORDENES!A:BE,15,FALSE())</f>
        <v>0</v>
      </c>
      <c r="O338" s="68" t="str">
        <f aca="false">VLOOKUP(A338,BD_ORDENES!A:BE,33,FALSE())</f>
        <v>PROV. CLIENTE</v>
      </c>
      <c r="P338" s="68" t="n">
        <f aca="false">VLOOKUP(A338,BD_ORDENES!A:BE,23,FALSE())</f>
        <v>0</v>
      </c>
      <c r="Q338" s="68" t="str">
        <f aca="false">VLOOKUP(A338,BD_ORDENES!A:BE,52,FALSE())</f>
        <v>Obtener Bajo Pedido (MTO)</v>
      </c>
      <c r="R338" s="68" t="str">
        <f aca="false">VLOOKUP(A338,BD_ORDENES!A:BE,25,FALSE())</f>
        <v>CALI</v>
      </c>
      <c r="S338" s="68" t="str">
        <f aca="false">VLOOKUP(A338,BD_ORDENES!A:BE,22,FALSE())</f>
        <v>DANIELA ARBELAEZ TREJOS</v>
      </c>
      <c r="T338" s="65" t="str">
        <f aca="false">VLOOKUP(A338,BD_ORDENES!A:BE,55,FALSE())</f>
        <v>PRODUCCION</v>
      </c>
      <c r="U338" s="68" t="str">
        <f aca="false">VLOOKUP(A338,BD_ORDENES!A:BE,57,FALSE())</f>
        <v>1.1 ENVIA</v>
      </c>
      <c r="V338" s="70"/>
      <c r="W338" s="71"/>
    </row>
    <row r="339" s="72" customFormat="true" ht="98.25" hidden="false" customHeight="true" outlineLevel="0" collapsed="false">
      <c r="A339" s="62" t="n">
        <f aca="false">A338+1</f>
        <v>332</v>
      </c>
      <c r="B339" s="63" t="str">
        <f aca="false">VLOOKUP(A339,BD_ORDENES!A:BG,12,FALSE())</f>
        <v>__export__.product_product_296994_c5dbb66a</v>
      </c>
      <c r="C339" s="64" t="n">
        <v>332</v>
      </c>
      <c r="D339" s="65" t="str">
        <f aca="false">VLOOKUP(A339,BD_ORDENES!A:BE,10,0)</f>
        <v>FB</v>
      </c>
      <c r="E339" s="66" t="str">
        <f aca="false">VLOOKUP(A339,BD_ORDENES!A:BG,4,FALSE())</f>
        <v>DL1808</v>
      </c>
      <c r="F339" s="66" t="str">
        <f aca="false">VLOOKUP(A339,BD_ORDENES!A:BE,56,FALSE())</f>
        <v>S268362</v>
      </c>
      <c r="G339" s="67" t="str">
        <f aca="false">VLOOKUP(A339,BD_ORDENES!A:BE,13,FALSE())</f>
        <v>MESA VORU MADERA JG6 BLANCO (MATIZ NATURAL)</v>
      </c>
      <c r="H339" s="68" t="str">
        <f aca="false">VLOOKUP(A339,BD_ORDENES!A:BE,17,FALSE())</f>
        <v>MESA</v>
      </c>
      <c r="I339" s="68" t="str">
        <f aca="false">VLOOKUP(A339,BD_ORDENES!A:BE,18,FALSE())</f>
        <v>VORU-MADERA-JG6</v>
      </c>
      <c r="J339" s="68" t="n">
        <f aca="false">VLOOKUP(A339,BD_ORDENES!A:BE,19,FALSE())</f>
        <v>0</v>
      </c>
      <c r="K339" s="68" t="str">
        <f aca="false">VLOOKUP(A339,BD_ORDENES!A:BE,20,FALSE())</f>
        <v>BLANCO</v>
      </c>
      <c r="L339" s="68" t="str">
        <f aca="false">VLOOKUP(A339,BD_ORDENES!A:BE,21,FALSE())</f>
        <v>MATIZ-NATURAL</v>
      </c>
      <c r="M339" s="69" t="n">
        <f aca="false">VLOOKUP(A339,BD_ORDENES!A:BE,14,FALSE())</f>
        <v>1</v>
      </c>
      <c r="N339" s="68" t="n">
        <f aca="false">VLOOKUP(A339,BD_ORDENES!A:BE,15,FALSE())</f>
        <v>0</v>
      </c>
      <c r="O339" s="68" t="str">
        <f aca="false">VLOOKUP(A339,BD_ORDENES!A:BE,33,FALSE())</f>
        <v>TRANSPORTADORA HVM BGT</v>
      </c>
      <c r="P339" s="68" t="str">
        <f aca="false">VLOOKUP(A339,BD_ORDENES!A:BE,23,FALSE())</f>
        <v>SERVICIO DE ARMADO</v>
      </c>
      <c r="Q339" s="68" t="str">
        <f aca="false">VLOOKUP(A339,BD_ORDENES!A:BE,52,FALSE())</f>
        <v>Obtener Bajo Pedido (MTO)</v>
      </c>
      <c r="R339" s="68" t="str">
        <f aca="false">VLOOKUP(A339,BD_ORDENES!A:BE,25,FALSE())</f>
        <v>BOGOTA</v>
      </c>
      <c r="S339" s="68" t="str">
        <f aca="false">VLOOKUP(A339,BD_ORDENES!A:BE,22,FALSE())</f>
        <v>ISABELLA CORTES TENORIO</v>
      </c>
      <c r="T339" s="65" t="str">
        <f aca="false">VLOOKUP(A339,BD_ORDENES!A:BE,55,FALSE())</f>
        <v>BODEGA LISTO</v>
      </c>
      <c r="U339" s="68" t="str">
        <f aca="false">VLOOKUP(A339,BD_ORDENES!A:BE,57,FALSE())</f>
        <v>8 VENECIA</v>
      </c>
      <c r="V339" s="70"/>
      <c r="W339" s="71"/>
    </row>
    <row r="340" s="72" customFormat="true" ht="98.25" hidden="false" customHeight="true" outlineLevel="0" collapsed="false">
      <c r="A340" s="62" t="n">
        <f aca="false">A339+1</f>
        <v>333</v>
      </c>
      <c r="B340" s="63" t="str">
        <f aca="false">VLOOKUP(A340,BD_ORDENES!A:BG,12,FALSE())</f>
        <v>__export__.product_product_208510_676dc981</v>
      </c>
      <c r="C340" s="64" t="n">
        <v>333</v>
      </c>
      <c r="D340" s="65" t="str">
        <f aca="false">VLOOKUP(A340,BD_ORDENES!A:BE,10,0)</f>
        <v>FB</v>
      </c>
      <c r="E340" s="66" t="str">
        <f aca="false">VLOOKUP(A340,BD_ORDENES!A:BG,4,FALSE())</f>
        <v>DL1808</v>
      </c>
      <c r="F340" s="66" t="str">
        <f aca="false">VLOOKUP(A340,BD_ORDENES!A:BE,56,FALSE())</f>
        <v>S268362</v>
      </c>
      <c r="G340" s="67" t="str">
        <f aca="false">VLOOKUP(A340,BD_ORDENES!A:BE,13,FALSE())</f>
        <v>SILLA ORLEANS DICOSTA GRIS</v>
      </c>
      <c r="H340" s="68" t="str">
        <f aca="false">VLOOKUP(A340,BD_ORDENES!A:BE,17,FALSE())</f>
        <v>SILLA</v>
      </c>
      <c r="I340" s="68" t="str">
        <f aca="false">VLOOKUP(A340,BD_ORDENES!A:BE,18,FALSE())</f>
        <v>ORLEANS</v>
      </c>
      <c r="J340" s="68" t="str">
        <f aca="false">VLOOKUP(A340,BD_ORDENES!A:BE,19,FALSE())</f>
        <v>DICOSTA</v>
      </c>
      <c r="K340" s="68" t="str">
        <f aca="false">VLOOKUP(A340,BD_ORDENES!A:BE,20,FALSE())</f>
        <v>GRIS</v>
      </c>
      <c r="L340" s="68" t="n">
        <f aca="false">VLOOKUP(A340,BD_ORDENES!A:BE,21,FALSE())</f>
        <v>0</v>
      </c>
      <c r="M340" s="69" t="n">
        <f aca="false">VLOOKUP(A340,BD_ORDENES!A:BE,14,FALSE())</f>
        <v>6</v>
      </c>
      <c r="N340" s="68" t="n">
        <f aca="false">VLOOKUP(A340,BD_ORDENES!A:BE,15,FALSE())</f>
        <v>0</v>
      </c>
      <c r="O340" s="68" t="str">
        <f aca="false">VLOOKUP(A340,BD_ORDENES!A:BE,33,FALSE())</f>
        <v>TRANSPORTADORA HVM BGT</v>
      </c>
      <c r="P340" s="68" t="str">
        <f aca="false">VLOOKUP(A340,BD_ORDENES!A:BE,23,FALSE())</f>
        <v>SERVICIO DE ARMADO</v>
      </c>
      <c r="Q340" s="68" t="str">
        <f aca="false">VLOOKUP(A340,BD_ORDENES!A:BE,52,FALSE())</f>
        <v>Obtener Bajo Pedido (MTO)</v>
      </c>
      <c r="R340" s="68" t="str">
        <f aca="false">VLOOKUP(A340,BD_ORDENES!A:BE,25,FALSE())</f>
        <v>BOGOTA</v>
      </c>
      <c r="S340" s="68" t="str">
        <f aca="false">VLOOKUP(A340,BD_ORDENES!A:BE,22,FALSE())</f>
        <v>ISABELLA CORTES TENORIO</v>
      </c>
      <c r="T340" s="65" t="str">
        <f aca="false">VLOOKUP(A340,BD_ORDENES!A:BE,55,FALSE())</f>
        <v>BODEGA LISTO</v>
      </c>
      <c r="U340" s="68" t="str">
        <f aca="false">VLOOKUP(A340,BD_ORDENES!A:BE,57,FALSE())</f>
        <v>8 VENECIA</v>
      </c>
      <c r="V340" s="70"/>
      <c r="W340" s="71"/>
    </row>
    <row r="341" s="72" customFormat="true" ht="98.25" hidden="false" customHeight="true" outlineLevel="0" collapsed="false">
      <c r="A341" s="62" t="n">
        <f aca="false">A340+1</f>
        <v>334</v>
      </c>
      <c r="B341" s="63" t="str">
        <f aca="false">VLOOKUP(A341,BD_ORDENES!A:BG,12,FALSE())</f>
        <v>__export__.product_product_325729_a8f4f85a</v>
      </c>
      <c r="C341" s="64" t="n">
        <v>334</v>
      </c>
      <c r="D341" s="65" t="str">
        <f aca="false">VLOOKUP(A341,BD_ORDENES!A:BE,10,0)</f>
        <v>FB</v>
      </c>
      <c r="E341" s="66" t="str">
        <f aca="false">VLOOKUP(A341,BD_ORDENES!A:BG,4,FALSE())</f>
        <v>DL1808</v>
      </c>
      <c r="F341" s="66" t="str">
        <f aca="false">VLOOKUP(A341,BD_ORDENES!A:BE,56,FALSE())</f>
        <v>S268362</v>
      </c>
      <c r="G341" s="67" t="str">
        <f aca="false">VLOOKUP(A341,BD_ORDENES!A:BE,13,FALSE())</f>
        <v>SOFA HANNOVER 2P DICOSTA GRIS (MATIZ NATURAL)</v>
      </c>
      <c r="H341" s="68" t="str">
        <f aca="false">VLOOKUP(A341,BD_ORDENES!A:BE,17,FALSE())</f>
        <v>SOFA</v>
      </c>
      <c r="I341" s="68" t="str">
        <f aca="false">VLOOKUP(A341,BD_ORDENES!A:BE,18,FALSE())</f>
        <v>HANNOVER-2P</v>
      </c>
      <c r="J341" s="68" t="str">
        <f aca="false">VLOOKUP(A341,BD_ORDENES!A:BE,19,FALSE())</f>
        <v>DICOSTA</v>
      </c>
      <c r="K341" s="68" t="str">
        <f aca="false">VLOOKUP(A341,BD_ORDENES!A:BE,20,FALSE())</f>
        <v>GRIS</v>
      </c>
      <c r="L341" s="68" t="str">
        <f aca="false">VLOOKUP(A341,BD_ORDENES!A:BE,21,FALSE())</f>
        <v>MATIZ-NATURAL</v>
      </c>
      <c r="M341" s="69" t="n">
        <f aca="false">VLOOKUP(A341,BD_ORDENES!A:BE,14,FALSE())</f>
        <v>1</v>
      </c>
      <c r="N341" s="68" t="n">
        <f aca="false">VLOOKUP(A341,BD_ORDENES!A:BE,15,FALSE())</f>
        <v>0</v>
      </c>
      <c r="O341" s="68" t="str">
        <f aca="false">VLOOKUP(A341,BD_ORDENES!A:BE,33,FALSE())</f>
        <v>TRANSPORTADORA HVM BGT</v>
      </c>
      <c r="P341" s="68" t="str">
        <f aca="false">VLOOKUP(A341,BD_ORDENES!A:BE,23,FALSE())</f>
        <v>SERVICIO DE ARMADO</v>
      </c>
      <c r="Q341" s="68" t="str">
        <f aca="false">VLOOKUP(A341,BD_ORDENES!A:BE,52,FALSE())</f>
        <v>Obtener Bajo Pedido (MTO)</v>
      </c>
      <c r="R341" s="68" t="str">
        <f aca="false">VLOOKUP(A341,BD_ORDENES!A:BE,25,FALSE())</f>
        <v>BOGOTA</v>
      </c>
      <c r="S341" s="68" t="str">
        <f aca="false">VLOOKUP(A341,BD_ORDENES!A:BE,22,FALSE())</f>
        <v>ISABELLA CORTES TENORIO</v>
      </c>
      <c r="T341" s="65" t="str">
        <f aca="false">VLOOKUP(A341,BD_ORDENES!A:BE,55,FALSE())</f>
        <v>BODEGA LISTO</v>
      </c>
      <c r="U341" s="68" t="str">
        <f aca="false">VLOOKUP(A341,BD_ORDENES!A:BE,57,FALSE())</f>
        <v>8 VENECIA</v>
      </c>
      <c r="V341" s="70"/>
      <c r="W341" s="71"/>
    </row>
    <row r="342" s="72" customFormat="true" ht="98.25" hidden="false" customHeight="true" outlineLevel="0" collapsed="false">
      <c r="A342" s="62" t="n">
        <f aca="false">A341+1</f>
        <v>335</v>
      </c>
      <c r="B342" s="63" t="str">
        <f aca="false">VLOOKUP(A342,BD_ORDENES!A:BG,12,FALSE())</f>
        <v>__export__.product_product_308431_8772986a</v>
      </c>
      <c r="C342" s="64" t="n">
        <v>335</v>
      </c>
      <c r="D342" s="65" t="str">
        <f aca="false">VLOOKUP(A342,BD_ORDENES!A:BE,10,0)</f>
        <v>HOME</v>
      </c>
      <c r="E342" s="66" t="n">
        <f aca="false">VLOOKUP(A342,BD_ORDENES!A:BG,4,FALSE())</f>
        <v>13893898</v>
      </c>
      <c r="F342" s="66" t="str">
        <f aca="false">VLOOKUP(A342,BD_ORDENES!A:BE,56,FALSE())</f>
        <v>S268441</v>
      </c>
      <c r="G342" s="67" t="str">
        <f aca="false">VLOOKUP(A342,BD_ORDENES!A:BE,13,FALSE())</f>
        <v>CAMA LANUS DOBLE BLANCO - MATIZ NATURAL</v>
      </c>
      <c r="H342" s="68" t="str">
        <f aca="false">VLOOKUP(A342,BD_ORDENES!A:BE,17,FALSE())</f>
        <v>CAMA</v>
      </c>
      <c r="I342" s="68" t="str">
        <f aca="false">VLOOKUP(A342,BD_ORDENES!A:BE,18,FALSE())</f>
        <v>LANUS-DOBLE</v>
      </c>
      <c r="J342" s="68" t="n">
        <f aca="false">VLOOKUP(A342,BD_ORDENES!A:BE,19,FALSE())</f>
        <v>0</v>
      </c>
      <c r="K342" s="68" t="str">
        <f aca="false">VLOOKUP(A342,BD_ORDENES!A:BE,20,FALSE())</f>
        <v>BLANCO-MATIZ-NATURAL</v>
      </c>
      <c r="L342" s="68" t="str">
        <f aca="false">VLOOKUP(A342,BD_ORDENES!A:BE,21,FALSE())</f>
        <v>MATIZ-NATURAL</v>
      </c>
      <c r="M342" s="69" t="n">
        <f aca="false">VLOOKUP(A342,BD_ORDENES!A:BE,14,FALSE())</f>
        <v>1</v>
      </c>
      <c r="N342" s="68" t="n">
        <f aca="false">VLOOKUP(A342,BD_ORDENES!A:BE,15,FALSE())</f>
        <v>0</v>
      </c>
      <c r="O342" s="68" t="str">
        <f aca="false">VLOOKUP(A342,BD_ORDENES!A:BE,33,FALSE())</f>
        <v>PROV. CLIENTE</v>
      </c>
      <c r="P342" s="68" t="n">
        <f aca="false">VLOOKUP(A342,BD_ORDENES!A:BE,23,FALSE())</f>
        <v>0</v>
      </c>
      <c r="Q342" s="68" t="str">
        <f aca="false">VLOOKUP(A342,BD_ORDENES!A:BE,52,FALSE())</f>
        <v>Obtener Bajo Pedido (MTO)</v>
      </c>
      <c r="R342" s="68" t="str">
        <f aca="false">VLOOKUP(A342,BD_ORDENES!A:BE,25,FALSE())</f>
        <v>BOGOTA. D.C.</v>
      </c>
      <c r="S342" s="68" t="str">
        <f aca="false">VLOOKUP(A342,BD_ORDENES!A:BE,22,FALSE())</f>
        <v>TERESA ARIZMENDY</v>
      </c>
      <c r="T342" s="65" t="str">
        <f aca="false">VLOOKUP(A342,BD_ORDENES!A:BE,55,FALSE())</f>
        <v>PRODUCCION</v>
      </c>
      <c r="U342" s="68" t="str">
        <f aca="false">VLOOKUP(A342,BD_ORDENES!A:BE,57,FALSE())</f>
        <v>1.1 ENVIA</v>
      </c>
      <c r="V342" s="70"/>
      <c r="W342" s="71"/>
    </row>
    <row r="343" s="72" customFormat="true" ht="98.25" hidden="false" customHeight="true" outlineLevel="0" collapsed="false">
      <c r="A343" s="62" t="n">
        <f aca="false">A342+1</f>
        <v>336</v>
      </c>
      <c r="B343" s="63" t="str">
        <f aca="false">VLOOKUP(A343,BD_ORDENES!A:BG,12,FALSE())</f>
        <v>__export__.product_product_330644_b6ea6a83</v>
      </c>
      <c r="C343" s="64" t="n">
        <v>336</v>
      </c>
      <c r="D343" s="65" t="str">
        <f aca="false">VLOOKUP(A343,BD_ORDENES!A:BE,10,0)</f>
        <v>FALABELLA SELLER</v>
      </c>
      <c r="E343" s="66" t="n">
        <f aca="false">VLOOKUP(A343,BD_ORDENES!A:BG,4,FALSE())</f>
        <v>2717717646</v>
      </c>
      <c r="F343" s="66" t="str">
        <f aca="false">VLOOKUP(A343,BD_ORDENES!A:BE,56,FALSE())</f>
        <v>S268434</v>
      </c>
      <c r="G343" s="67" t="str">
        <f aca="false">VLOOKUP(A343,BD_ORDENES!A:BE,13,FALSE())</f>
        <v>CHAISE APOLO BRAZO DERECHO SKY GRIS (MATIZ CAOBA)</v>
      </c>
      <c r="H343" s="68" t="str">
        <f aca="false">VLOOKUP(A343,BD_ORDENES!A:BE,17,FALSE())</f>
        <v>CHAISE</v>
      </c>
      <c r="I343" s="68" t="str">
        <f aca="false">VLOOKUP(A343,BD_ORDENES!A:BE,18,FALSE())</f>
        <v>APOLO-BRAZO-DERECHO</v>
      </c>
      <c r="J343" s="68" t="str">
        <f aca="false">VLOOKUP(A343,BD_ORDENES!A:BE,19,FALSE())</f>
        <v>SKY</v>
      </c>
      <c r="K343" s="68" t="str">
        <f aca="false">VLOOKUP(A343,BD_ORDENES!A:BE,20,FALSE())</f>
        <v>GRIS</v>
      </c>
      <c r="L343" s="68" t="str">
        <f aca="false">VLOOKUP(A343,BD_ORDENES!A:BE,21,FALSE())</f>
        <v>MATIZ-CAOBA</v>
      </c>
      <c r="M343" s="69" t="n">
        <f aca="false">VLOOKUP(A343,BD_ORDENES!A:BE,14,FALSE())</f>
        <v>1</v>
      </c>
      <c r="N343" s="68" t="n">
        <f aca="false">VLOOKUP(A343,BD_ORDENES!A:BE,15,FALSE())</f>
        <v>0</v>
      </c>
      <c r="O343" s="68" t="str">
        <f aca="false">VLOOKUP(A343,BD_ORDENES!A:BE,33,FALSE())</f>
        <v>TRANSPORTADORA</v>
      </c>
      <c r="P343" s="68" t="n">
        <f aca="false">VLOOKUP(A343,BD_ORDENES!A:BE,23,FALSE())</f>
        <v>0</v>
      </c>
      <c r="Q343" s="68" t="str">
        <f aca="false">VLOOKUP(A343,BD_ORDENES!A:BE,52,FALSE())</f>
        <v>Obtener Bajo Pedido (MTO)</v>
      </c>
      <c r="R343" s="68" t="str">
        <f aca="false">VLOOKUP(A343,BD_ORDENES!A:BE,25,FALSE())</f>
        <v>LA ESTRELLA</v>
      </c>
      <c r="S343" s="68" t="str">
        <f aca="false">VLOOKUP(A343,BD_ORDENES!A:BE,22,FALSE())</f>
        <v>NILSON CHARRY</v>
      </c>
      <c r="T343" s="65" t="str">
        <f aca="false">VLOOKUP(A343,BD_ORDENES!A:BE,55,FALSE())</f>
        <v>PRODUCCION</v>
      </c>
      <c r="U343" s="68" t="str">
        <f aca="false">VLOOKUP(A343,BD_ORDENES!A:BE,57,FALSE())</f>
        <v>1 ENVIA</v>
      </c>
      <c r="V343" s="70"/>
      <c r="W343" s="71"/>
    </row>
    <row r="344" s="72" customFormat="true" ht="98.25" hidden="false" customHeight="true" outlineLevel="0" collapsed="false">
      <c r="A344" s="62" t="n">
        <f aca="false">A343+1</f>
        <v>337</v>
      </c>
      <c r="B344" s="63" t="str">
        <f aca="false">VLOOKUP(A344,BD_ORDENES!A:BG,12,FALSE())</f>
        <v>__export__.product_product_330646_3eb9e152</v>
      </c>
      <c r="C344" s="64" t="n">
        <v>337</v>
      </c>
      <c r="D344" s="65" t="str">
        <f aca="false">VLOOKUP(A344,BD_ORDENES!A:BE,10,0)</f>
        <v>FALABELLA SELLER</v>
      </c>
      <c r="E344" s="66" t="n">
        <f aca="false">VLOOKUP(A344,BD_ORDENES!A:BG,4,FALSE())</f>
        <v>2717717646</v>
      </c>
      <c r="F344" s="66" t="str">
        <f aca="false">VLOOKUP(A344,BD_ORDENES!A:BE,56,FALSE())</f>
        <v>S268434</v>
      </c>
      <c r="G344" s="67" t="str">
        <f aca="false">VLOOKUP(A344,BD_ORDENES!A:BE,13,FALSE())</f>
        <v>SOFA APOLO BRAZO IZQUIERDO SKY GRIS (MATIZ CAOBA)</v>
      </c>
      <c r="H344" s="68" t="str">
        <f aca="false">VLOOKUP(A344,BD_ORDENES!A:BE,17,FALSE())</f>
        <v>SOFA</v>
      </c>
      <c r="I344" s="68" t="str">
        <f aca="false">VLOOKUP(A344,BD_ORDENES!A:BE,18,FALSE())</f>
        <v>APOLO-BRAZO-IZQUIERDO</v>
      </c>
      <c r="J344" s="68" t="str">
        <f aca="false">VLOOKUP(A344,BD_ORDENES!A:BE,19,FALSE())</f>
        <v>SKY</v>
      </c>
      <c r="K344" s="68" t="str">
        <f aca="false">VLOOKUP(A344,BD_ORDENES!A:BE,20,FALSE())</f>
        <v>GRIS</v>
      </c>
      <c r="L344" s="68" t="str">
        <f aca="false">VLOOKUP(A344,BD_ORDENES!A:BE,21,FALSE())</f>
        <v>MATIZ-CAOBA</v>
      </c>
      <c r="M344" s="69" t="n">
        <f aca="false">VLOOKUP(A344,BD_ORDENES!A:BE,14,FALSE())</f>
        <v>1</v>
      </c>
      <c r="N344" s="68" t="n">
        <f aca="false">VLOOKUP(A344,BD_ORDENES!A:BE,15,FALSE())</f>
        <v>0</v>
      </c>
      <c r="O344" s="68" t="str">
        <f aca="false">VLOOKUP(A344,BD_ORDENES!A:BE,33,FALSE())</f>
        <v>TRANSPORTADORA</v>
      </c>
      <c r="P344" s="68" t="n">
        <f aca="false">VLOOKUP(A344,BD_ORDENES!A:BE,23,FALSE())</f>
        <v>0</v>
      </c>
      <c r="Q344" s="68" t="str">
        <f aca="false">VLOOKUP(A344,BD_ORDENES!A:BE,52,FALSE())</f>
        <v>Obtener Bajo Pedido (MTO)</v>
      </c>
      <c r="R344" s="68" t="str">
        <f aca="false">VLOOKUP(A344,BD_ORDENES!A:BE,25,FALSE())</f>
        <v>LA ESTRELLA</v>
      </c>
      <c r="S344" s="68" t="str">
        <f aca="false">VLOOKUP(A344,BD_ORDENES!A:BE,22,FALSE())</f>
        <v>NILSON CHARRY</v>
      </c>
      <c r="T344" s="65" t="str">
        <f aca="false">VLOOKUP(A344,BD_ORDENES!A:BE,55,FALSE())</f>
        <v>PRODUCCION</v>
      </c>
      <c r="U344" s="68" t="str">
        <f aca="false">VLOOKUP(A344,BD_ORDENES!A:BE,57,FALSE())</f>
        <v>1 ENVIA</v>
      </c>
      <c r="V344" s="70"/>
      <c r="W344" s="71"/>
    </row>
    <row r="345" s="72" customFormat="true" ht="98.25" hidden="false" customHeight="true" outlineLevel="0" collapsed="false">
      <c r="A345" s="62" t="n">
        <f aca="false">A344+1</f>
        <v>338</v>
      </c>
      <c r="B345" s="63" t="str">
        <f aca="false">VLOOKUP(A345,BD_ORDENES!A:BG,12,FALSE())</f>
        <v>__export__.product_product_176885_f6368e26</v>
      </c>
      <c r="C345" s="64" t="n">
        <v>338</v>
      </c>
      <c r="D345" s="65" t="str">
        <f aca="false">VLOOKUP(A345,BD_ORDENES!A:BE,10,0)</f>
        <v>HOME</v>
      </c>
      <c r="E345" s="66" t="n">
        <f aca="false">VLOOKUP(A345,BD_ORDENES!A:BG,4,FALSE())</f>
        <v>13890440</v>
      </c>
      <c r="F345" s="66" t="str">
        <f aca="false">VLOOKUP(A345,BD_ORDENES!A:BE,56,FALSE())</f>
        <v>S268334</v>
      </c>
      <c r="G345" s="67" t="str">
        <f aca="false">VLOOKUP(A345,BD_ORDENES!A:BE,13,FALSE())</f>
        <v>SOFA PORTO DICOSTA TAUPE (MATIZ NATURAL)</v>
      </c>
      <c r="H345" s="68" t="str">
        <f aca="false">VLOOKUP(A345,BD_ORDENES!A:BE,17,FALSE())</f>
        <v>SOFA</v>
      </c>
      <c r="I345" s="68" t="str">
        <f aca="false">VLOOKUP(A345,BD_ORDENES!A:BE,18,FALSE())</f>
        <v>PORTO</v>
      </c>
      <c r="J345" s="68" t="str">
        <f aca="false">VLOOKUP(A345,BD_ORDENES!A:BE,19,FALSE())</f>
        <v>DICOSTA</v>
      </c>
      <c r="K345" s="68" t="str">
        <f aca="false">VLOOKUP(A345,BD_ORDENES!A:BE,20,FALSE())</f>
        <v>TAUPE</v>
      </c>
      <c r="L345" s="68" t="str">
        <f aca="false">VLOOKUP(A345,BD_ORDENES!A:BE,21,FALSE())</f>
        <v>MATIZ-NATURAL</v>
      </c>
      <c r="M345" s="69" t="n">
        <f aca="false">VLOOKUP(A345,BD_ORDENES!A:BE,14,FALSE())</f>
        <v>1</v>
      </c>
      <c r="N345" s="68" t="n">
        <f aca="false">VLOOKUP(A345,BD_ORDENES!A:BE,15,FALSE())</f>
        <v>0</v>
      </c>
      <c r="O345" s="68" t="str">
        <f aca="false">VLOOKUP(A345,BD_ORDENES!A:BE,33,FALSE())</f>
        <v>PROV. CLIENTE</v>
      </c>
      <c r="P345" s="68" t="n">
        <f aca="false">VLOOKUP(A345,BD_ORDENES!A:BE,23,FALSE())</f>
        <v>0</v>
      </c>
      <c r="Q345" s="68" t="str">
        <f aca="false">VLOOKUP(A345,BD_ORDENES!A:BE,52,FALSE())</f>
        <v>Obtener Bajo Pedido (MTO)</v>
      </c>
      <c r="R345" s="68" t="str">
        <f aca="false">VLOOKUP(A345,BD_ORDENES!A:BE,25,FALSE())</f>
        <v>QUIBDO</v>
      </c>
      <c r="S345" s="68" t="str">
        <f aca="false">VLOOKUP(A345,BD_ORDENES!A:BE,22,FALSE())</f>
        <v>LADY VANESSA CACERES SALAS</v>
      </c>
      <c r="T345" s="65" t="str">
        <f aca="false">VLOOKUP(A345,BD_ORDENES!A:BE,55,FALSE())</f>
        <v>LOGISTICA</v>
      </c>
      <c r="U345" s="68" t="str">
        <f aca="false">VLOOKUP(A345,BD_ORDENES!A:BE,57,FALSE())</f>
        <v>1.1 ENVIA</v>
      </c>
      <c r="V345" s="70"/>
      <c r="W345" s="71"/>
    </row>
    <row r="346" s="72" customFormat="true" ht="98.25" hidden="false" customHeight="true" outlineLevel="0" collapsed="false">
      <c r="A346" s="62" t="n">
        <f aca="false">A345+1</f>
        <v>339</v>
      </c>
      <c r="B346" s="63" t="str">
        <f aca="false">VLOOKUP(A346,BD_ORDENES!A:BG,12,FALSE())</f>
        <v>__export__.product_product_333366_fe4d8188</v>
      </c>
      <c r="C346" s="64" t="n">
        <v>339</v>
      </c>
      <c r="D346" s="65" t="str">
        <f aca="false">VLOOKUP(A346,BD_ORDENES!A:BE,10,0)</f>
        <v>EXITO</v>
      </c>
      <c r="E346" s="66" t="n">
        <f aca="false">VLOOKUP(A346,BD_ORDENES!A:BG,4,FALSE())</f>
        <v>1508168005740</v>
      </c>
      <c r="F346" s="66" t="str">
        <f aca="false">VLOOKUP(A346,BD_ORDENES!A:BE,56,FALSE())</f>
        <v>S268091</v>
      </c>
      <c r="G346" s="67" t="str">
        <f aca="false">VLOOKUP(A346,BD_ORDENES!A:BE,13,FALSE())</f>
        <v>SOFA MORETTO SKY GRIS (MATIZ CAOBA)</v>
      </c>
      <c r="H346" s="68" t="str">
        <f aca="false">VLOOKUP(A346,BD_ORDENES!A:BE,17,FALSE())</f>
        <v>SOFA</v>
      </c>
      <c r="I346" s="68" t="str">
        <f aca="false">VLOOKUP(A346,BD_ORDENES!A:BE,18,FALSE())</f>
        <v>MORETTO</v>
      </c>
      <c r="J346" s="68" t="str">
        <f aca="false">VLOOKUP(A346,BD_ORDENES!A:BE,19,FALSE())</f>
        <v>SKY</v>
      </c>
      <c r="K346" s="68" t="str">
        <f aca="false">VLOOKUP(A346,BD_ORDENES!A:BE,20,FALSE())</f>
        <v>GRIS</v>
      </c>
      <c r="L346" s="68" t="str">
        <f aca="false">VLOOKUP(A346,BD_ORDENES!A:BE,21,FALSE())</f>
        <v>MATIZ-CAOBA</v>
      </c>
      <c r="M346" s="69" t="n">
        <f aca="false">VLOOKUP(A346,BD_ORDENES!A:BE,14,FALSE())</f>
        <v>1</v>
      </c>
      <c r="N346" s="68" t="n">
        <f aca="false">VLOOKUP(A346,BD_ORDENES!A:BE,15,FALSE())</f>
        <v>0</v>
      </c>
      <c r="O346" s="68" t="str">
        <f aca="false">VLOOKUP(A346,BD_ORDENES!A:BE,33,FALSE())</f>
        <v>TRANSPORTADORA</v>
      </c>
      <c r="P346" s="68" t="n">
        <f aca="false">VLOOKUP(A346,BD_ORDENES!A:BE,23,FALSE())</f>
        <v>0</v>
      </c>
      <c r="Q346" s="68" t="str">
        <f aca="false">VLOOKUP(A346,BD_ORDENES!A:BE,52,FALSE())</f>
        <v>Obtener Bajo Pedido (MTO)</v>
      </c>
      <c r="R346" s="68" t="str">
        <f aca="false">VLOOKUP(A346,BD_ORDENES!A:BE,25,FALSE())</f>
        <v>BUCARAMANGA</v>
      </c>
      <c r="S346" s="68" t="str">
        <f aca="false">VLOOKUP(A346,BD_ORDENES!A:BE,22,FALSE())</f>
        <v>ISABELLA SANTIS NIÑO</v>
      </c>
      <c r="T346" s="65" t="str">
        <f aca="false">VLOOKUP(A346,BD_ORDENES!A:BE,55,FALSE())</f>
        <v>PRODUCCION</v>
      </c>
      <c r="U346" s="68" t="str">
        <f aca="false">VLOOKUP(A346,BD_ORDENES!A:BE,57,FALSE())</f>
        <v>1 ENVIA</v>
      </c>
      <c r="V346" s="70"/>
      <c r="W346" s="71"/>
    </row>
    <row r="347" s="72" customFormat="true" ht="98.25" hidden="false" customHeight="true" outlineLevel="0" collapsed="false">
      <c r="A347" s="62" t="n">
        <f aca="false">A346+1</f>
        <v>340</v>
      </c>
      <c r="B347" s="63" t="str">
        <f aca="false">VLOOKUP(A347,BD_ORDENES!A:BG,12,FALSE())</f>
        <v>__export__.product_product_326292_3111cf41</v>
      </c>
      <c r="C347" s="64" t="n">
        <v>340</v>
      </c>
      <c r="D347" s="65" t="str">
        <f aca="false">VLOOKUP(A347,BD_ORDENES!A:BE,10,0)</f>
        <v>VF</v>
      </c>
      <c r="E347" s="66" t="str">
        <f aca="false">VLOOKUP(A347,BD_ORDENES!A:BG,4,FALSE())</f>
        <v>IG2016</v>
      </c>
      <c r="F347" s="66" t="str">
        <f aca="false">VLOOKUP(A347,BD_ORDENES!A:BE,56,FALSE())</f>
        <v>S267909</v>
      </c>
      <c r="G347" s="67" t="str">
        <f aca="false">VLOOKUP(A347,BD_ORDENES!A:BE,13,FALSE())</f>
        <v>ESCRITORIO CELES BLANCO (MATIZ NATURAL)</v>
      </c>
      <c r="H347" s="68" t="str">
        <f aca="false">VLOOKUP(A347,BD_ORDENES!A:BE,17,FALSE())</f>
        <v>ESCRITORIO</v>
      </c>
      <c r="I347" s="68" t="str">
        <f aca="false">VLOOKUP(A347,BD_ORDENES!A:BE,18,FALSE())</f>
        <v>CELES</v>
      </c>
      <c r="J347" s="68" t="n">
        <f aca="false">VLOOKUP(A347,BD_ORDENES!A:BE,19,FALSE())</f>
        <v>0</v>
      </c>
      <c r="K347" s="68" t="str">
        <f aca="false">VLOOKUP(A347,BD_ORDENES!A:BE,20,FALSE())</f>
        <v>BLANCO</v>
      </c>
      <c r="L347" s="68" t="str">
        <f aca="false">VLOOKUP(A347,BD_ORDENES!A:BE,21,FALSE())</f>
        <v>MATIZ-NATURAL</v>
      </c>
      <c r="M347" s="69" t="n">
        <f aca="false">VLOOKUP(A347,BD_ORDENES!A:BE,14,FALSE())</f>
        <v>1</v>
      </c>
      <c r="N347" s="68" t="n">
        <f aca="false">VLOOKUP(A347,BD_ORDENES!A:BE,15,FALSE())</f>
        <v>0</v>
      </c>
      <c r="O347" s="68" t="str">
        <f aca="false">VLOOKUP(A347,BD_ORDENES!A:BE,33,FALSE())</f>
        <v>RECOGE EN FABRICA - SALDO CONTRAENTREGA</v>
      </c>
      <c r="P347" s="68" t="n">
        <f aca="false">VLOOKUP(A347,BD_ORDENES!A:BE,23,FALSE())</f>
        <v>0</v>
      </c>
      <c r="Q347" s="68" t="str">
        <f aca="false">VLOOKUP(A347,BD_ORDENES!A:BE,52,FALSE())</f>
        <v>Retiro Inventario Bodega</v>
      </c>
      <c r="R347" s="68" t="str">
        <f aca="false">VLOOKUP(A347,BD_ORDENES!A:BE,25,FALSE())</f>
        <v>TUNJA</v>
      </c>
      <c r="S347" s="68" t="str">
        <f aca="false">VLOOKUP(A347,BD_ORDENES!A:BE,22,FALSE())</f>
        <v>YUDY RUIZ</v>
      </c>
      <c r="T347" s="65" t="str">
        <f aca="false">VLOOKUP(A347,BD_ORDENES!A:BE,55,FALSE())</f>
        <v>BODEGA LISTO</v>
      </c>
      <c r="U347" s="68" t="str">
        <f aca="false">VLOOKUP(A347,BD_ORDENES!A:BE,57,FALSE())</f>
        <v>0 BODEGA</v>
      </c>
      <c r="V347" s="70"/>
      <c r="W347" s="71"/>
    </row>
    <row r="348" s="72" customFormat="true" ht="98.25" hidden="false" customHeight="true" outlineLevel="0" collapsed="false">
      <c r="A348" s="62" t="n">
        <f aca="false">A347+1</f>
        <v>341</v>
      </c>
      <c r="B348" s="63" t="str">
        <f aca="false">VLOOKUP(A348,BD_ORDENES!A:BG,12,FALSE())</f>
        <v>__export__.product_product_329495_42943e5c</v>
      </c>
      <c r="C348" s="64" t="n">
        <v>341</v>
      </c>
      <c r="D348" s="65" t="str">
        <f aca="false">VLOOKUP(A348,BD_ORDENES!A:BE,10,0)</f>
        <v>VF</v>
      </c>
      <c r="E348" s="66" t="str">
        <f aca="false">VLOOKUP(A348,BD_ORDENES!A:BG,4,FALSE())</f>
        <v>IG2015</v>
      </c>
      <c r="F348" s="66" t="str">
        <f aca="false">VLOOKUP(A348,BD_ORDENES!A:BE,56,FALSE())</f>
        <v>S267908</v>
      </c>
      <c r="G348" s="67" t="str">
        <f aca="false">VLOOKUP(A348,BD_ORDENES!A:BE,13,FALSE())</f>
        <v>SILLA SABINA SKY SALMON (MATIZ CAOBA)</v>
      </c>
      <c r="H348" s="68" t="str">
        <f aca="false">VLOOKUP(A348,BD_ORDENES!A:BE,17,FALSE())</f>
        <v>SILLA</v>
      </c>
      <c r="I348" s="68" t="str">
        <f aca="false">VLOOKUP(A348,BD_ORDENES!A:BE,18,FALSE())</f>
        <v>SABINA</v>
      </c>
      <c r="J348" s="68" t="str">
        <f aca="false">VLOOKUP(A348,BD_ORDENES!A:BE,19,FALSE())</f>
        <v>SKY</v>
      </c>
      <c r="K348" s="68" t="str">
        <f aca="false">VLOOKUP(A348,BD_ORDENES!A:BE,20,FALSE())</f>
        <v>SALMON</v>
      </c>
      <c r="L348" s="68" t="str">
        <f aca="false">VLOOKUP(A348,BD_ORDENES!A:BE,21,FALSE())</f>
        <v>MATIZ-CAOBA</v>
      </c>
      <c r="M348" s="69" t="n">
        <f aca="false">VLOOKUP(A348,BD_ORDENES!A:BE,14,FALSE())</f>
        <v>1</v>
      </c>
      <c r="N348" s="68" t="n">
        <f aca="false">VLOOKUP(A348,BD_ORDENES!A:BE,15,FALSE())</f>
        <v>0</v>
      </c>
      <c r="O348" s="68" t="str">
        <f aca="false">VLOOKUP(A348,BD_ORDENES!A:BE,33,FALSE())</f>
        <v>RECOGE EN FABRICA - SALDO CONTRAENTREGA</v>
      </c>
      <c r="P348" s="68" t="n">
        <f aca="false">VLOOKUP(A348,BD_ORDENES!A:BE,23,FALSE())</f>
        <v>0</v>
      </c>
      <c r="Q348" s="68" t="str">
        <f aca="false">VLOOKUP(A348,BD_ORDENES!A:BE,52,FALSE())</f>
        <v>Obtener Bajo Pedido (MTO)</v>
      </c>
      <c r="R348" s="68" t="str">
        <f aca="false">VLOOKUP(A348,BD_ORDENES!A:BE,25,FALSE())</f>
        <v>BOGOTA</v>
      </c>
      <c r="S348" s="68" t="str">
        <f aca="false">VLOOKUP(A348,BD_ORDENES!A:BE,22,FALSE())</f>
        <v>PATRICIA ROMERO</v>
      </c>
      <c r="T348" s="65" t="str">
        <f aca="false">VLOOKUP(A348,BD_ORDENES!A:BE,55,FALSE())</f>
        <v>BODEGA LISTO</v>
      </c>
      <c r="U348" s="68" t="str">
        <f aca="false">VLOOKUP(A348,BD_ORDENES!A:BE,57,FALSE())</f>
        <v>0 BODEGA</v>
      </c>
      <c r="V348" s="70"/>
      <c r="W348" s="71"/>
    </row>
    <row r="349" s="72" customFormat="true" ht="98.25" hidden="false" customHeight="true" outlineLevel="0" collapsed="false">
      <c r="A349" s="62" t="n">
        <f aca="false">A348+1</f>
        <v>342</v>
      </c>
      <c r="B349" s="63" t="str">
        <f aca="false">VLOOKUP(A349,BD_ORDENES!A:BG,12,FALSE())</f>
        <v>__export__.product_product_321612_404554c4</v>
      </c>
      <c r="C349" s="64" t="n">
        <v>342</v>
      </c>
      <c r="D349" s="65" t="str">
        <f aca="false">VLOOKUP(A349,BD_ORDENES!A:BE,10,0)</f>
        <v>VF</v>
      </c>
      <c r="E349" s="66" t="str">
        <f aca="false">VLOOKUP(A349,BD_ORDENES!A:BG,4,FALSE())</f>
        <v>CM651</v>
      </c>
      <c r="F349" s="66" t="str">
        <f aca="false">VLOOKUP(A349,BD_ORDENES!A:BE,56,FALSE())</f>
        <v>S267861</v>
      </c>
      <c r="G349" s="67" t="str">
        <f aca="false">VLOOKUP(A349,BD_ORDENES!A:BE,13,FALSE())</f>
        <v>CHAISE BRAZO IZQUIERDO CHELSEA DICOSTA TRIGO (MATIZ CAOBA)</v>
      </c>
      <c r="H349" s="68" t="str">
        <f aca="false">VLOOKUP(A349,BD_ORDENES!A:BE,17,FALSE())</f>
        <v>CHAISE</v>
      </c>
      <c r="I349" s="68" t="str">
        <f aca="false">VLOOKUP(A349,BD_ORDENES!A:BE,18,FALSE())</f>
        <v>BRAZO-IZQUIERDO-CHELSEA</v>
      </c>
      <c r="J349" s="68" t="str">
        <f aca="false">VLOOKUP(A349,BD_ORDENES!A:BE,19,FALSE())</f>
        <v>DICOSTA</v>
      </c>
      <c r="K349" s="68" t="str">
        <f aca="false">VLOOKUP(A349,BD_ORDENES!A:BE,20,FALSE())</f>
        <v>TRIGO</v>
      </c>
      <c r="L349" s="68" t="str">
        <f aca="false">VLOOKUP(A349,BD_ORDENES!A:BE,21,FALSE())</f>
        <v>MATIZ-CAOBA</v>
      </c>
      <c r="M349" s="69" t="n">
        <f aca="false">VLOOKUP(A349,BD_ORDENES!A:BE,14,FALSE())</f>
        <v>1</v>
      </c>
      <c r="N349" s="68" t="n">
        <f aca="false">VLOOKUP(A349,BD_ORDENES!A:BE,15,FALSE())</f>
        <v>0</v>
      </c>
      <c r="O349" s="68" t="str">
        <f aca="false">VLOOKUP(A349,BD_ORDENES!A:BE,33,FALSE())</f>
        <v>CONTRA ENTREGA SALDO</v>
      </c>
      <c r="P349" s="68" t="n">
        <f aca="false">VLOOKUP(A349,BD_ORDENES!A:BE,23,FALSE())</f>
        <v>0</v>
      </c>
      <c r="Q349" s="68" t="str">
        <f aca="false">VLOOKUP(A349,BD_ORDENES!A:BE,52,FALSE())</f>
        <v>Obtener Bajo Pedido (MTO)</v>
      </c>
      <c r="R349" s="68" t="str">
        <f aca="false">VLOOKUP(A349,BD_ORDENES!A:BE,25,FALSE())</f>
        <v>TUNJA</v>
      </c>
      <c r="S349" s="68" t="str">
        <f aca="false">VLOOKUP(A349,BD_ORDENES!A:BE,22,FALSE())</f>
        <v>GLOBYTE SAS</v>
      </c>
      <c r="T349" s="65" t="str">
        <f aca="false">VLOOKUP(A349,BD_ORDENES!A:BE,55,FALSE())</f>
        <v>BODEGA LISTO</v>
      </c>
      <c r="U349" s="68" t="str">
        <f aca="false">VLOOKUP(A349,BD_ORDENES!A:BE,57,FALSE())</f>
        <v>0 BODEGA</v>
      </c>
      <c r="V349" s="70"/>
      <c r="W349" s="71"/>
    </row>
    <row r="350" s="72" customFormat="true" ht="98.25" hidden="false" customHeight="true" outlineLevel="0" collapsed="false">
      <c r="A350" s="62" t="n">
        <f aca="false">A349+1</f>
        <v>343</v>
      </c>
      <c r="B350" s="63" t="str">
        <f aca="false">VLOOKUP(A350,BD_ORDENES!A:BG,12,FALSE())</f>
        <v>__export__.product_product_321578_76490b22</v>
      </c>
      <c r="C350" s="64" t="n">
        <v>343</v>
      </c>
      <c r="D350" s="65" t="str">
        <f aca="false">VLOOKUP(A350,BD_ORDENES!A:BE,10,0)</f>
        <v>VF</v>
      </c>
      <c r="E350" s="66" t="str">
        <f aca="false">VLOOKUP(A350,BD_ORDENES!A:BG,4,FALSE())</f>
        <v>CM651</v>
      </c>
      <c r="F350" s="66" t="str">
        <f aca="false">VLOOKUP(A350,BD_ORDENES!A:BE,56,FALSE())</f>
        <v>S267861</v>
      </c>
      <c r="G350" s="67" t="str">
        <f aca="false">VLOOKUP(A350,BD_ORDENES!A:BE,13,FALSE())</f>
        <v>SOFA BRAZO DERECHO CHELSEA DICOSTA TRIGO (MATIZ CAOBA)</v>
      </c>
      <c r="H350" s="68" t="str">
        <f aca="false">VLOOKUP(A350,BD_ORDENES!A:BE,17,FALSE())</f>
        <v>SOFA</v>
      </c>
      <c r="I350" s="68" t="str">
        <f aca="false">VLOOKUP(A350,BD_ORDENES!A:BE,18,FALSE())</f>
        <v>BRAZO-DERECHO-CHELSEA</v>
      </c>
      <c r="J350" s="68" t="str">
        <f aca="false">VLOOKUP(A350,BD_ORDENES!A:BE,19,FALSE())</f>
        <v>DICOSTA</v>
      </c>
      <c r="K350" s="68" t="str">
        <f aca="false">VLOOKUP(A350,BD_ORDENES!A:BE,20,FALSE())</f>
        <v>TRIGO</v>
      </c>
      <c r="L350" s="68" t="str">
        <f aca="false">VLOOKUP(A350,BD_ORDENES!A:BE,21,FALSE())</f>
        <v>MATIZ-CAOBA</v>
      </c>
      <c r="M350" s="69" t="n">
        <f aca="false">VLOOKUP(A350,BD_ORDENES!A:BE,14,FALSE())</f>
        <v>1</v>
      </c>
      <c r="N350" s="68" t="n">
        <f aca="false">VLOOKUP(A350,BD_ORDENES!A:BE,15,FALSE())</f>
        <v>0</v>
      </c>
      <c r="O350" s="68" t="str">
        <f aca="false">VLOOKUP(A350,BD_ORDENES!A:BE,33,FALSE())</f>
        <v>CONTRA ENTREGA SALDO</v>
      </c>
      <c r="P350" s="68" t="n">
        <f aca="false">VLOOKUP(A350,BD_ORDENES!A:BE,23,FALSE())</f>
        <v>0</v>
      </c>
      <c r="Q350" s="68" t="str">
        <f aca="false">VLOOKUP(A350,BD_ORDENES!A:BE,52,FALSE())</f>
        <v>Obtener Bajo Pedido (MTO)</v>
      </c>
      <c r="R350" s="68" t="str">
        <f aca="false">VLOOKUP(A350,BD_ORDENES!A:BE,25,FALSE())</f>
        <v>TUNJA</v>
      </c>
      <c r="S350" s="68" t="str">
        <f aca="false">VLOOKUP(A350,BD_ORDENES!A:BE,22,FALSE())</f>
        <v>GLOBYTE SAS</v>
      </c>
      <c r="T350" s="65" t="str">
        <f aca="false">VLOOKUP(A350,BD_ORDENES!A:BE,55,FALSE())</f>
        <v>BODEGA LISTO</v>
      </c>
      <c r="U350" s="68" t="str">
        <f aca="false">VLOOKUP(A350,BD_ORDENES!A:BE,57,FALSE())</f>
        <v>0 BODEGA</v>
      </c>
      <c r="V350" s="70"/>
      <c r="W350" s="71"/>
    </row>
    <row r="351" s="72" customFormat="true" ht="98.25" hidden="false" customHeight="true" outlineLevel="0" collapsed="false">
      <c r="A351" s="62" t="n">
        <f aca="false">A350+1</f>
        <v>344</v>
      </c>
      <c r="B351" s="63" t="str">
        <f aca="false">VLOOKUP(A351,BD_ORDENES!A:BG,12,FALSE())</f>
        <v>__export__.product_product_318241_eeea0301</v>
      </c>
      <c r="C351" s="64" t="n">
        <v>344</v>
      </c>
      <c r="D351" s="65" t="str">
        <f aca="false">VLOOKUP(A351,BD_ORDENES!A:BE,10,0)</f>
        <v>VF</v>
      </c>
      <c r="E351" s="66" t="str">
        <f aca="false">VLOOKUP(A351,BD_ORDENES!A:BG,4,FALSE())</f>
        <v>CM651</v>
      </c>
      <c r="F351" s="66" t="str">
        <f aca="false">VLOOKUP(A351,BD_ORDENES!A:BE,56,FALSE())</f>
        <v>S267861</v>
      </c>
      <c r="G351" s="67" t="str">
        <f aca="false">VLOOKUP(A351,BD_ORDENES!A:BE,13,FALSE())</f>
        <v>POLTRONA DAYTONA DICOSTA PETROLEO (MATIZ CAOBA)</v>
      </c>
      <c r="H351" s="68" t="str">
        <f aca="false">VLOOKUP(A351,BD_ORDENES!A:BE,17,FALSE())</f>
        <v>POLTRONA</v>
      </c>
      <c r="I351" s="68" t="str">
        <f aca="false">VLOOKUP(A351,BD_ORDENES!A:BE,18,FALSE())</f>
        <v>DAYTONA</v>
      </c>
      <c r="J351" s="68" t="str">
        <f aca="false">VLOOKUP(A351,BD_ORDENES!A:BE,19,FALSE())</f>
        <v>DICOSTA</v>
      </c>
      <c r="K351" s="68" t="str">
        <f aca="false">VLOOKUP(A351,BD_ORDENES!A:BE,20,FALSE())</f>
        <v>PETROLEO</v>
      </c>
      <c r="L351" s="68" t="str">
        <f aca="false">VLOOKUP(A351,BD_ORDENES!A:BE,21,FALSE())</f>
        <v>MATIZ-CAOBA</v>
      </c>
      <c r="M351" s="69" t="n">
        <f aca="false">VLOOKUP(A351,BD_ORDENES!A:BE,14,FALSE())</f>
        <v>1</v>
      </c>
      <c r="N351" s="68" t="n">
        <f aca="false">VLOOKUP(A351,BD_ORDENES!A:BE,15,FALSE())</f>
        <v>0</v>
      </c>
      <c r="O351" s="68" t="str">
        <f aca="false">VLOOKUP(A351,BD_ORDENES!A:BE,33,FALSE())</f>
        <v>CONTRA ENTREGA SALDO</v>
      </c>
      <c r="P351" s="68" t="n">
        <f aca="false">VLOOKUP(A351,BD_ORDENES!A:BE,23,FALSE())</f>
        <v>0</v>
      </c>
      <c r="Q351" s="68" t="str">
        <f aca="false">VLOOKUP(A351,BD_ORDENES!A:BE,52,FALSE())</f>
        <v>Obtener Bajo Pedido (MTO)</v>
      </c>
      <c r="R351" s="68" t="str">
        <f aca="false">VLOOKUP(A351,BD_ORDENES!A:BE,25,FALSE())</f>
        <v>TUNJA</v>
      </c>
      <c r="S351" s="68" t="str">
        <f aca="false">VLOOKUP(A351,BD_ORDENES!A:BE,22,FALSE())</f>
        <v>GLOBYTE SAS</v>
      </c>
      <c r="T351" s="65" t="str">
        <f aca="false">VLOOKUP(A351,BD_ORDENES!A:BE,55,FALSE())</f>
        <v>BODEGA LISTO</v>
      </c>
      <c r="U351" s="68" t="str">
        <f aca="false">VLOOKUP(A351,BD_ORDENES!A:BE,57,FALSE())</f>
        <v>0 BODEGA</v>
      </c>
      <c r="V351" s="70"/>
      <c r="W351" s="71"/>
    </row>
    <row r="352" s="72" customFormat="true" ht="136.5" hidden="false" customHeight="true" outlineLevel="0" collapsed="false">
      <c r="A352" s="62" t="n">
        <f aca="false">A351+1</f>
        <v>345</v>
      </c>
      <c r="B352" s="63" t="str">
        <f aca="false">VLOOKUP(A352,BD_ORDENES!A:BG,12,FALSE())</f>
        <v>__export__.product_product_328990_933e950b</v>
      </c>
      <c r="C352" s="64" t="n">
        <v>345</v>
      </c>
      <c r="D352" s="65" t="str">
        <f aca="false">VLOOKUP(A352,BD_ORDENES!A:BE,10,0)</f>
        <v>VF</v>
      </c>
      <c r="E352" s="66" t="str">
        <f aca="false">VLOOKUP(A352,BD_ORDENES!A:BG,4,FALSE())</f>
        <v>CM651</v>
      </c>
      <c r="F352" s="66" t="str">
        <f aca="false">VLOOKUP(A352,BD_ORDENES!A:BE,56,FALSE())</f>
        <v>S267861</v>
      </c>
      <c r="G352" s="67" t="str">
        <f aca="false">VLOOKUP(A352,BD_ORDENES!A:BE,13,FALSE())</f>
        <v>MESA DE CENTRO ARK MACULA - NEGRO</v>
      </c>
      <c r="H352" s="68" t="str">
        <f aca="false">VLOOKUP(A352,BD_ORDENES!A:BE,17,FALSE())</f>
        <v>MESA-CENTRO</v>
      </c>
      <c r="I352" s="68" t="str">
        <f aca="false">VLOOKUP(A352,BD_ORDENES!A:BE,18,FALSE())</f>
        <v>ARK</v>
      </c>
      <c r="J352" s="68" t="n">
        <f aca="false">VLOOKUP(A352,BD_ORDENES!A:BE,19,FALSE())</f>
        <v>0</v>
      </c>
      <c r="K352" s="68" t="str">
        <f aca="false">VLOOKUP(A352,BD_ORDENES!A:BE,20,FALSE())</f>
        <v>MACULA-NEGRO</v>
      </c>
      <c r="L352" s="68" t="n">
        <f aca="false">VLOOKUP(A352,BD_ORDENES!A:BE,21,FALSE())</f>
        <v>0</v>
      </c>
      <c r="M352" s="69" t="n">
        <f aca="false">VLOOKUP(A352,BD_ORDENES!A:BE,14,FALSE())</f>
        <v>1</v>
      </c>
      <c r="N352" s="68" t="n">
        <f aca="false">VLOOKUP(A352,BD_ORDENES!A:BE,15,FALSE())</f>
        <v>0</v>
      </c>
      <c r="O352" s="68" t="str">
        <f aca="false">VLOOKUP(A352,BD_ORDENES!A:BE,33,FALSE())</f>
        <v>CONTRA ENTREGA SALDO</v>
      </c>
      <c r="P352" s="68" t="n">
        <f aca="false">VLOOKUP(A352,BD_ORDENES!A:BE,23,FALSE())</f>
        <v>0</v>
      </c>
      <c r="Q352" s="68" t="str">
        <f aca="false">VLOOKUP(A352,BD_ORDENES!A:BE,52,FALSE())</f>
        <v>Obtener Bajo Pedido (MTO)</v>
      </c>
      <c r="R352" s="68" t="str">
        <f aca="false">VLOOKUP(A352,BD_ORDENES!A:BE,25,FALSE())</f>
        <v>TUNJA</v>
      </c>
      <c r="S352" s="68" t="str">
        <f aca="false">VLOOKUP(A352,BD_ORDENES!A:BE,22,FALSE())</f>
        <v>GLOBYTE SAS</v>
      </c>
      <c r="T352" s="65" t="str">
        <f aca="false">VLOOKUP(A352,BD_ORDENES!A:BE,55,FALSE())</f>
        <v>BODEGA LISTO</v>
      </c>
      <c r="U352" s="68" t="str">
        <f aca="false">VLOOKUP(A352,BD_ORDENES!A:BE,57,FALSE())</f>
        <v>0 BODEGA</v>
      </c>
      <c r="V352" s="70"/>
      <c r="W352" s="71"/>
    </row>
    <row r="353" s="72" customFormat="true" ht="136.5" hidden="false" customHeight="true" outlineLevel="0" collapsed="false">
      <c r="A353" s="62" t="n">
        <f aca="false">A352+1</f>
        <v>346</v>
      </c>
      <c r="B353" s="63" t="str">
        <f aca="false">VLOOKUP(A353,BD_ORDENES!A:BG,12,FALSE())</f>
        <v>__export__.product_product_188079_19b614ff</v>
      </c>
      <c r="C353" s="64" t="n">
        <v>346</v>
      </c>
      <c r="D353" s="65" t="str">
        <f aca="false">VLOOKUP(A353,BD_ORDENES!A:BE,10,0)</f>
        <v>VF</v>
      </c>
      <c r="E353" s="66" t="str">
        <f aca="false">VLOOKUP(A353,BD_ORDENES!A:BG,4,FALSE())</f>
        <v>CM651</v>
      </c>
      <c r="F353" s="66" t="str">
        <f aca="false">VLOOKUP(A353,BD_ORDENES!A:BE,56,FALSE())</f>
        <v>S267861</v>
      </c>
      <c r="G353" s="67" t="str">
        <f aca="false">VLOOKUP(A353,BD_ORDENES!A:BE,13,FALSE())</f>
        <v>COJIN VENECIA DICOSTA TRIGO</v>
      </c>
      <c r="H353" s="68" t="str">
        <f aca="false">VLOOKUP(A353,BD_ORDENES!A:BE,17,FALSE())</f>
        <v>COJIN</v>
      </c>
      <c r="I353" s="68" t="str">
        <f aca="false">VLOOKUP(A353,BD_ORDENES!A:BE,18,FALSE())</f>
        <v>VENECIA</v>
      </c>
      <c r="J353" s="68" t="str">
        <f aca="false">VLOOKUP(A353,BD_ORDENES!A:BE,19,FALSE())</f>
        <v>DICOSTA</v>
      </c>
      <c r="K353" s="68" t="str">
        <f aca="false">VLOOKUP(A353,BD_ORDENES!A:BE,20,FALSE())</f>
        <v>TRIGO</v>
      </c>
      <c r="L353" s="68" t="n">
        <f aca="false">VLOOKUP(A353,BD_ORDENES!A:BE,21,FALSE())</f>
        <v>0</v>
      </c>
      <c r="M353" s="69" t="n">
        <f aca="false">VLOOKUP(A353,BD_ORDENES!A:BE,14,FALSE())</f>
        <v>1</v>
      </c>
      <c r="N353" s="68" t="n">
        <f aca="false">VLOOKUP(A353,BD_ORDENES!A:BE,15,FALSE())</f>
        <v>0</v>
      </c>
      <c r="O353" s="68" t="str">
        <f aca="false">VLOOKUP(A353,BD_ORDENES!A:BE,33,FALSE())</f>
        <v>CONTRA ENTREGA SALDO</v>
      </c>
      <c r="P353" s="68" t="n">
        <f aca="false">VLOOKUP(A353,BD_ORDENES!A:BE,23,FALSE())</f>
        <v>0</v>
      </c>
      <c r="Q353" s="68" t="str">
        <f aca="false">VLOOKUP(A353,BD_ORDENES!A:BE,52,FALSE())</f>
        <v>Obtener Bajo Pedido (MTO)</v>
      </c>
      <c r="R353" s="68" t="str">
        <f aca="false">VLOOKUP(A353,BD_ORDENES!A:BE,25,FALSE())</f>
        <v>TUNJA</v>
      </c>
      <c r="S353" s="68" t="str">
        <f aca="false">VLOOKUP(A353,BD_ORDENES!A:BE,22,FALSE())</f>
        <v>GLOBYTE SAS</v>
      </c>
      <c r="T353" s="65" t="str">
        <f aca="false">VLOOKUP(A353,BD_ORDENES!A:BE,55,FALSE())</f>
        <v>BODEGA LISTO</v>
      </c>
      <c r="U353" s="68" t="str">
        <f aca="false">VLOOKUP(A353,BD_ORDENES!A:BE,57,FALSE())</f>
        <v>0 BODEGA</v>
      </c>
      <c r="V353" s="70"/>
      <c r="W353" s="71"/>
    </row>
    <row r="354" s="72" customFormat="true" ht="98.25" hidden="false" customHeight="true" outlineLevel="0" collapsed="false">
      <c r="A354" s="62" t="n">
        <f aca="false">A353+1</f>
        <v>347</v>
      </c>
      <c r="B354" s="63" t="str">
        <f aca="false">VLOOKUP(A354,BD_ORDENES!A:BG,12,FALSE())</f>
        <v>__export__.product_product_188076_0a9f9767</v>
      </c>
      <c r="C354" s="64" t="n">
        <v>347</v>
      </c>
      <c r="D354" s="65" t="str">
        <f aca="false">VLOOKUP(A354,BD_ORDENES!A:BE,10,0)</f>
        <v>VF</v>
      </c>
      <c r="E354" s="66" t="str">
        <f aca="false">VLOOKUP(A354,BD_ORDENES!A:BG,4,FALSE())</f>
        <v>CM651</v>
      </c>
      <c r="F354" s="66" t="str">
        <f aca="false">VLOOKUP(A354,BD_ORDENES!A:BE,56,FALSE())</f>
        <v>S267861</v>
      </c>
      <c r="G354" s="67" t="str">
        <f aca="false">VLOOKUP(A354,BD_ORDENES!A:BE,13,FALSE())</f>
        <v>COJIN VENECIA DICOSTA PETROLEO</v>
      </c>
      <c r="H354" s="68" t="str">
        <f aca="false">VLOOKUP(A354,BD_ORDENES!A:BE,17,FALSE())</f>
        <v>COJIN</v>
      </c>
      <c r="I354" s="68" t="str">
        <f aca="false">VLOOKUP(A354,BD_ORDENES!A:BE,18,FALSE())</f>
        <v>VENECIA</v>
      </c>
      <c r="J354" s="68" t="str">
        <f aca="false">VLOOKUP(A354,BD_ORDENES!A:BE,19,FALSE())</f>
        <v>DICOSTA</v>
      </c>
      <c r="K354" s="68" t="str">
        <f aca="false">VLOOKUP(A354,BD_ORDENES!A:BE,20,FALSE())</f>
        <v>PETROLEO</v>
      </c>
      <c r="L354" s="68" t="n">
        <f aca="false">VLOOKUP(A354,BD_ORDENES!A:BE,21,FALSE())</f>
        <v>0</v>
      </c>
      <c r="M354" s="69" t="n">
        <f aca="false">VLOOKUP(A354,BD_ORDENES!A:BE,14,FALSE())</f>
        <v>1</v>
      </c>
      <c r="N354" s="68" t="n">
        <f aca="false">VLOOKUP(A354,BD_ORDENES!A:BE,15,FALSE())</f>
        <v>0</v>
      </c>
      <c r="O354" s="68" t="str">
        <f aca="false">VLOOKUP(A354,BD_ORDENES!A:BE,33,FALSE())</f>
        <v>CONTRA ENTREGA SALDO</v>
      </c>
      <c r="P354" s="68" t="n">
        <f aca="false">VLOOKUP(A354,BD_ORDENES!A:BE,23,FALSE())</f>
        <v>0</v>
      </c>
      <c r="Q354" s="68" t="str">
        <f aca="false">VLOOKUP(A354,BD_ORDENES!A:BE,52,FALSE())</f>
        <v>Obtener Bajo Pedido (MTO)</v>
      </c>
      <c r="R354" s="68" t="str">
        <f aca="false">VLOOKUP(A354,BD_ORDENES!A:BE,25,FALSE())</f>
        <v>TUNJA</v>
      </c>
      <c r="S354" s="68" t="str">
        <f aca="false">VLOOKUP(A354,BD_ORDENES!A:BE,22,FALSE())</f>
        <v>GLOBYTE SAS</v>
      </c>
      <c r="T354" s="65" t="str">
        <f aca="false">VLOOKUP(A354,BD_ORDENES!A:BE,55,FALSE())</f>
        <v>BODEGA LISTO</v>
      </c>
      <c r="U354" s="68" t="str">
        <f aca="false">VLOOKUP(A354,BD_ORDENES!A:BE,57,FALSE())</f>
        <v>0 BODEGA</v>
      </c>
      <c r="V354" s="70"/>
      <c r="W354" s="71"/>
    </row>
    <row r="355" s="72" customFormat="true" ht="98.25" hidden="false" customHeight="true" outlineLevel="0" collapsed="false">
      <c r="A355" s="62" t="n">
        <f aca="false">A354+1</f>
        <v>348</v>
      </c>
      <c r="B355" s="63" t="str">
        <f aca="false">VLOOKUP(A355,BD_ORDENES!A:BG,12,FALSE())</f>
        <v>__export__.product_product_188072_47f1b67a</v>
      </c>
      <c r="C355" s="64" t="n">
        <v>348</v>
      </c>
      <c r="D355" s="65" t="str">
        <f aca="false">VLOOKUP(A355,BD_ORDENES!A:BE,10,0)</f>
        <v>VF</v>
      </c>
      <c r="E355" s="66" t="str">
        <f aca="false">VLOOKUP(A355,BD_ORDENES!A:BG,4,FALSE())</f>
        <v>CM651</v>
      </c>
      <c r="F355" s="66" t="str">
        <f aca="false">VLOOKUP(A355,BD_ORDENES!A:BE,56,FALSE())</f>
        <v>S267861</v>
      </c>
      <c r="G355" s="67" t="str">
        <f aca="false">VLOOKUP(A355,BD_ORDENES!A:BE,13,FALSE())</f>
        <v>COJIN VENECIA DICOSTA MOSTAZA</v>
      </c>
      <c r="H355" s="68" t="str">
        <f aca="false">VLOOKUP(A355,BD_ORDENES!A:BE,17,FALSE())</f>
        <v>COJIN</v>
      </c>
      <c r="I355" s="68" t="str">
        <f aca="false">VLOOKUP(A355,BD_ORDENES!A:BE,18,FALSE())</f>
        <v>VENECIA</v>
      </c>
      <c r="J355" s="68" t="str">
        <f aca="false">VLOOKUP(A355,BD_ORDENES!A:BE,19,FALSE())</f>
        <v>DICOSTA</v>
      </c>
      <c r="K355" s="68" t="str">
        <f aca="false">VLOOKUP(A355,BD_ORDENES!A:BE,20,FALSE())</f>
        <v>MOSTAZA</v>
      </c>
      <c r="L355" s="68" t="n">
        <f aca="false">VLOOKUP(A355,BD_ORDENES!A:BE,21,FALSE())</f>
        <v>0</v>
      </c>
      <c r="M355" s="69" t="n">
        <f aca="false">VLOOKUP(A355,BD_ORDENES!A:BE,14,FALSE())</f>
        <v>1</v>
      </c>
      <c r="N355" s="68" t="n">
        <f aca="false">VLOOKUP(A355,BD_ORDENES!A:BE,15,FALSE())</f>
        <v>0</v>
      </c>
      <c r="O355" s="68" t="str">
        <f aca="false">VLOOKUP(A355,BD_ORDENES!A:BE,33,FALSE())</f>
        <v>CONTRA ENTREGA SALDO</v>
      </c>
      <c r="P355" s="68" t="n">
        <f aca="false">VLOOKUP(A355,BD_ORDENES!A:BE,23,FALSE())</f>
        <v>0</v>
      </c>
      <c r="Q355" s="68" t="str">
        <f aca="false">VLOOKUP(A355,BD_ORDENES!A:BE,52,FALSE())</f>
        <v>Obtener Bajo Pedido (MTO)</v>
      </c>
      <c r="R355" s="68" t="str">
        <f aca="false">VLOOKUP(A355,BD_ORDENES!A:BE,25,FALSE())</f>
        <v>TUNJA</v>
      </c>
      <c r="S355" s="68" t="str">
        <f aca="false">VLOOKUP(A355,BD_ORDENES!A:BE,22,FALSE())</f>
        <v>GLOBYTE SAS</v>
      </c>
      <c r="T355" s="65" t="str">
        <f aca="false">VLOOKUP(A355,BD_ORDENES!A:BE,55,FALSE())</f>
        <v>BODEGA LISTO</v>
      </c>
      <c r="U355" s="68" t="str">
        <f aca="false">VLOOKUP(A355,BD_ORDENES!A:BE,57,FALSE())</f>
        <v>0 BODEGA</v>
      </c>
      <c r="V355" s="70"/>
      <c r="W355" s="71"/>
    </row>
    <row r="356" s="72" customFormat="true" ht="98.25" hidden="false" customHeight="true" outlineLevel="0" collapsed="false">
      <c r="A356" s="62" t="n">
        <f aca="false">A355+1</f>
        <v>349</v>
      </c>
      <c r="B356" s="63" t="str">
        <f aca="false">VLOOKUP(A356,BD_ORDENES!A:BG,12,FALSE())</f>
        <v>__export__.product_product_334471_16c710a0</v>
      </c>
      <c r="C356" s="64" t="n">
        <v>349</v>
      </c>
      <c r="D356" s="65" t="str">
        <f aca="false">VLOOKUP(A356,BD_ORDENES!A:BE,10,0)</f>
        <v>VF</v>
      </c>
      <c r="E356" s="66" t="str">
        <f aca="false">VLOOKUP(A356,BD_ORDENES!A:BG,4,FALSE())</f>
        <v>CM651</v>
      </c>
      <c r="F356" s="66" t="str">
        <f aca="false">VLOOKUP(A356,BD_ORDENES!A:BE,56,FALSE())</f>
        <v>S267861</v>
      </c>
      <c r="G356" s="67" t="str">
        <f aca="false">VLOOKUP(A356,BD_ORDENES!A:BE,13,FALSE())</f>
        <v>POLTRONA DAYTONA DICOSTA MOSTAZA (MATIZ CAOBA)</v>
      </c>
      <c r="H356" s="68" t="str">
        <f aca="false">VLOOKUP(A356,BD_ORDENES!A:BE,17,FALSE())</f>
        <v>POLTRONA</v>
      </c>
      <c r="I356" s="68" t="str">
        <f aca="false">VLOOKUP(A356,BD_ORDENES!A:BE,18,FALSE())</f>
        <v>DAYTONA</v>
      </c>
      <c r="J356" s="68" t="str">
        <f aca="false">VLOOKUP(A356,BD_ORDENES!A:BE,19,FALSE())</f>
        <v>DICOSTA</v>
      </c>
      <c r="K356" s="68" t="str">
        <f aca="false">VLOOKUP(A356,BD_ORDENES!A:BE,20,FALSE())</f>
        <v>MOSTAZA</v>
      </c>
      <c r="L356" s="68" t="str">
        <f aca="false">VLOOKUP(A356,BD_ORDENES!A:BE,21,FALSE())</f>
        <v>MATIZ-CAOBA</v>
      </c>
      <c r="M356" s="69" t="n">
        <f aca="false">VLOOKUP(A356,BD_ORDENES!A:BE,14,FALSE())</f>
        <v>1</v>
      </c>
      <c r="N356" s="68" t="n">
        <f aca="false">VLOOKUP(A356,BD_ORDENES!A:BE,15,FALSE())</f>
        <v>0</v>
      </c>
      <c r="O356" s="68" t="str">
        <f aca="false">VLOOKUP(A356,BD_ORDENES!A:BE,33,FALSE())</f>
        <v>CONTRA ENTREGA SALDO</v>
      </c>
      <c r="P356" s="68" t="n">
        <f aca="false">VLOOKUP(A356,BD_ORDENES!A:BE,23,FALSE())</f>
        <v>0</v>
      </c>
      <c r="Q356" s="68" t="str">
        <f aca="false">VLOOKUP(A356,BD_ORDENES!A:BE,52,FALSE())</f>
        <v>Obtener Bajo Pedido (MTO)</v>
      </c>
      <c r="R356" s="68" t="str">
        <f aca="false">VLOOKUP(A356,BD_ORDENES!A:BE,25,FALSE())</f>
        <v>TUNJA</v>
      </c>
      <c r="S356" s="68" t="str">
        <f aca="false">VLOOKUP(A356,BD_ORDENES!A:BE,22,FALSE())</f>
        <v>GLOBYTE SAS</v>
      </c>
      <c r="T356" s="65" t="str">
        <f aca="false">VLOOKUP(A356,BD_ORDENES!A:BE,55,FALSE())</f>
        <v>BODEGA LISTO</v>
      </c>
      <c r="U356" s="68" t="str">
        <f aca="false">VLOOKUP(A356,BD_ORDENES!A:BE,57,FALSE())</f>
        <v>0 BODEGA</v>
      </c>
      <c r="V356" s="70"/>
      <c r="W356" s="71"/>
    </row>
    <row r="357" s="72" customFormat="true" ht="98.25" hidden="false" customHeight="true" outlineLevel="0" collapsed="false">
      <c r="A357" s="62" t="n">
        <f aca="false">A356+1</f>
        <v>350</v>
      </c>
      <c r="B357" s="63" t="str">
        <f aca="false">VLOOKUP(A357,BD_ORDENES!A:BG,12,FALSE())</f>
        <v>__export__.product_product_333636_76cfbb3c</v>
      </c>
      <c r="C357" s="64" t="n">
        <v>350</v>
      </c>
      <c r="D357" s="65" t="str">
        <f aca="false">VLOOKUP(A357,BD_ORDENES!A:BE,10,0)</f>
        <v>VF</v>
      </c>
      <c r="E357" s="66" t="str">
        <f aca="false">VLOOKUP(A357,BD_ORDENES!A:BG,4,FALSE())</f>
        <v>CM650</v>
      </c>
      <c r="F357" s="66" t="str">
        <f aca="false">VLOOKUP(A357,BD_ORDENES!A:BE,56,FALSE())</f>
        <v>S267860</v>
      </c>
      <c r="G357" s="67" t="str">
        <f aca="false">VLOOKUP(A357,BD_ORDENES!A:BE,13,FALSE())</f>
        <v>SOFA MORETTO SKY AZUL (MATIZ CAOBA)</v>
      </c>
      <c r="H357" s="68" t="str">
        <f aca="false">VLOOKUP(A357,BD_ORDENES!A:BE,17,FALSE())</f>
        <v>SOFA</v>
      </c>
      <c r="I357" s="68" t="str">
        <f aca="false">VLOOKUP(A357,BD_ORDENES!A:BE,18,FALSE())</f>
        <v>MORETTO</v>
      </c>
      <c r="J357" s="68" t="str">
        <f aca="false">VLOOKUP(A357,BD_ORDENES!A:BE,19,FALSE())</f>
        <v>SKY</v>
      </c>
      <c r="K357" s="68" t="str">
        <f aca="false">VLOOKUP(A357,BD_ORDENES!A:BE,20,FALSE())</f>
        <v>AZUL</v>
      </c>
      <c r="L357" s="68" t="str">
        <f aca="false">VLOOKUP(A357,BD_ORDENES!A:BE,21,FALSE())</f>
        <v>MATIZ-CAOBA</v>
      </c>
      <c r="M357" s="69" t="n">
        <f aca="false">VLOOKUP(A357,BD_ORDENES!A:BE,14,FALSE())</f>
        <v>1</v>
      </c>
      <c r="N357" s="68" t="n">
        <f aca="false">VLOOKUP(A357,BD_ORDENES!A:BE,15,FALSE())</f>
        <v>0</v>
      </c>
      <c r="O357" s="68" t="str">
        <f aca="false">VLOOKUP(A357,BD_ORDENES!A:BE,33,FALSE())</f>
        <v>ENVIO TUNJA - SIN SALDO</v>
      </c>
      <c r="P357" s="68" t="n">
        <f aca="false">VLOOKUP(A357,BD_ORDENES!A:BE,23,FALSE())</f>
        <v>0</v>
      </c>
      <c r="Q357" s="68" t="str">
        <f aca="false">VLOOKUP(A357,BD_ORDENES!A:BE,52,FALSE())</f>
        <v>Obtener Bajo Pedido (MTO)</v>
      </c>
      <c r="R357" s="68" t="str">
        <f aca="false">VLOOKUP(A357,BD_ORDENES!A:BE,25,FALSE())</f>
        <v>TUNJA</v>
      </c>
      <c r="S357" s="68" t="str">
        <f aca="false">VLOOKUP(A357,BD_ORDENES!A:BE,22,FALSE())</f>
        <v>JULY MABEL SUAREZ MOLANO</v>
      </c>
      <c r="T357" s="65" t="str">
        <f aca="false">VLOOKUP(A357,BD_ORDENES!A:BE,55,FALSE())</f>
        <v>BODEGA LISTO</v>
      </c>
      <c r="U357" s="68" t="str">
        <f aca="false">VLOOKUP(A357,BD_ORDENES!A:BE,57,FALSE())</f>
        <v>0 BODEGA</v>
      </c>
      <c r="V357" s="70"/>
      <c r="W357" s="71"/>
    </row>
    <row r="358" s="72" customFormat="true" ht="98.25" hidden="false" customHeight="true" outlineLevel="0" collapsed="false">
      <c r="A358" s="62" t="n">
        <f aca="false">A357+1</f>
        <v>351</v>
      </c>
      <c r="B358" s="63" t="str">
        <f aca="false">VLOOKUP(A358,BD_ORDENES!A:BG,12,FALSE())</f>
        <v>__export__.product_product_330919_93c01e41</v>
      </c>
      <c r="C358" s="64" t="n">
        <v>351</v>
      </c>
      <c r="D358" s="65" t="str">
        <f aca="false">VLOOKUP(A358,BD_ORDENES!A:BE,10,0)</f>
        <v>VF</v>
      </c>
      <c r="E358" s="66" t="str">
        <f aca="false">VLOOKUP(A358,BD_ORDENES!A:BG,4,FALSE())</f>
        <v>CM650</v>
      </c>
      <c r="F358" s="66" t="str">
        <f aca="false">VLOOKUP(A358,BD_ORDENES!A:BE,56,FALSE())</f>
        <v>S267860</v>
      </c>
      <c r="G358" s="67" t="str">
        <f aca="false">VLOOKUP(A358,BD_ORDENES!A:BE,13,FALSE())</f>
        <v>POLTRONA BARU SKY GRIS (MATIZ CAOBA)</v>
      </c>
      <c r="H358" s="68" t="str">
        <f aca="false">VLOOKUP(A358,BD_ORDENES!A:BE,17,FALSE())</f>
        <v>POLTRONA</v>
      </c>
      <c r="I358" s="68" t="str">
        <f aca="false">VLOOKUP(A358,BD_ORDENES!A:BE,18,FALSE())</f>
        <v>BARU</v>
      </c>
      <c r="J358" s="68" t="str">
        <f aca="false">VLOOKUP(A358,BD_ORDENES!A:BE,19,FALSE())</f>
        <v>SKY</v>
      </c>
      <c r="K358" s="68" t="str">
        <f aca="false">VLOOKUP(A358,BD_ORDENES!A:BE,20,FALSE())</f>
        <v>GRIS</v>
      </c>
      <c r="L358" s="68" t="str">
        <f aca="false">VLOOKUP(A358,BD_ORDENES!A:BE,21,FALSE())</f>
        <v>MATIZ-CAOBA</v>
      </c>
      <c r="M358" s="69" t="n">
        <f aca="false">VLOOKUP(A358,BD_ORDENES!A:BE,14,FALSE())</f>
        <v>2</v>
      </c>
      <c r="N358" s="68" t="n">
        <f aca="false">VLOOKUP(A358,BD_ORDENES!A:BE,15,FALSE())</f>
        <v>0</v>
      </c>
      <c r="O358" s="68" t="str">
        <f aca="false">VLOOKUP(A358,BD_ORDENES!A:BE,33,FALSE())</f>
        <v>ENVIO TUNJA - SIN SALDO</v>
      </c>
      <c r="P358" s="68" t="n">
        <f aca="false">VLOOKUP(A358,BD_ORDENES!A:BE,23,FALSE())</f>
        <v>0</v>
      </c>
      <c r="Q358" s="68" t="str">
        <f aca="false">VLOOKUP(A358,BD_ORDENES!A:BE,52,FALSE())</f>
        <v>Obtener Bajo Pedido (MTO)</v>
      </c>
      <c r="R358" s="68" t="str">
        <f aca="false">VLOOKUP(A358,BD_ORDENES!A:BE,25,FALSE())</f>
        <v>TUNJA</v>
      </c>
      <c r="S358" s="68" t="str">
        <f aca="false">VLOOKUP(A358,BD_ORDENES!A:BE,22,FALSE())</f>
        <v>JULY MABEL SUAREZ MOLANO</v>
      </c>
      <c r="T358" s="65" t="str">
        <f aca="false">VLOOKUP(A358,BD_ORDENES!A:BE,55,FALSE())</f>
        <v>BODEGA LISTO</v>
      </c>
      <c r="U358" s="68" t="str">
        <f aca="false">VLOOKUP(A358,BD_ORDENES!A:BE,57,FALSE())</f>
        <v>0 BODEGA</v>
      </c>
      <c r="V358" s="70"/>
      <c r="W358" s="71"/>
    </row>
    <row r="359" s="72" customFormat="true" ht="98.25" hidden="false" customHeight="true" outlineLevel="0" collapsed="false">
      <c r="A359" s="62" t="n">
        <f aca="false">A358+1</f>
        <v>352</v>
      </c>
      <c r="B359" s="63" t="str">
        <f aca="false">VLOOKUP(A359,BD_ORDENES!A:BG,12,FALSE())</f>
        <v>__export__.product_product_318796_ac80d267</v>
      </c>
      <c r="C359" s="64" t="n">
        <v>352</v>
      </c>
      <c r="D359" s="65" t="str">
        <f aca="false">VLOOKUP(A359,BD_ORDENES!A:BE,10,0)</f>
        <v>VF</v>
      </c>
      <c r="E359" s="66" t="str">
        <f aca="false">VLOOKUP(A359,BD_ORDENES!A:BG,4,FALSE())</f>
        <v>CM650</v>
      </c>
      <c r="F359" s="66" t="str">
        <f aca="false">VLOOKUP(A359,BD_ORDENES!A:BE,56,FALSE())</f>
        <v>S267860</v>
      </c>
      <c r="G359" s="67" t="str">
        <f aca="false">VLOOKUP(A359,BD_ORDENES!A:BE,13,FALSE())</f>
        <v>MESA DE CENTRO NOVA MACULA (MATIZ CAOBA)</v>
      </c>
      <c r="H359" s="68" t="str">
        <f aca="false">VLOOKUP(A359,BD_ORDENES!A:BE,17,FALSE())</f>
        <v>MESA-CENTRO</v>
      </c>
      <c r="I359" s="68" t="str">
        <f aca="false">VLOOKUP(A359,BD_ORDENES!A:BE,18,FALSE())</f>
        <v>NOVA</v>
      </c>
      <c r="J359" s="68" t="n">
        <f aca="false">VLOOKUP(A359,BD_ORDENES!A:BE,19,FALSE())</f>
        <v>0</v>
      </c>
      <c r="K359" s="68" t="str">
        <f aca="false">VLOOKUP(A359,BD_ORDENES!A:BE,20,FALSE())</f>
        <v>MACULA</v>
      </c>
      <c r="L359" s="68" t="str">
        <f aca="false">VLOOKUP(A359,BD_ORDENES!A:BE,21,FALSE())</f>
        <v>MATIZ-CAOBA</v>
      </c>
      <c r="M359" s="69" t="n">
        <f aca="false">VLOOKUP(A359,BD_ORDENES!A:BE,14,FALSE())</f>
        <v>1</v>
      </c>
      <c r="N359" s="68" t="n">
        <f aca="false">VLOOKUP(A359,BD_ORDENES!A:BE,15,FALSE())</f>
        <v>0</v>
      </c>
      <c r="O359" s="68" t="str">
        <f aca="false">VLOOKUP(A359,BD_ORDENES!A:BE,33,FALSE())</f>
        <v>ENVIO TUNJA - SIN SALDO</v>
      </c>
      <c r="P359" s="68" t="n">
        <f aca="false">VLOOKUP(A359,BD_ORDENES!A:BE,23,FALSE())</f>
        <v>0</v>
      </c>
      <c r="Q359" s="68" t="str">
        <f aca="false">VLOOKUP(A359,BD_ORDENES!A:BE,52,FALSE())</f>
        <v>Obtener Bajo Pedido (MTO)</v>
      </c>
      <c r="R359" s="68" t="str">
        <f aca="false">VLOOKUP(A359,BD_ORDENES!A:BE,25,FALSE())</f>
        <v>TUNJA</v>
      </c>
      <c r="S359" s="68" t="str">
        <f aca="false">VLOOKUP(A359,BD_ORDENES!A:BE,22,FALSE())</f>
        <v>JULY MABEL SUAREZ MOLANO</v>
      </c>
      <c r="T359" s="65" t="str">
        <f aca="false">VLOOKUP(A359,BD_ORDENES!A:BE,55,FALSE())</f>
        <v>BODEGA LISTO</v>
      </c>
      <c r="U359" s="68" t="str">
        <f aca="false">VLOOKUP(A359,BD_ORDENES!A:BE,57,FALSE())</f>
        <v>0 BODEGA</v>
      </c>
      <c r="V359" s="70"/>
      <c r="W359" s="71"/>
    </row>
    <row r="360" s="72" customFormat="true" ht="98.25" hidden="false" customHeight="true" outlineLevel="0" collapsed="false">
      <c r="A360" s="62" t="n">
        <f aca="false">A359+1</f>
        <v>353</v>
      </c>
      <c r="B360" s="63" t="str">
        <f aca="false">VLOOKUP(A360,BD_ORDENES!A:BG,12,FALSE())</f>
        <v>__export__.product_product_327395_3742f1c8</v>
      </c>
      <c r="C360" s="64" t="n">
        <v>353</v>
      </c>
      <c r="D360" s="65" t="str">
        <f aca="false">VLOOKUP(A360,BD_ORDENES!A:BE,10,0)</f>
        <v>VF</v>
      </c>
      <c r="E360" s="66" t="str">
        <f aca="false">VLOOKUP(A360,BD_ORDENES!A:BG,4,FALSE())</f>
        <v>CM650</v>
      </c>
      <c r="F360" s="66" t="str">
        <f aca="false">VLOOKUP(A360,BD_ORDENES!A:BE,56,FALSE())</f>
        <v>S267860</v>
      </c>
      <c r="G360" s="67" t="str">
        <f aca="false">VLOOKUP(A360,BD_ORDENES!A:BE,13,FALSE())</f>
        <v>COJIN VENECIA SKY SALMON</v>
      </c>
      <c r="H360" s="68" t="str">
        <f aca="false">VLOOKUP(A360,BD_ORDENES!A:BE,17,FALSE())</f>
        <v>COJIN</v>
      </c>
      <c r="I360" s="68" t="str">
        <f aca="false">VLOOKUP(A360,BD_ORDENES!A:BE,18,FALSE())</f>
        <v>VENECIA</v>
      </c>
      <c r="J360" s="68" t="str">
        <f aca="false">VLOOKUP(A360,BD_ORDENES!A:BE,19,FALSE())</f>
        <v>SKY</v>
      </c>
      <c r="K360" s="68" t="str">
        <f aca="false">VLOOKUP(A360,BD_ORDENES!A:BE,20,FALSE())</f>
        <v>SALMON</v>
      </c>
      <c r="L360" s="68" t="n">
        <f aca="false">VLOOKUP(A360,BD_ORDENES!A:BE,21,FALSE())</f>
        <v>0</v>
      </c>
      <c r="M360" s="69" t="n">
        <f aca="false">VLOOKUP(A360,BD_ORDENES!A:BE,14,FALSE())</f>
        <v>1</v>
      </c>
      <c r="N360" s="68" t="n">
        <f aca="false">VLOOKUP(A360,BD_ORDENES!A:BE,15,FALSE())</f>
        <v>0</v>
      </c>
      <c r="O360" s="68" t="str">
        <f aca="false">VLOOKUP(A360,BD_ORDENES!A:BE,33,FALSE())</f>
        <v>ENVIO TUNJA - SIN SALDO</v>
      </c>
      <c r="P360" s="68" t="n">
        <f aca="false">VLOOKUP(A360,BD_ORDENES!A:BE,23,FALSE())</f>
        <v>0</v>
      </c>
      <c r="Q360" s="68" t="str">
        <f aca="false">VLOOKUP(A360,BD_ORDENES!A:BE,52,FALSE())</f>
        <v>Obtener Bajo Pedido (MTO)</v>
      </c>
      <c r="R360" s="68" t="str">
        <f aca="false">VLOOKUP(A360,BD_ORDENES!A:BE,25,FALSE())</f>
        <v>TUNJA</v>
      </c>
      <c r="S360" s="68" t="str">
        <f aca="false">VLOOKUP(A360,BD_ORDENES!A:BE,22,FALSE())</f>
        <v>JULY MABEL SUAREZ MOLANO</v>
      </c>
      <c r="T360" s="65" t="str">
        <f aca="false">VLOOKUP(A360,BD_ORDENES!A:BE,55,FALSE())</f>
        <v>BODEGA LISTO</v>
      </c>
      <c r="U360" s="68" t="str">
        <f aca="false">VLOOKUP(A360,BD_ORDENES!A:BE,57,FALSE())</f>
        <v>0 BODEGA</v>
      </c>
      <c r="V360" s="70"/>
      <c r="W360" s="71"/>
    </row>
    <row r="361" s="72" customFormat="true" ht="98.25" hidden="false" customHeight="true" outlineLevel="0" collapsed="false">
      <c r="A361" s="62" t="n">
        <f aca="false">A360+1</f>
        <v>354</v>
      </c>
      <c r="B361" s="63" t="str">
        <f aca="false">VLOOKUP(A361,BD_ORDENES!A:BG,12,FALSE())</f>
        <v>__export__.product_product_320355_c1c93e64</v>
      </c>
      <c r="C361" s="64" t="n">
        <v>354</v>
      </c>
      <c r="D361" s="65" t="str">
        <f aca="false">VLOOKUP(A361,BD_ORDENES!A:BE,10,0)</f>
        <v>INVENTARIO HOGAR VENECIA</v>
      </c>
      <c r="E361" s="66" t="str">
        <f aca="false">VLOOKUP(A361,BD_ORDENES!A:BG,4,FALSE())</f>
        <v>HVM26374</v>
      </c>
      <c r="F361" s="66" t="str">
        <f aca="false">VLOOKUP(A361,BD_ORDENES!A:BE,56,FALSE())</f>
        <v>S267629</v>
      </c>
      <c r="G361" s="67" t="str">
        <f aca="false">VLOOKUP(A361,BD_ORDENES!A:BE,13,FALSE())</f>
        <v>SOFA BOSNIA DICOSTA GRIS</v>
      </c>
      <c r="H361" s="68" t="str">
        <f aca="false">VLOOKUP(A361,BD_ORDENES!A:BE,17,FALSE())</f>
        <v>SOFA</v>
      </c>
      <c r="I361" s="68" t="str">
        <f aca="false">VLOOKUP(A361,BD_ORDENES!A:BE,18,FALSE())</f>
        <v>BOSNIA</v>
      </c>
      <c r="J361" s="68" t="str">
        <f aca="false">VLOOKUP(A361,BD_ORDENES!A:BE,19,FALSE())</f>
        <v>DICOSTA</v>
      </c>
      <c r="K361" s="68" t="str">
        <f aca="false">VLOOKUP(A361,BD_ORDENES!A:BE,20,FALSE())</f>
        <v>GRIS</v>
      </c>
      <c r="L361" s="68" t="n">
        <f aca="false">VLOOKUP(A361,BD_ORDENES!A:BE,21,FALSE())</f>
        <v>0</v>
      </c>
      <c r="M361" s="69" t="n">
        <f aca="false">VLOOKUP(A361,BD_ORDENES!A:BE,14,FALSE())</f>
        <v>1</v>
      </c>
      <c r="N361" s="68" t="n">
        <f aca="false">VLOOKUP(A361,BD_ORDENES!A:BE,15,FALSE())</f>
        <v>0</v>
      </c>
      <c r="O361" s="68" t="str">
        <f aca="false">VLOOKUP(A361,BD_ORDENES!A:BE,33,FALSE())</f>
        <v>TRANSPORTADORA</v>
      </c>
      <c r="P361" s="68" t="n">
        <f aca="false">VLOOKUP(A361,BD_ORDENES!A:BE,23,FALSE())</f>
        <v>0</v>
      </c>
      <c r="Q361" s="68" t="str">
        <f aca="false">VLOOKUP(A361,BD_ORDENES!A:BE,52,FALSE())</f>
        <v>Obtener Bajo Pedido (MTO)</v>
      </c>
      <c r="R361" s="68" t="str">
        <f aca="false">VLOOKUP(A361,BD_ORDENES!A:BE,25,FALSE())</f>
        <v>TUNJA</v>
      </c>
      <c r="S361" s="68" t="str">
        <f aca="false">VLOOKUP(A361,BD_ORDENES!A:BE,22,FALSE())</f>
        <v>INVENTARIO HOGAR VENECIA</v>
      </c>
      <c r="T361" s="65" t="str">
        <f aca="false">VLOOKUP(A361,BD_ORDENES!A:BE,55,FALSE())</f>
        <v>PRODUCCION</v>
      </c>
      <c r="U361" s="68" t="str">
        <f aca="false">VLOOKUP(A361,BD_ORDENES!A:BE,57,FALSE())</f>
        <v>9 INVENTARIO</v>
      </c>
      <c r="V361" s="70"/>
      <c r="W361" s="71"/>
    </row>
    <row r="362" s="72" customFormat="true" ht="98.25" hidden="false" customHeight="true" outlineLevel="0" collapsed="false">
      <c r="A362" s="62" t="n">
        <f aca="false">A361+1</f>
        <v>355</v>
      </c>
      <c r="B362" s="63" t="str">
        <f aca="false">VLOOKUP(A362,BD_ORDENES!A:BG,12,FALSE())</f>
        <v>__export__.product_product_191212_004d105d</v>
      </c>
      <c r="C362" s="64" t="n">
        <v>355</v>
      </c>
      <c r="D362" s="65" t="str">
        <f aca="false">VLOOKUP(A362,BD_ORDENES!A:BE,10,0)</f>
        <v>INVENTARIO HOGAR VENECIA</v>
      </c>
      <c r="E362" s="66" t="str">
        <f aca="false">VLOOKUP(A362,BD_ORDENES!A:BG,4,FALSE())</f>
        <v>HVM26310</v>
      </c>
      <c r="F362" s="66" t="str">
        <f aca="false">VLOOKUP(A362,BD_ORDENES!A:BE,56,FALSE())</f>
        <v>S267565</v>
      </c>
      <c r="G362" s="67" t="str">
        <f aca="false">VLOOKUP(A362,BD_ORDENES!A:BE,13,FALSE())</f>
        <v>SOFA TOULOUSE DUSTER GRIS (MATIZ NATURAL)</v>
      </c>
      <c r="H362" s="68" t="str">
        <f aca="false">VLOOKUP(A362,BD_ORDENES!A:BE,17,FALSE())</f>
        <v>SOFA</v>
      </c>
      <c r="I362" s="68" t="str">
        <f aca="false">VLOOKUP(A362,BD_ORDENES!A:BE,18,FALSE())</f>
        <v>TOULOUSE</v>
      </c>
      <c r="J362" s="68" t="str">
        <f aca="false">VLOOKUP(A362,BD_ORDENES!A:BE,19,FALSE())</f>
        <v>DUSTER</v>
      </c>
      <c r="K362" s="68" t="str">
        <f aca="false">VLOOKUP(A362,BD_ORDENES!A:BE,20,FALSE())</f>
        <v>GRIS</v>
      </c>
      <c r="L362" s="68" t="str">
        <f aca="false">VLOOKUP(A362,BD_ORDENES!A:BE,21,FALSE())</f>
        <v>MATIZ-NATURAL</v>
      </c>
      <c r="M362" s="69" t="n">
        <f aca="false">VLOOKUP(A362,BD_ORDENES!A:BE,14,FALSE())</f>
        <v>1</v>
      </c>
      <c r="N362" s="68" t="n">
        <f aca="false">VLOOKUP(A362,BD_ORDENES!A:BE,15,FALSE())</f>
        <v>0</v>
      </c>
      <c r="O362" s="68" t="str">
        <f aca="false">VLOOKUP(A362,BD_ORDENES!A:BE,33,FALSE())</f>
        <v>TRANSPORTADORA</v>
      </c>
      <c r="P362" s="68" t="n">
        <f aca="false">VLOOKUP(A362,BD_ORDENES!A:BE,23,FALSE())</f>
        <v>0</v>
      </c>
      <c r="Q362" s="68" t="str">
        <f aca="false">VLOOKUP(A362,BD_ORDENES!A:BE,52,FALSE())</f>
        <v>Obtener Bajo Pedido (MTO)</v>
      </c>
      <c r="R362" s="68" t="str">
        <f aca="false">VLOOKUP(A362,BD_ORDENES!A:BE,25,FALSE())</f>
        <v>TUNJA</v>
      </c>
      <c r="S362" s="68" t="str">
        <f aca="false">VLOOKUP(A362,BD_ORDENES!A:BE,22,FALSE())</f>
        <v>INVENTARIO HOGAR VENECIA</v>
      </c>
      <c r="T362" s="65" t="n">
        <f aca="false">VLOOKUP(A362,BD_ORDENES!A:BE,55,FALSE())</f>
        <v>0</v>
      </c>
      <c r="U362" s="68" t="str">
        <f aca="false">VLOOKUP(A362,BD_ORDENES!A:BE,57,FALSE())</f>
        <v>9 INVENTARIO</v>
      </c>
      <c r="V362" s="70"/>
      <c r="W362" s="71"/>
    </row>
    <row r="363" s="72" customFormat="true" ht="98.25" hidden="false" customHeight="true" outlineLevel="0" collapsed="false">
      <c r="A363" s="62" t="n">
        <f aca="false">A362+1</f>
        <v>356</v>
      </c>
      <c r="B363" s="63" t="str">
        <f aca="false">VLOOKUP(A363,BD_ORDENES!A:BG,12,FALSE())</f>
        <v>__export__.product_product_191212_004d105d</v>
      </c>
      <c r="C363" s="64" t="n">
        <v>356</v>
      </c>
      <c r="D363" s="65" t="str">
        <f aca="false">VLOOKUP(A363,BD_ORDENES!A:BE,10,0)</f>
        <v>INVENTARIO HOGAR VENECIA</v>
      </c>
      <c r="E363" s="66" t="str">
        <f aca="false">VLOOKUP(A363,BD_ORDENES!A:BG,4,FALSE())</f>
        <v>HVM26307</v>
      </c>
      <c r="F363" s="66" t="str">
        <f aca="false">VLOOKUP(A363,BD_ORDENES!A:BE,56,FALSE())</f>
        <v>S267562</v>
      </c>
      <c r="G363" s="67" t="str">
        <f aca="false">VLOOKUP(A363,BD_ORDENES!A:BE,13,FALSE())</f>
        <v>SOFA TOULOUSE DUSTER GRIS (MATIZ NATURAL)</v>
      </c>
      <c r="H363" s="68" t="str">
        <f aca="false">VLOOKUP(A363,BD_ORDENES!A:BE,17,FALSE())</f>
        <v>SOFA</v>
      </c>
      <c r="I363" s="68" t="str">
        <f aca="false">VLOOKUP(A363,BD_ORDENES!A:BE,18,FALSE())</f>
        <v>TOULOUSE</v>
      </c>
      <c r="J363" s="68" t="str">
        <f aca="false">VLOOKUP(A363,BD_ORDENES!A:BE,19,FALSE())</f>
        <v>DUSTER</v>
      </c>
      <c r="K363" s="68" t="str">
        <f aca="false">VLOOKUP(A363,BD_ORDENES!A:BE,20,FALSE())</f>
        <v>GRIS</v>
      </c>
      <c r="L363" s="68" t="str">
        <f aca="false">VLOOKUP(A363,BD_ORDENES!A:BE,21,FALSE())</f>
        <v>MATIZ-NATURAL</v>
      </c>
      <c r="M363" s="69" t="n">
        <f aca="false">VLOOKUP(A363,BD_ORDENES!A:BE,14,FALSE())</f>
        <v>1</v>
      </c>
      <c r="N363" s="68" t="n">
        <f aca="false">VLOOKUP(A363,BD_ORDENES!A:BE,15,FALSE())</f>
        <v>0</v>
      </c>
      <c r="O363" s="68" t="str">
        <f aca="false">VLOOKUP(A363,BD_ORDENES!A:BE,33,FALSE())</f>
        <v>TRANSPORTADORA</v>
      </c>
      <c r="P363" s="68" t="n">
        <f aca="false">VLOOKUP(A363,BD_ORDENES!A:BE,23,FALSE())</f>
        <v>0</v>
      </c>
      <c r="Q363" s="68" t="str">
        <f aca="false">VLOOKUP(A363,BD_ORDENES!A:BE,52,FALSE())</f>
        <v>Obtener Bajo Pedido (MTO)</v>
      </c>
      <c r="R363" s="68" t="str">
        <f aca="false">VLOOKUP(A363,BD_ORDENES!A:BE,25,FALSE())</f>
        <v>TUNJA</v>
      </c>
      <c r="S363" s="68" t="str">
        <f aca="false">VLOOKUP(A363,BD_ORDENES!A:BE,22,FALSE())</f>
        <v>INVENTARIO HOGAR VENECIA</v>
      </c>
      <c r="T363" s="65" t="n">
        <f aca="false">VLOOKUP(A363,BD_ORDENES!A:BE,55,FALSE())</f>
        <v>0</v>
      </c>
      <c r="U363" s="68" t="str">
        <f aca="false">VLOOKUP(A363,BD_ORDENES!A:BE,57,FALSE())</f>
        <v>9 INVENTARIO</v>
      </c>
      <c r="V363" s="70"/>
      <c r="W363" s="71"/>
    </row>
    <row r="364" s="72" customFormat="true" ht="98.25" hidden="false" customHeight="true" outlineLevel="0" collapsed="false">
      <c r="A364" s="62" t="n">
        <f aca="false">A363+1</f>
        <v>357</v>
      </c>
      <c r="B364" s="63" t="str">
        <f aca="false">VLOOKUP(A364,BD_ORDENES!A:BG,12,FALSE())</f>
        <v>__export__.product_product_286652_dbbcf1d8</v>
      </c>
      <c r="C364" s="64" t="n">
        <v>357</v>
      </c>
      <c r="D364" s="65" t="str">
        <f aca="false">VLOOKUP(A364,BD_ORDENES!A:BE,10,0)</f>
        <v>INVENTARIO HOGAR VENECIA</v>
      </c>
      <c r="E364" s="66" t="str">
        <f aca="false">VLOOKUP(A364,BD_ORDENES!A:BG,4,FALSE())</f>
        <v>HVM26280</v>
      </c>
      <c r="F364" s="66" t="str">
        <f aca="false">VLOOKUP(A364,BD_ORDENES!A:BE,56,FALSE())</f>
        <v>S267535</v>
      </c>
      <c r="G364" s="67" t="str">
        <f aca="false">VLOOKUP(A364,BD_ORDENES!A:BE,13,FALSE())</f>
        <v>CAMA MONTESSORI BLANCO MATIZ-NATURAL</v>
      </c>
      <c r="H364" s="68" t="str">
        <f aca="false">VLOOKUP(A364,BD_ORDENES!A:BE,17,FALSE())</f>
        <v>CAMA-MADERA</v>
      </c>
      <c r="I364" s="68" t="str">
        <f aca="false">VLOOKUP(A364,BD_ORDENES!A:BE,18,FALSE())</f>
        <v>INFANTIL-MONTESSORI</v>
      </c>
      <c r="J364" s="68" t="n">
        <f aca="false">VLOOKUP(A364,BD_ORDENES!A:BE,19,FALSE())</f>
        <v>0</v>
      </c>
      <c r="K364" s="68" t="str">
        <f aca="false">VLOOKUP(A364,BD_ORDENES!A:BE,20,FALSE())</f>
        <v>BLANCO</v>
      </c>
      <c r="L364" s="68" t="str">
        <f aca="false">VLOOKUP(A364,BD_ORDENES!A:BE,21,FALSE())</f>
        <v>MATIZ-NATURAL</v>
      </c>
      <c r="M364" s="69" t="n">
        <f aca="false">VLOOKUP(A364,BD_ORDENES!A:BE,14,FALSE())</f>
        <v>1</v>
      </c>
      <c r="N364" s="68" t="n">
        <f aca="false">VLOOKUP(A364,BD_ORDENES!A:BE,15,FALSE())</f>
        <v>0</v>
      </c>
      <c r="O364" s="68" t="str">
        <f aca="false">VLOOKUP(A364,BD_ORDENES!A:BE,33,FALSE())</f>
        <v>TRANSPORTADORA</v>
      </c>
      <c r="P364" s="68" t="n">
        <f aca="false">VLOOKUP(A364,BD_ORDENES!A:BE,23,FALSE())</f>
        <v>0</v>
      </c>
      <c r="Q364" s="68" t="str">
        <f aca="false">VLOOKUP(A364,BD_ORDENES!A:BE,52,FALSE())</f>
        <v>Obtener Bajo Pedido (MTO)</v>
      </c>
      <c r="R364" s="68" t="str">
        <f aca="false">VLOOKUP(A364,BD_ORDENES!A:BE,25,FALSE())</f>
        <v>TUNJA</v>
      </c>
      <c r="S364" s="68" t="str">
        <f aca="false">VLOOKUP(A364,BD_ORDENES!A:BE,22,FALSE())</f>
        <v>INVENTARIO HOGAR VENECIA</v>
      </c>
      <c r="T364" s="65" t="n">
        <f aca="false">VLOOKUP(A364,BD_ORDENES!A:BE,55,FALSE())</f>
        <v>0</v>
      </c>
      <c r="U364" s="68" t="str">
        <f aca="false">VLOOKUP(A364,BD_ORDENES!A:BE,57,FALSE())</f>
        <v>9 INVENTARIO</v>
      </c>
      <c r="V364" s="70"/>
      <c r="W364" s="71"/>
    </row>
    <row r="365" s="72" customFormat="true" ht="98.25" hidden="false" customHeight="true" outlineLevel="0" collapsed="false">
      <c r="A365" s="62" t="n">
        <f aca="false">A364+1</f>
        <v>358</v>
      </c>
      <c r="B365" s="63" t="str">
        <f aca="false">VLOOKUP(A365,BD_ORDENES!A:BG,12,FALSE())</f>
        <v>__export__.product_product_191484_4719809a</v>
      </c>
      <c r="C365" s="64" t="n">
        <v>358</v>
      </c>
      <c r="D365" s="65" t="str">
        <f aca="false">VLOOKUP(A365,BD_ORDENES!A:BE,10,0)</f>
        <v>INVENTARIO HOGAR VENECIA</v>
      </c>
      <c r="E365" s="66" t="str">
        <f aca="false">VLOOKUP(A365,BD_ORDENES!A:BG,4,FALSE())</f>
        <v>HVM26194</v>
      </c>
      <c r="F365" s="66" t="str">
        <f aca="false">VLOOKUP(A365,BD_ORDENES!A:BE,56,FALSE())</f>
        <v>S267449</v>
      </c>
      <c r="G365" s="67" t="str">
        <f aca="false">VLOOKUP(A365,BD_ORDENES!A:BE,13,FALSE())</f>
        <v>SOFA TOULOUSE DUSTER BEIGE (MATIZ CARAMELO)</v>
      </c>
      <c r="H365" s="68" t="str">
        <f aca="false">VLOOKUP(A365,BD_ORDENES!A:BE,17,FALSE())</f>
        <v>SOFA</v>
      </c>
      <c r="I365" s="68" t="str">
        <f aca="false">VLOOKUP(A365,BD_ORDENES!A:BE,18,FALSE())</f>
        <v>TOULOUSE</v>
      </c>
      <c r="J365" s="68" t="str">
        <f aca="false">VLOOKUP(A365,BD_ORDENES!A:BE,19,FALSE())</f>
        <v>DUSTER</v>
      </c>
      <c r="K365" s="68" t="str">
        <f aca="false">VLOOKUP(A365,BD_ORDENES!A:BE,20,FALSE())</f>
        <v>BEIGE</v>
      </c>
      <c r="L365" s="68" t="str">
        <f aca="false">VLOOKUP(A365,BD_ORDENES!A:BE,21,FALSE())</f>
        <v>MATIZ-CARAMELO</v>
      </c>
      <c r="M365" s="69" t="n">
        <f aca="false">VLOOKUP(A365,BD_ORDENES!A:BE,14,FALSE())</f>
        <v>1</v>
      </c>
      <c r="N365" s="68" t="n">
        <f aca="false">VLOOKUP(A365,BD_ORDENES!A:BE,15,FALSE())</f>
        <v>0</v>
      </c>
      <c r="O365" s="68" t="str">
        <f aca="false">VLOOKUP(A365,BD_ORDENES!A:BE,33,FALSE())</f>
        <v>TRANSPORTADORA</v>
      </c>
      <c r="P365" s="68" t="n">
        <f aca="false">VLOOKUP(A365,BD_ORDENES!A:BE,23,FALSE())</f>
        <v>0</v>
      </c>
      <c r="Q365" s="68" t="str">
        <f aca="false">VLOOKUP(A365,BD_ORDENES!A:BE,52,FALSE())</f>
        <v>Obtener Bajo Pedido (MTO)</v>
      </c>
      <c r="R365" s="68" t="str">
        <f aca="false">VLOOKUP(A365,BD_ORDENES!A:BE,25,FALSE())</f>
        <v>TUNJA</v>
      </c>
      <c r="S365" s="68" t="str">
        <f aca="false">VLOOKUP(A365,BD_ORDENES!A:BE,22,FALSE())</f>
        <v>INVENTARIO HOGAR VENECIA</v>
      </c>
      <c r="T365" s="65" t="n">
        <f aca="false">VLOOKUP(A365,BD_ORDENES!A:BE,55,FALSE())</f>
        <v>0</v>
      </c>
      <c r="U365" s="68" t="str">
        <f aca="false">VLOOKUP(A365,BD_ORDENES!A:BE,57,FALSE())</f>
        <v>9 INVENTARIO</v>
      </c>
      <c r="V365" s="70"/>
      <c r="W365" s="71"/>
    </row>
    <row r="366" s="72" customFormat="true" ht="98.25" hidden="false" customHeight="true" outlineLevel="0" collapsed="false">
      <c r="A366" s="62" t="n">
        <f aca="false">A365+1</f>
        <v>359</v>
      </c>
      <c r="B366" s="63" t="str">
        <f aca="false">VLOOKUP(A366,BD_ORDENES!A:BG,12,FALSE())</f>
        <v>__export__.product_product_191484_4719809a</v>
      </c>
      <c r="C366" s="64" t="n">
        <v>359</v>
      </c>
      <c r="D366" s="65" t="str">
        <f aca="false">VLOOKUP(A366,BD_ORDENES!A:BE,10,0)</f>
        <v>INVENTARIO HOGAR VENECIA</v>
      </c>
      <c r="E366" s="66" t="str">
        <f aca="false">VLOOKUP(A366,BD_ORDENES!A:BG,4,FALSE())</f>
        <v>HVM26193</v>
      </c>
      <c r="F366" s="66" t="str">
        <f aca="false">VLOOKUP(A366,BD_ORDENES!A:BE,56,FALSE())</f>
        <v>S267448</v>
      </c>
      <c r="G366" s="67" t="str">
        <f aca="false">VLOOKUP(A366,BD_ORDENES!A:BE,13,FALSE())</f>
        <v>SOFA TOULOUSE DUSTER BEIGE (MATIZ CARAMELO)</v>
      </c>
      <c r="H366" s="68" t="str">
        <f aca="false">VLOOKUP(A366,BD_ORDENES!A:BE,17,FALSE())</f>
        <v>SOFA</v>
      </c>
      <c r="I366" s="68" t="str">
        <f aca="false">VLOOKUP(A366,BD_ORDENES!A:BE,18,FALSE())</f>
        <v>TOULOUSE</v>
      </c>
      <c r="J366" s="68" t="str">
        <f aca="false">VLOOKUP(A366,BD_ORDENES!A:BE,19,FALSE())</f>
        <v>DUSTER</v>
      </c>
      <c r="K366" s="68" t="str">
        <f aca="false">VLOOKUP(A366,BD_ORDENES!A:BE,20,FALSE())</f>
        <v>BEIGE</v>
      </c>
      <c r="L366" s="68" t="str">
        <f aca="false">VLOOKUP(A366,BD_ORDENES!A:BE,21,FALSE())</f>
        <v>MATIZ-CARAMELO</v>
      </c>
      <c r="M366" s="69" t="n">
        <f aca="false">VLOOKUP(A366,BD_ORDENES!A:BE,14,FALSE())</f>
        <v>1</v>
      </c>
      <c r="N366" s="68" t="n">
        <f aca="false">VLOOKUP(A366,BD_ORDENES!A:BE,15,FALSE())</f>
        <v>0</v>
      </c>
      <c r="O366" s="68" t="str">
        <f aca="false">VLOOKUP(A366,BD_ORDENES!A:BE,33,FALSE())</f>
        <v>TRANSPORTADORA</v>
      </c>
      <c r="P366" s="68" t="n">
        <f aca="false">VLOOKUP(A366,BD_ORDENES!A:BE,23,FALSE())</f>
        <v>0</v>
      </c>
      <c r="Q366" s="68" t="str">
        <f aca="false">VLOOKUP(A366,BD_ORDENES!A:BE,52,FALSE())</f>
        <v>Obtener Bajo Pedido (MTO)</v>
      </c>
      <c r="R366" s="68" t="str">
        <f aca="false">VLOOKUP(A366,BD_ORDENES!A:BE,25,FALSE())</f>
        <v>TUNJA</v>
      </c>
      <c r="S366" s="68" t="str">
        <f aca="false">VLOOKUP(A366,BD_ORDENES!A:BE,22,FALSE())</f>
        <v>INVENTARIO HOGAR VENECIA</v>
      </c>
      <c r="T366" s="65" t="n">
        <f aca="false">VLOOKUP(A366,BD_ORDENES!A:BE,55,FALSE())</f>
        <v>0</v>
      </c>
      <c r="U366" s="68" t="str">
        <f aca="false">VLOOKUP(A366,BD_ORDENES!A:BE,57,FALSE())</f>
        <v>9 INVENTARIO</v>
      </c>
      <c r="V366" s="70"/>
      <c r="W366" s="71"/>
    </row>
    <row r="367" s="72" customFormat="true" ht="98.25" hidden="false" customHeight="true" outlineLevel="0" collapsed="false">
      <c r="A367" s="62" t="n">
        <f aca="false">A366+1</f>
        <v>360</v>
      </c>
      <c r="B367" s="63" t="str">
        <f aca="false">VLOOKUP(A367,BD_ORDENES!A:BG,12,FALSE())</f>
        <v>__export__.product_product_191484_4719809a</v>
      </c>
      <c r="C367" s="64" t="n">
        <v>360</v>
      </c>
      <c r="D367" s="65" t="str">
        <f aca="false">VLOOKUP(A367,BD_ORDENES!A:BE,10,0)</f>
        <v>INVENTARIO HOGAR VENECIA</v>
      </c>
      <c r="E367" s="66" t="str">
        <f aca="false">VLOOKUP(A367,BD_ORDENES!A:BG,4,FALSE())</f>
        <v>HVM26192</v>
      </c>
      <c r="F367" s="66" t="str">
        <f aca="false">VLOOKUP(A367,BD_ORDENES!A:BE,56,FALSE())</f>
        <v>S267447</v>
      </c>
      <c r="G367" s="67" t="str">
        <f aca="false">VLOOKUP(A367,BD_ORDENES!A:BE,13,FALSE())</f>
        <v>SOFA TOULOUSE DUSTER BEIGE (MATIZ CARAMELO)</v>
      </c>
      <c r="H367" s="68" t="str">
        <f aca="false">VLOOKUP(A367,BD_ORDENES!A:BE,17,FALSE())</f>
        <v>SOFA</v>
      </c>
      <c r="I367" s="68" t="str">
        <f aca="false">VLOOKUP(A367,BD_ORDENES!A:BE,18,FALSE())</f>
        <v>TOULOUSE</v>
      </c>
      <c r="J367" s="68" t="str">
        <f aca="false">VLOOKUP(A367,BD_ORDENES!A:BE,19,FALSE())</f>
        <v>DUSTER</v>
      </c>
      <c r="K367" s="68" t="str">
        <f aca="false">VLOOKUP(A367,BD_ORDENES!A:BE,20,FALSE())</f>
        <v>BEIGE</v>
      </c>
      <c r="L367" s="68" t="str">
        <f aca="false">VLOOKUP(A367,BD_ORDENES!A:BE,21,FALSE())</f>
        <v>MATIZ-CARAMELO</v>
      </c>
      <c r="M367" s="69" t="n">
        <f aca="false">VLOOKUP(A367,BD_ORDENES!A:BE,14,FALSE())</f>
        <v>1</v>
      </c>
      <c r="N367" s="68" t="n">
        <f aca="false">VLOOKUP(A367,BD_ORDENES!A:BE,15,FALSE())</f>
        <v>0</v>
      </c>
      <c r="O367" s="68" t="str">
        <f aca="false">VLOOKUP(A367,BD_ORDENES!A:BE,33,FALSE())</f>
        <v>TRANSPORTADORA</v>
      </c>
      <c r="P367" s="68" t="n">
        <f aca="false">VLOOKUP(A367,BD_ORDENES!A:BE,23,FALSE())</f>
        <v>0</v>
      </c>
      <c r="Q367" s="68" t="str">
        <f aca="false">VLOOKUP(A367,BD_ORDENES!A:BE,52,FALSE())</f>
        <v>Obtener Bajo Pedido (MTO)</v>
      </c>
      <c r="R367" s="68" t="str">
        <f aca="false">VLOOKUP(A367,BD_ORDENES!A:BE,25,FALSE())</f>
        <v>TUNJA</v>
      </c>
      <c r="S367" s="68" t="str">
        <f aca="false">VLOOKUP(A367,BD_ORDENES!A:BE,22,FALSE())</f>
        <v>INVENTARIO HOGAR VENECIA</v>
      </c>
      <c r="T367" s="65" t="n">
        <f aca="false">VLOOKUP(A367,BD_ORDENES!A:BE,55,FALSE())</f>
        <v>0</v>
      </c>
      <c r="U367" s="68" t="str">
        <f aca="false">VLOOKUP(A367,BD_ORDENES!A:BE,57,FALSE())</f>
        <v>9 INVENTARIO</v>
      </c>
      <c r="V367" s="70"/>
      <c r="W367" s="71"/>
    </row>
    <row r="368" s="72" customFormat="true" ht="98.25" hidden="false" customHeight="true" outlineLevel="0" collapsed="false">
      <c r="A368" s="62" t="n">
        <f aca="false">A367+1</f>
        <v>361</v>
      </c>
      <c r="B368" s="63" t="str">
        <f aca="false">VLOOKUP(A368,BD_ORDENES!A:BG,12,FALSE())</f>
        <v>__export__.product_product_191484_4719809a</v>
      </c>
      <c r="C368" s="64" t="n">
        <v>361</v>
      </c>
      <c r="D368" s="65" t="str">
        <f aca="false">VLOOKUP(A368,BD_ORDENES!A:BE,10,0)</f>
        <v>INVENTARIO HOGAR VENECIA</v>
      </c>
      <c r="E368" s="66" t="str">
        <f aca="false">VLOOKUP(A368,BD_ORDENES!A:BG,4,FALSE())</f>
        <v>HVM26191</v>
      </c>
      <c r="F368" s="66" t="str">
        <f aca="false">VLOOKUP(A368,BD_ORDENES!A:BE,56,FALSE())</f>
        <v>S267446</v>
      </c>
      <c r="G368" s="67" t="str">
        <f aca="false">VLOOKUP(A368,BD_ORDENES!A:BE,13,FALSE())</f>
        <v>SOFA TOULOUSE DUSTER BEIGE (MATIZ CARAMELO)</v>
      </c>
      <c r="H368" s="68" t="str">
        <f aca="false">VLOOKUP(A368,BD_ORDENES!A:BE,17,FALSE())</f>
        <v>SOFA</v>
      </c>
      <c r="I368" s="68" t="str">
        <f aca="false">VLOOKUP(A368,BD_ORDENES!A:BE,18,FALSE())</f>
        <v>TOULOUSE</v>
      </c>
      <c r="J368" s="68" t="str">
        <f aca="false">VLOOKUP(A368,BD_ORDENES!A:BE,19,FALSE())</f>
        <v>DUSTER</v>
      </c>
      <c r="K368" s="68" t="str">
        <f aca="false">VLOOKUP(A368,BD_ORDENES!A:BE,20,FALSE())</f>
        <v>BEIGE</v>
      </c>
      <c r="L368" s="68" t="str">
        <f aca="false">VLOOKUP(A368,BD_ORDENES!A:BE,21,FALSE())</f>
        <v>MATIZ-CARAMELO</v>
      </c>
      <c r="M368" s="69" t="n">
        <f aca="false">VLOOKUP(A368,BD_ORDENES!A:BE,14,FALSE())</f>
        <v>1</v>
      </c>
      <c r="N368" s="68" t="n">
        <f aca="false">VLOOKUP(A368,BD_ORDENES!A:BE,15,FALSE())</f>
        <v>0</v>
      </c>
      <c r="O368" s="68" t="str">
        <f aca="false">VLOOKUP(A368,BD_ORDENES!A:BE,33,FALSE())</f>
        <v>TRANSPORTADORA</v>
      </c>
      <c r="P368" s="68" t="n">
        <f aca="false">VLOOKUP(A368,BD_ORDENES!A:BE,23,FALSE())</f>
        <v>0</v>
      </c>
      <c r="Q368" s="68" t="str">
        <f aca="false">VLOOKUP(A368,BD_ORDENES!A:BE,52,FALSE())</f>
        <v>Obtener Bajo Pedido (MTO)</v>
      </c>
      <c r="R368" s="68" t="str">
        <f aca="false">VLOOKUP(A368,BD_ORDENES!A:BE,25,FALSE())</f>
        <v>TUNJA</v>
      </c>
      <c r="S368" s="68" t="str">
        <f aca="false">VLOOKUP(A368,BD_ORDENES!A:BE,22,FALSE())</f>
        <v>INVENTARIO HOGAR VENECIA</v>
      </c>
      <c r="T368" s="65" t="n">
        <f aca="false">VLOOKUP(A368,BD_ORDENES!A:BE,55,FALSE())</f>
        <v>0</v>
      </c>
      <c r="U368" s="68" t="str">
        <f aca="false">VLOOKUP(A368,BD_ORDENES!A:BE,57,FALSE())</f>
        <v>9 INVENTARIO</v>
      </c>
      <c r="V368" s="70"/>
      <c r="W368" s="71"/>
    </row>
    <row r="369" s="72" customFormat="true" ht="98.25" hidden="false" customHeight="true" outlineLevel="0" collapsed="false">
      <c r="A369" s="62" t="n">
        <f aca="false">A368+1</f>
        <v>362</v>
      </c>
      <c r="B369" s="63" t="str">
        <f aca="false">VLOOKUP(A369,BD_ORDENES!A:BG,12,FALSE())</f>
        <v>__export__.product_product_176105_c9430812</v>
      </c>
      <c r="C369" s="64" t="n">
        <v>362</v>
      </c>
      <c r="D369" s="65" t="str">
        <f aca="false">VLOOKUP(A369,BD_ORDENES!A:BE,10,0)</f>
        <v>INVENTARIO HOGAR VENECIA</v>
      </c>
      <c r="E369" s="66" t="str">
        <f aca="false">VLOOKUP(A369,BD_ORDENES!A:BG,4,FALSE())</f>
        <v>HVM26173</v>
      </c>
      <c r="F369" s="66" t="str">
        <f aca="false">VLOOKUP(A369,BD_ORDENES!A:BE,56,FALSE())</f>
        <v>S267428</v>
      </c>
      <c r="G369" s="67" t="str">
        <f aca="false">VLOOKUP(A369,BD_ORDENES!A:BE,13,FALSE())</f>
        <v>SOFA NAVARA DUSTER GRIS (MATIZ NATURAL)</v>
      </c>
      <c r="H369" s="68" t="str">
        <f aca="false">VLOOKUP(A369,BD_ORDENES!A:BE,17,FALSE())</f>
        <v>SOFA</v>
      </c>
      <c r="I369" s="68" t="str">
        <f aca="false">VLOOKUP(A369,BD_ORDENES!A:BE,18,FALSE())</f>
        <v>NAVARA</v>
      </c>
      <c r="J369" s="68" t="str">
        <f aca="false">VLOOKUP(A369,BD_ORDENES!A:BE,19,FALSE())</f>
        <v>DUSTER</v>
      </c>
      <c r="K369" s="68" t="str">
        <f aca="false">VLOOKUP(A369,BD_ORDENES!A:BE,20,FALSE())</f>
        <v>GRIS</v>
      </c>
      <c r="L369" s="68" t="str">
        <f aca="false">VLOOKUP(A369,BD_ORDENES!A:BE,21,FALSE())</f>
        <v>MATIZ-NATURAL</v>
      </c>
      <c r="M369" s="69" t="n">
        <f aca="false">VLOOKUP(A369,BD_ORDENES!A:BE,14,FALSE())</f>
        <v>1</v>
      </c>
      <c r="N369" s="68" t="n">
        <f aca="false">VLOOKUP(A369,BD_ORDENES!A:BE,15,FALSE())</f>
        <v>0</v>
      </c>
      <c r="O369" s="68" t="str">
        <f aca="false">VLOOKUP(A369,BD_ORDENES!A:BE,33,FALSE())</f>
        <v>TRANSPORTADORA</v>
      </c>
      <c r="P369" s="68" t="n">
        <f aca="false">VLOOKUP(A369,BD_ORDENES!A:BE,23,FALSE())</f>
        <v>0</v>
      </c>
      <c r="Q369" s="68" t="str">
        <f aca="false">VLOOKUP(A369,BD_ORDENES!A:BE,52,FALSE())</f>
        <v>Obtener Bajo Pedido (MTO)</v>
      </c>
      <c r="R369" s="68" t="str">
        <f aca="false">VLOOKUP(A369,BD_ORDENES!A:BE,25,FALSE())</f>
        <v>TUNJA</v>
      </c>
      <c r="S369" s="68" t="str">
        <f aca="false">VLOOKUP(A369,BD_ORDENES!A:BE,22,FALSE())</f>
        <v>INVENTARIO HOGAR VENECIA</v>
      </c>
      <c r="T369" s="65" t="n">
        <f aca="false">VLOOKUP(A369,BD_ORDENES!A:BE,55,FALSE())</f>
        <v>0</v>
      </c>
      <c r="U369" s="68" t="str">
        <f aca="false">VLOOKUP(A369,BD_ORDENES!A:BE,57,FALSE())</f>
        <v>9 INVENTARIO</v>
      </c>
      <c r="V369" s="70"/>
      <c r="W369" s="71"/>
    </row>
    <row r="370" s="72" customFormat="true" ht="98.25" hidden="false" customHeight="true" outlineLevel="0" collapsed="false">
      <c r="A370" s="62" t="n">
        <f aca="false">A369+1</f>
        <v>363</v>
      </c>
      <c r="B370" s="63" t="str">
        <f aca="false">VLOOKUP(A370,BD_ORDENES!A:BG,12,FALSE())</f>
        <v>__export__.product_product_180195_683ba000</v>
      </c>
      <c r="C370" s="64" t="n">
        <v>363</v>
      </c>
      <c r="D370" s="65" t="str">
        <f aca="false">VLOOKUP(A370,BD_ORDENES!A:BE,10,0)</f>
        <v>INVENTARIO HOGAR VENECIA</v>
      </c>
      <c r="E370" s="66" t="str">
        <f aca="false">VLOOKUP(A370,BD_ORDENES!A:BG,4,FALSE())</f>
        <v>HVM26173</v>
      </c>
      <c r="F370" s="66" t="str">
        <f aca="false">VLOOKUP(A370,BD_ORDENES!A:BE,56,FALSE())</f>
        <v>S267428</v>
      </c>
      <c r="G370" s="67" t="str">
        <f aca="false">VLOOKUP(A370,BD_ORDENES!A:BE,13,FALSE())</f>
        <v>POLTRONA PORTO DUSTER GRIS (MATIZ NATURAL)</v>
      </c>
      <c r="H370" s="68" t="str">
        <f aca="false">VLOOKUP(A370,BD_ORDENES!A:BE,17,FALSE())</f>
        <v>POLTRONA</v>
      </c>
      <c r="I370" s="68" t="str">
        <f aca="false">VLOOKUP(A370,BD_ORDENES!A:BE,18,FALSE())</f>
        <v>PORTO</v>
      </c>
      <c r="J370" s="68" t="str">
        <f aca="false">VLOOKUP(A370,BD_ORDENES!A:BE,19,FALSE())</f>
        <v>DUSTER</v>
      </c>
      <c r="K370" s="68" t="str">
        <f aca="false">VLOOKUP(A370,BD_ORDENES!A:BE,20,FALSE())</f>
        <v>GRIS</v>
      </c>
      <c r="L370" s="68" t="str">
        <f aca="false">VLOOKUP(A370,BD_ORDENES!A:BE,21,FALSE())</f>
        <v>MATIZ-NATURAL</v>
      </c>
      <c r="M370" s="69" t="n">
        <f aca="false">VLOOKUP(A370,BD_ORDENES!A:BE,14,FALSE())</f>
        <v>1</v>
      </c>
      <c r="N370" s="68" t="n">
        <f aca="false">VLOOKUP(A370,BD_ORDENES!A:BE,15,FALSE())</f>
        <v>0</v>
      </c>
      <c r="O370" s="68" t="str">
        <f aca="false">VLOOKUP(A370,BD_ORDENES!A:BE,33,FALSE())</f>
        <v>TRANSPORTADORA</v>
      </c>
      <c r="P370" s="68" t="n">
        <f aca="false">VLOOKUP(A370,BD_ORDENES!A:BE,23,FALSE())</f>
        <v>0</v>
      </c>
      <c r="Q370" s="68" t="str">
        <f aca="false">VLOOKUP(A370,BD_ORDENES!A:BE,52,FALSE())</f>
        <v>Obtener Bajo Pedido (MTO)</v>
      </c>
      <c r="R370" s="68" t="str">
        <f aca="false">VLOOKUP(A370,BD_ORDENES!A:BE,25,FALSE())</f>
        <v>TUNJA</v>
      </c>
      <c r="S370" s="68" t="str">
        <f aca="false">VLOOKUP(A370,BD_ORDENES!A:BE,22,FALSE())</f>
        <v>INVENTARIO HOGAR VENECIA</v>
      </c>
      <c r="T370" s="65" t="n">
        <f aca="false">VLOOKUP(A370,BD_ORDENES!A:BE,55,FALSE())</f>
        <v>0</v>
      </c>
      <c r="U370" s="68" t="str">
        <f aca="false">VLOOKUP(A370,BD_ORDENES!A:BE,57,FALSE())</f>
        <v>9 INVENTARIO</v>
      </c>
      <c r="V370" s="70"/>
      <c r="W370" s="71"/>
    </row>
    <row r="371" s="72" customFormat="true" ht="98.25" hidden="false" customHeight="true" outlineLevel="0" collapsed="false">
      <c r="A371" s="62" t="n">
        <f aca="false">A370+1</f>
        <v>364</v>
      </c>
      <c r="B371" s="63" t="str">
        <f aca="false">VLOOKUP(A371,BD_ORDENES!A:BG,12,FALSE())</f>
        <v>__export__.product_product_187099_4a580d03</v>
      </c>
      <c r="C371" s="64" t="n">
        <v>364</v>
      </c>
      <c r="D371" s="65" t="str">
        <f aca="false">VLOOKUP(A371,BD_ORDENES!A:BE,10,0)</f>
        <v>INVENTARIO HOGAR VENECIA</v>
      </c>
      <c r="E371" s="66" t="str">
        <f aca="false">VLOOKUP(A371,BD_ORDENES!A:BG,4,FALSE())</f>
        <v>HVM26173</v>
      </c>
      <c r="F371" s="66" t="str">
        <f aca="false">VLOOKUP(A371,BD_ORDENES!A:BE,56,FALSE())</f>
        <v>S267428</v>
      </c>
      <c r="G371" s="67" t="str">
        <f aca="false">VLOOKUP(A371,BD_ORDENES!A:BE,13,FALSE())</f>
        <v>MESA DE CENTRO NOVA BLANCO (MATIZ NATURAL)</v>
      </c>
      <c r="H371" s="68" t="str">
        <f aca="false">VLOOKUP(A371,BD_ORDENES!A:BE,17,FALSE())</f>
        <v>MESA-CENTRO</v>
      </c>
      <c r="I371" s="68" t="str">
        <f aca="false">VLOOKUP(A371,BD_ORDENES!A:BE,18,FALSE())</f>
        <v>NOVA</v>
      </c>
      <c r="J371" s="68" t="n">
        <f aca="false">VLOOKUP(A371,BD_ORDENES!A:BE,19,FALSE())</f>
        <v>0</v>
      </c>
      <c r="K371" s="68" t="str">
        <f aca="false">VLOOKUP(A371,BD_ORDENES!A:BE,20,FALSE())</f>
        <v>BLANCO</v>
      </c>
      <c r="L371" s="68" t="str">
        <f aca="false">VLOOKUP(A371,BD_ORDENES!A:BE,21,FALSE())</f>
        <v>MATIZ-NATURAL</v>
      </c>
      <c r="M371" s="69" t="n">
        <f aca="false">VLOOKUP(A371,BD_ORDENES!A:BE,14,FALSE())</f>
        <v>1</v>
      </c>
      <c r="N371" s="68" t="n">
        <f aca="false">VLOOKUP(A371,BD_ORDENES!A:BE,15,FALSE())</f>
        <v>0</v>
      </c>
      <c r="O371" s="68" t="str">
        <f aca="false">VLOOKUP(A371,BD_ORDENES!A:BE,33,FALSE())</f>
        <v>TRANSPORTADORA</v>
      </c>
      <c r="P371" s="68" t="n">
        <f aca="false">VLOOKUP(A371,BD_ORDENES!A:BE,23,FALSE())</f>
        <v>0</v>
      </c>
      <c r="Q371" s="68" t="str">
        <f aca="false">VLOOKUP(A371,BD_ORDENES!A:BE,52,FALSE())</f>
        <v>Obtener Bajo Pedido (MTO)</v>
      </c>
      <c r="R371" s="68" t="str">
        <f aca="false">VLOOKUP(A371,BD_ORDENES!A:BE,25,FALSE())</f>
        <v>TUNJA</v>
      </c>
      <c r="S371" s="68" t="str">
        <f aca="false">VLOOKUP(A371,BD_ORDENES!A:BE,22,FALSE())</f>
        <v>INVENTARIO HOGAR VENECIA</v>
      </c>
      <c r="T371" s="65" t="n">
        <f aca="false">VLOOKUP(A371,BD_ORDENES!A:BE,55,FALSE())</f>
        <v>0</v>
      </c>
      <c r="U371" s="68" t="str">
        <f aca="false">VLOOKUP(A371,BD_ORDENES!A:BE,57,FALSE())</f>
        <v>9 INVENTARIO</v>
      </c>
      <c r="V371" s="70"/>
      <c r="W371" s="71"/>
    </row>
    <row r="372" s="72" customFormat="true" ht="98.25" hidden="false" customHeight="true" outlineLevel="0" collapsed="false">
      <c r="A372" s="62" t="n">
        <f aca="false">A371+1</f>
        <v>365</v>
      </c>
      <c r="B372" s="63" t="str">
        <f aca="false">VLOOKUP(A372,BD_ORDENES!A:BG,12,FALSE())</f>
        <v>__export__.product_product_176105_c9430812</v>
      </c>
      <c r="C372" s="64" t="n">
        <v>365</v>
      </c>
      <c r="D372" s="65" t="str">
        <f aca="false">VLOOKUP(A372,BD_ORDENES!A:BE,10,0)</f>
        <v>INVENTARIO HOGAR VENECIA</v>
      </c>
      <c r="E372" s="66" t="str">
        <f aca="false">VLOOKUP(A372,BD_ORDENES!A:BG,4,FALSE())</f>
        <v>HVM26172</v>
      </c>
      <c r="F372" s="66" t="str">
        <f aca="false">VLOOKUP(A372,BD_ORDENES!A:BE,56,FALSE())</f>
        <v>S267427</v>
      </c>
      <c r="G372" s="67" t="str">
        <f aca="false">VLOOKUP(A372,BD_ORDENES!A:BE,13,FALSE())</f>
        <v>SOFA NAVARA DUSTER GRIS (MATIZ NATURAL)</v>
      </c>
      <c r="H372" s="68" t="str">
        <f aca="false">VLOOKUP(A372,BD_ORDENES!A:BE,17,FALSE())</f>
        <v>SOFA</v>
      </c>
      <c r="I372" s="68" t="str">
        <f aca="false">VLOOKUP(A372,BD_ORDENES!A:BE,18,FALSE())</f>
        <v>NAVARA</v>
      </c>
      <c r="J372" s="68" t="str">
        <f aca="false">VLOOKUP(A372,BD_ORDENES!A:BE,19,FALSE())</f>
        <v>DUSTER</v>
      </c>
      <c r="K372" s="68" t="str">
        <f aca="false">VLOOKUP(A372,BD_ORDENES!A:BE,20,FALSE())</f>
        <v>GRIS</v>
      </c>
      <c r="L372" s="68" t="str">
        <f aca="false">VLOOKUP(A372,BD_ORDENES!A:BE,21,FALSE())</f>
        <v>MATIZ-NATURAL</v>
      </c>
      <c r="M372" s="69" t="n">
        <f aca="false">VLOOKUP(A372,BD_ORDENES!A:BE,14,FALSE())</f>
        <v>1</v>
      </c>
      <c r="N372" s="68" t="n">
        <f aca="false">VLOOKUP(A372,BD_ORDENES!A:BE,15,FALSE())</f>
        <v>0</v>
      </c>
      <c r="O372" s="68" t="str">
        <f aca="false">VLOOKUP(A372,BD_ORDENES!A:BE,33,FALSE())</f>
        <v>TRANSPORTADORA</v>
      </c>
      <c r="P372" s="68" t="n">
        <f aca="false">VLOOKUP(A372,BD_ORDENES!A:BE,23,FALSE())</f>
        <v>0</v>
      </c>
      <c r="Q372" s="68" t="str">
        <f aca="false">VLOOKUP(A372,BD_ORDENES!A:BE,52,FALSE())</f>
        <v>Obtener Bajo Pedido (MTO)</v>
      </c>
      <c r="R372" s="68" t="str">
        <f aca="false">VLOOKUP(A372,BD_ORDENES!A:BE,25,FALSE())</f>
        <v>TUNJA</v>
      </c>
      <c r="S372" s="68" t="str">
        <f aca="false">VLOOKUP(A372,BD_ORDENES!A:BE,22,FALSE())</f>
        <v>INVENTARIO HOGAR VENECIA</v>
      </c>
      <c r="T372" s="65" t="n">
        <f aca="false">VLOOKUP(A372,BD_ORDENES!A:BE,55,FALSE())</f>
        <v>0</v>
      </c>
      <c r="U372" s="68" t="str">
        <f aca="false">VLOOKUP(A372,BD_ORDENES!A:BE,57,FALSE())</f>
        <v>9 INVENTARIO</v>
      </c>
      <c r="V372" s="70"/>
      <c r="W372" s="71"/>
    </row>
    <row r="373" s="72" customFormat="true" ht="98.25" hidden="false" customHeight="true" outlineLevel="0" collapsed="false">
      <c r="A373" s="62" t="n">
        <f aca="false">A372+1</f>
        <v>366</v>
      </c>
      <c r="B373" s="63" t="str">
        <f aca="false">VLOOKUP(A373,BD_ORDENES!A:BG,12,FALSE())</f>
        <v>__export__.product_product_180195_683ba000</v>
      </c>
      <c r="C373" s="64" t="n">
        <v>366</v>
      </c>
      <c r="D373" s="65" t="str">
        <f aca="false">VLOOKUP(A373,BD_ORDENES!A:BE,10,0)</f>
        <v>INVENTARIO HOGAR VENECIA</v>
      </c>
      <c r="E373" s="66" t="str">
        <f aca="false">VLOOKUP(A373,BD_ORDENES!A:BG,4,FALSE())</f>
        <v>HVM26172</v>
      </c>
      <c r="F373" s="66" t="str">
        <f aca="false">VLOOKUP(A373,BD_ORDENES!A:BE,56,FALSE())</f>
        <v>S267427</v>
      </c>
      <c r="G373" s="67" t="str">
        <f aca="false">VLOOKUP(A373,BD_ORDENES!A:BE,13,FALSE())</f>
        <v>POLTRONA PORTO DUSTER GRIS (MATIZ NATURAL)</v>
      </c>
      <c r="H373" s="68" t="str">
        <f aca="false">VLOOKUP(A373,BD_ORDENES!A:BE,17,FALSE())</f>
        <v>POLTRONA</v>
      </c>
      <c r="I373" s="68" t="str">
        <f aca="false">VLOOKUP(A373,BD_ORDENES!A:BE,18,FALSE())</f>
        <v>PORTO</v>
      </c>
      <c r="J373" s="68" t="str">
        <f aca="false">VLOOKUP(A373,BD_ORDENES!A:BE,19,FALSE())</f>
        <v>DUSTER</v>
      </c>
      <c r="K373" s="68" t="str">
        <f aca="false">VLOOKUP(A373,BD_ORDENES!A:BE,20,FALSE())</f>
        <v>GRIS</v>
      </c>
      <c r="L373" s="68" t="str">
        <f aca="false">VLOOKUP(A373,BD_ORDENES!A:BE,21,FALSE())</f>
        <v>MATIZ-NATURAL</v>
      </c>
      <c r="M373" s="69" t="n">
        <f aca="false">VLOOKUP(A373,BD_ORDENES!A:BE,14,FALSE())</f>
        <v>1</v>
      </c>
      <c r="N373" s="68" t="n">
        <f aca="false">VLOOKUP(A373,BD_ORDENES!A:BE,15,FALSE())</f>
        <v>0</v>
      </c>
      <c r="O373" s="68" t="str">
        <f aca="false">VLOOKUP(A373,BD_ORDENES!A:BE,33,FALSE())</f>
        <v>TRANSPORTADORA</v>
      </c>
      <c r="P373" s="68" t="n">
        <f aca="false">VLOOKUP(A373,BD_ORDENES!A:BE,23,FALSE())</f>
        <v>0</v>
      </c>
      <c r="Q373" s="68" t="str">
        <f aca="false">VLOOKUP(A373,BD_ORDENES!A:BE,52,FALSE())</f>
        <v>Obtener Bajo Pedido (MTO)</v>
      </c>
      <c r="R373" s="68" t="str">
        <f aca="false">VLOOKUP(A373,BD_ORDENES!A:BE,25,FALSE())</f>
        <v>TUNJA</v>
      </c>
      <c r="S373" s="68" t="str">
        <f aca="false">VLOOKUP(A373,BD_ORDENES!A:BE,22,FALSE())</f>
        <v>INVENTARIO HOGAR VENECIA</v>
      </c>
      <c r="T373" s="65" t="n">
        <f aca="false">VLOOKUP(A373,BD_ORDENES!A:BE,55,FALSE())</f>
        <v>0</v>
      </c>
      <c r="U373" s="68" t="str">
        <f aca="false">VLOOKUP(A373,BD_ORDENES!A:BE,57,FALSE())</f>
        <v>9 INVENTARIO</v>
      </c>
      <c r="V373" s="70"/>
      <c r="W373" s="71"/>
    </row>
    <row r="374" s="72" customFormat="true" ht="98.25" hidden="false" customHeight="true" outlineLevel="0" collapsed="false">
      <c r="A374" s="62" t="n">
        <f aca="false">A373+1</f>
        <v>367</v>
      </c>
      <c r="B374" s="63" t="str">
        <f aca="false">VLOOKUP(A374,BD_ORDENES!A:BG,12,FALSE())</f>
        <v>__export__.product_product_187099_4a580d03</v>
      </c>
      <c r="C374" s="64" t="n">
        <v>367</v>
      </c>
      <c r="D374" s="65" t="str">
        <f aca="false">VLOOKUP(A374,BD_ORDENES!A:BE,10,0)</f>
        <v>INVENTARIO HOGAR VENECIA</v>
      </c>
      <c r="E374" s="66" t="str">
        <f aca="false">VLOOKUP(A374,BD_ORDENES!A:BG,4,FALSE())</f>
        <v>HVM26172</v>
      </c>
      <c r="F374" s="66" t="str">
        <f aca="false">VLOOKUP(A374,BD_ORDENES!A:BE,56,FALSE())</f>
        <v>S267427</v>
      </c>
      <c r="G374" s="67" t="str">
        <f aca="false">VLOOKUP(A374,BD_ORDENES!A:BE,13,FALSE())</f>
        <v>MESA DE CENTRO NOVA BLANCO (MATIZ NATURAL)</v>
      </c>
      <c r="H374" s="68" t="str">
        <f aca="false">VLOOKUP(A374,BD_ORDENES!A:BE,17,FALSE())</f>
        <v>MESA-CENTRO</v>
      </c>
      <c r="I374" s="68" t="str">
        <f aca="false">VLOOKUP(A374,BD_ORDENES!A:BE,18,FALSE())</f>
        <v>NOVA</v>
      </c>
      <c r="J374" s="68" t="n">
        <f aca="false">VLOOKUP(A374,BD_ORDENES!A:BE,19,FALSE())</f>
        <v>0</v>
      </c>
      <c r="K374" s="68" t="str">
        <f aca="false">VLOOKUP(A374,BD_ORDENES!A:BE,20,FALSE())</f>
        <v>BLANCO</v>
      </c>
      <c r="L374" s="68" t="str">
        <f aca="false">VLOOKUP(A374,BD_ORDENES!A:BE,21,FALSE())</f>
        <v>MATIZ-NATURAL</v>
      </c>
      <c r="M374" s="69" t="n">
        <f aca="false">VLOOKUP(A374,BD_ORDENES!A:BE,14,FALSE())</f>
        <v>1</v>
      </c>
      <c r="N374" s="68" t="n">
        <f aca="false">VLOOKUP(A374,BD_ORDENES!A:BE,15,FALSE())</f>
        <v>0</v>
      </c>
      <c r="O374" s="68" t="str">
        <f aca="false">VLOOKUP(A374,BD_ORDENES!A:BE,33,FALSE())</f>
        <v>TRANSPORTADORA</v>
      </c>
      <c r="P374" s="68" t="n">
        <f aca="false">VLOOKUP(A374,BD_ORDENES!A:BE,23,FALSE())</f>
        <v>0</v>
      </c>
      <c r="Q374" s="68" t="str">
        <f aca="false">VLOOKUP(A374,BD_ORDENES!A:BE,52,FALSE())</f>
        <v>Obtener Bajo Pedido (MTO)</v>
      </c>
      <c r="R374" s="68" t="str">
        <f aca="false">VLOOKUP(A374,BD_ORDENES!A:BE,25,FALSE())</f>
        <v>TUNJA</v>
      </c>
      <c r="S374" s="68" t="str">
        <f aca="false">VLOOKUP(A374,BD_ORDENES!A:BE,22,FALSE())</f>
        <v>INVENTARIO HOGAR VENECIA</v>
      </c>
      <c r="T374" s="65" t="n">
        <f aca="false">VLOOKUP(A374,BD_ORDENES!A:BE,55,FALSE())</f>
        <v>0</v>
      </c>
      <c r="U374" s="68" t="str">
        <f aca="false">VLOOKUP(A374,BD_ORDENES!A:BE,57,FALSE())</f>
        <v>9 INVENTARIO</v>
      </c>
      <c r="V374" s="70"/>
      <c r="W374" s="71"/>
    </row>
    <row r="375" s="72" customFormat="true" ht="98.25" hidden="false" customHeight="true" outlineLevel="0" collapsed="false">
      <c r="A375" s="62" t="n">
        <f aca="false">A374+1</f>
        <v>368</v>
      </c>
      <c r="B375" s="63" t="str">
        <f aca="false">VLOOKUP(A375,BD_ORDENES!A:BG,12,FALSE())</f>
        <v>__export__.product_product_207974_6e5bbc57</v>
      </c>
      <c r="C375" s="64" t="n">
        <v>368</v>
      </c>
      <c r="D375" s="65" t="str">
        <f aca="false">VLOOKUP(A375,BD_ORDENES!A:BE,10,0)</f>
        <v>INVENTARIO HOGAR VENECIA</v>
      </c>
      <c r="E375" s="66" t="str">
        <f aca="false">VLOOKUP(A375,BD_ORDENES!A:BG,4,FALSE())</f>
        <v>HVM26140</v>
      </c>
      <c r="F375" s="66" t="str">
        <f aca="false">VLOOKUP(A375,BD_ORDENES!A:BE,56,FALSE())</f>
        <v>S267395</v>
      </c>
      <c r="G375" s="67" t="str">
        <f aca="false">VLOOKUP(A375,BD_ORDENES!A:BE,13,FALSE())</f>
        <v>SOFA MUNICH DENVER PLATA (MATIZ NATURAL)</v>
      </c>
      <c r="H375" s="68" t="str">
        <f aca="false">VLOOKUP(A375,BD_ORDENES!A:BE,17,FALSE())</f>
        <v>SOFA</v>
      </c>
      <c r="I375" s="68" t="str">
        <f aca="false">VLOOKUP(A375,BD_ORDENES!A:BE,18,FALSE())</f>
        <v>MUNICH</v>
      </c>
      <c r="J375" s="68" t="str">
        <f aca="false">VLOOKUP(A375,BD_ORDENES!A:BE,19,FALSE())</f>
        <v>DENVER</v>
      </c>
      <c r="K375" s="68" t="str">
        <f aca="false">VLOOKUP(A375,BD_ORDENES!A:BE,20,FALSE())</f>
        <v>PLATA</v>
      </c>
      <c r="L375" s="68" t="str">
        <f aca="false">VLOOKUP(A375,BD_ORDENES!A:BE,21,FALSE())</f>
        <v>MATIZ-NATURAL</v>
      </c>
      <c r="M375" s="69" t="n">
        <f aca="false">VLOOKUP(A375,BD_ORDENES!A:BE,14,FALSE())</f>
        <v>1</v>
      </c>
      <c r="N375" s="68" t="n">
        <f aca="false">VLOOKUP(A375,BD_ORDENES!A:BE,15,FALSE())</f>
        <v>0</v>
      </c>
      <c r="O375" s="68" t="str">
        <f aca="false">VLOOKUP(A375,BD_ORDENES!A:BE,33,FALSE())</f>
        <v>TRANSPORTADORA</v>
      </c>
      <c r="P375" s="68" t="n">
        <f aca="false">VLOOKUP(A375,BD_ORDENES!A:BE,23,FALSE())</f>
        <v>0</v>
      </c>
      <c r="Q375" s="68" t="str">
        <f aca="false">VLOOKUP(A375,BD_ORDENES!A:BE,52,FALSE())</f>
        <v>Obtener Bajo Pedido (MTO)</v>
      </c>
      <c r="R375" s="68" t="str">
        <f aca="false">VLOOKUP(A375,BD_ORDENES!A:BE,25,FALSE())</f>
        <v>TUNJA</v>
      </c>
      <c r="S375" s="68" t="str">
        <f aca="false">VLOOKUP(A375,BD_ORDENES!A:BE,22,FALSE())</f>
        <v>INVENTARIO HOGAR VENECIA</v>
      </c>
      <c r="T375" s="65" t="n">
        <f aca="false">VLOOKUP(A375,BD_ORDENES!A:BE,55,FALSE())</f>
        <v>0</v>
      </c>
      <c r="U375" s="68" t="str">
        <f aca="false">VLOOKUP(A375,BD_ORDENES!A:BE,57,FALSE())</f>
        <v>9 INVENTARIO</v>
      </c>
      <c r="V375" s="70"/>
      <c r="W375" s="71"/>
    </row>
    <row r="376" s="72" customFormat="true" ht="98.25" hidden="false" customHeight="true" outlineLevel="0" collapsed="false">
      <c r="A376" s="62" t="n">
        <f aca="false">A375+1</f>
        <v>369</v>
      </c>
      <c r="B376" s="63" t="str">
        <f aca="false">VLOOKUP(A376,BD_ORDENES!A:BG,12,FALSE())</f>
        <v>__export__.product_product_207974_6e5bbc57</v>
      </c>
      <c r="C376" s="64" t="n">
        <v>369</v>
      </c>
      <c r="D376" s="65" t="str">
        <f aca="false">VLOOKUP(A376,BD_ORDENES!A:BE,10,0)</f>
        <v>INVENTARIO HOGAR VENECIA</v>
      </c>
      <c r="E376" s="66" t="str">
        <f aca="false">VLOOKUP(A376,BD_ORDENES!A:BG,4,FALSE())</f>
        <v>HVM26135</v>
      </c>
      <c r="F376" s="66" t="str">
        <f aca="false">VLOOKUP(A376,BD_ORDENES!A:BE,56,FALSE())</f>
        <v>S267390</v>
      </c>
      <c r="G376" s="67" t="str">
        <f aca="false">VLOOKUP(A376,BD_ORDENES!A:BE,13,FALSE())</f>
        <v>SOFA MUNICH DENVER PLATA (MATIZ NATURAL)</v>
      </c>
      <c r="H376" s="68" t="str">
        <f aca="false">VLOOKUP(A376,BD_ORDENES!A:BE,17,FALSE())</f>
        <v>SOFA</v>
      </c>
      <c r="I376" s="68" t="str">
        <f aca="false">VLOOKUP(A376,BD_ORDENES!A:BE,18,FALSE())</f>
        <v>MUNICH</v>
      </c>
      <c r="J376" s="68" t="str">
        <f aca="false">VLOOKUP(A376,BD_ORDENES!A:BE,19,FALSE())</f>
        <v>DENVER</v>
      </c>
      <c r="K376" s="68" t="str">
        <f aca="false">VLOOKUP(A376,BD_ORDENES!A:BE,20,FALSE())</f>
        <v>PLATA</v>
      </c>
      <c r="L376" s="68" t="str">
        <f aca="false">VLOOKUP(A376,BD_ORDENES!A:BE,21,FALSE())</f>
        <v>MATIZ-NATURAL</v>
      </c>
      <c r="M376" s="69" t="n">
        <f aca="false">VLOOKUP(A376,BD_ORDENES!A:BE,14,FALSE())</f>
        <v>1</v>
      </c>
      <c r="N376" s="68" t="n">
        <f aca="false">VLOOKUP(A376,BD_ORDENES!A:BE,15,FALSE())</f>
        <v>0</v>
      </c>
      <c r="O376" s="68" t="str">
        <f aca="false">VLOOKUP(A376,BD_ORDENES!A:BE,33,FALSE())</f>
        <v>TRANSPORTADORA</v>
      </c>
      <c r="P376" s="68" t="n">
        <f aca="false">VLOOKUP(A376,BD_ORDENES!A:BE,23,FALSE())</f>
        <v>0</v>
      </c>
      <c r="Q376" s="68" t="str">
        <f aca="false">VLOOKUP(A376,BD_ORDENES!A:BE,52,FALSE())</f>
        <v>Obtener Bajo Pedido (MTO)</v>
      </c>
      <c r="R376" s="68" t="str">
        <f aca="false">VLOOKUP(A376,BD_ORDENES!A:BE,25,FALSE())</f>
        <v>TUNJA</v>
      </c>
      <c r="S376" s="68" t="str">
        <f aca="false">VLOOKUP(A376,BD_ORDENES!A:BE,22,FALSE())</f>
        <v>INVENTARIO HOGAR VENECIA</v>
      </c>
      <c r="T376" s="65" t="n">
        <f aca="false">VLOOKUP(A376,BD_ORDENES!A:BE,55,FALSE())</f>
        <v>0</v>
      </c>
      <c r="U376" s="68" t="str">
        <f aca="false">VLOOKUP(A376,BD_ORDENES!A:BE,57,FALSE())</f>
        <v>9 INVENTARIO</v>
      </c>
      <c r="V376" s="70"/>
      <c r="W376" s="71"/>
    </row>
    <row r="377" s="72" customFormat="true" ht="98.25" hidden="false" customHeight="true" outlineLevel="0" collapsed="false">
      <c r="A377" s="62" t="n">
        <f aca="false">A376+1</f>
        <v>370</v>
      </c>
      <c r="B377" s="63" t="str">
        <f aca="false">VLOOKUP(A377,BD_ORDENES!A:BG,12,FALSE())</f>
        <v>__export__.product_product_207974_6e5bbc57</v>
      </c>
      <c r="C377" s="64" t="n">
        <v>370</v>
      </c>
      <c r="D377" s="65" t="str">
        <f aca="false">VLOOKUP(A377,BD_ORDENES!A:BE,10,0)</f>
        <v>INVENTARIO HOGAR VENECIA</v>
      </c>
      <c r="E377" s="66" t="str">
        <f aca="false">VLOOKUP(A377,BD_ORDENES!A:BG,4,FALSE())</f>
        <v>HVM26134</v>
      </c>
      <c r="F377" s="66" t="str">
        <f aca="false">VLOOKUP(A377,BD_ORDENES!A:BE,56,FALSE())</f>
        <v>S267389</v>
      </c>
      <c r="G377" s="67" t="str">
        <f aca="false">VLOOKUP(A377,BD_ORDENES!A:BE,13,FALSE())</f>
        <v>SOFA MUNICH DENVER PLATA (MATIZ NATURAL)</v>
      </c>
      <c r="H377" s="68" t="str">
        <f aca="false">VLOOKUP(A377,BD_ORDENES!A:BE,17,FALSE())</f>
        <v>SOFA</v>
      </c>
      <c r="I377" s="68" t="str">
        <f aca="false">VLOOKUP(A377,BD_ORDENES!A:BE,18,FALSE())</f>
        <v>MUNICH</v>
      </c>
      <c r="J377" s="68" t="str">
        <f aca="false">VLOOKUP(A377,BD_ORDENES!A:BE,19,FALSE())</f>
        <v>DENVER</v>
      </c>
      <c r="K377" s="68" t="str">
        <f aca="false">VLOOKUP(A377,BD_ORDENES!A:BE,20,FALSE())</f>
        <v>PLATA</v>
      </c>
      <c r="L377" s="68" t="str">
        <f aca="false">VLOOKUP(A377,BD_ORDENES!A:BE,21,FALSE())</f>
        <v>MATIZ-NATURAL</v>
      </c>
      <c r="M377" s="69" t="n">
        <f aca="false">VLOOKUP(A377,BD_ORDENES!A:BE,14,FALSE())</f>
        <v>1</v>
      </c>
      <c r="N377" s="68" t="n">
        <f aca="false">VLOOKUP(A377,BD_ORDENES!A:BE,15,FALSE())</f>
        <v>0</v>
      </c>
      <c r="O377" s="68" t="str">
        <f aca="false">VLOOKUP(A377,BD_ORDENES!A:BE,33,FALSE())</f>
        <v>TRANSPORTADORA</v>
      </c>
      <c r="P377" s="68" t="n">
        <f aca="false">VLOOKUP(A377,BD_ORDENES!A:BE,23,FALSE())</f>
        <v>0</v>
      </c>
      <c r="Q377" s="68" t="str">
        <f aca="false">VLOOKUP(A377,BD_ORDENES!A:BE,52,FALSE())</f>
        <v>Obtener Bajo Pedido (MTO)</v>
      </c>
      <c r="R377" s="68" t="str">
        <f aca="false">VLOOKUP(A377,BD_ORDENES!A:BE,25,FALSE())</f>
        <v>TUNJA</v>
      </c>
      <c r="S377" s="68" t="str">
        <f aca="false">VLOOKUP(A377,BD_ORDENES!A:BE,22,FALSE())</f>
        <v>INVENTARIO HOGAR VENECIA</v>
      </c>
      <c r="T377" s="65" t="n">
        <f aca="false">VLOOKUP(A377,BD_ORDENES!A:BE,55,FALSE())</f>
        <v>0</v>
      </c>
      <c r="U377" s="68" t="str">
        <f aca="false">VLOOKUP(A377,BD_ORDENES!A:BE,57,FALSE())</f>
        <v>9 INVENTARIO</v>
      </c>
      <c r="V377" s="70"/>
      <c r="W377" s="71"/>
    </row>
    <row r="378" s="72" customFormat="true" ht="98.25" hidden="false" customHeight="true" outlineLevel="0" collapsed="false">
      <c r="A378" s="62" t="n">
        <f aca="false">A377+1</f>
        <v>371</v>
      </c>
      <c r="B378" s="63" t="str">
        <f aca="false">VLOOKUP(A378,BD_ORDENES!A:BG,12,FALSE())</f>
        <v>__export__.product_product_207974_6e5bbc57</v>
      </c>
      <c r="C378" s="64" t="n">
        <v>371</v>
      </c>
      <c r="D378" s="65" t="str">
        <f aca="false">VLOOKUP(A378,BD_ORDENES!A:BE,10,0)</f>
        <v>INVENTARIO HOGAR VENECIA</v>
      </c>
      <c r="E378" s="66" t="str">
        <f aca="false">VLOOKUP(A378,BD_ORDENES!A:BG,4,FALSE())</f>
        <v>HVM26126</v>
      </c>
      <c r="F378" s="66" t="str">
        <f aca="false">VLOOKUP(A378,BD_ORDENES!A:BE,56,FALSE())</f>
        <v>S267381</v>
      </c>
      <c r="G378" s="67" t="str">
        <f aca="false">VLOOKUP(A378,BD_ORDENES!A:BE,13,FALSE())</f>
        <v>SOFA MUNICH DENVER PLATA (MATIZ NATURAL)</v>
      </c>
      <c r="H378" s="68" t="str">
        <f aca="false">VLOOKUP(A378,BD_ORDENES!A:BE,17,FALSE())</f>
        <v>SOFA</v>
      </c>
      <c r="I378" s="68" t="str">
        <f aca="false">VLOOKUP(A378,BD_ORDENES!A:BE,18,FALSE())</f>
        <v>MUNICH</v>
      </c>
      <c r="J378" s="68" t="str">
        <f aca="false">VLOOKUP(A378,BD_ORDENES!A:BE,19,FALSE())</f>
        <v>DENVER</v>
      </c>
      <c r="K378" s="68" t="str">
        <f aca="false">VLOOKUP(A378,BD_ORDENES!A:BE,20,FALSE())</f>
        <v>PLATA</v>
      </c>
      <c r="L378" s="68" t="str">
        <f aca="false">VLOOKUP(A378,BD_ORDENES!A:BE,21,FALSE())</f>
        <v>MATIZ-NATURAL</v>
      </c>
      <c r="M378" s="69" t="n">
        <f aca="false">VLOOKUP(A378,BD_ORDENES!A:BE,14,FALSE())</f>
        <v>1</v>
      </c>
      <c r="N378" s="68" t="n">
        <f aca="false">VLOOKUP(A378,BD_ORDENES!A:BE,15,FALSE())</f>
        <v>0</v>
      </c>
      <c r="O378" s="68" t="str">
        <f aca="false">VLOOKUP(A378,BD_ORDENES!A:BE,33,FALSE())</f>
        <v>TRANSPORTADORA</v>
      </c>
      <c r="P378" s="68" t="n">
        <f aca="false">VLOOKUP(A378,BD_ORDENES!A:BE,23,FALSE())</f>
        <v>0</v>
      </c>
      <c r="Q378" s="68" t="str">
        <f aca="false">VLOOKUP(A378,BD_ORDENES!A:BE,52,FALSE())</f>
        <v>Obtener Bajo Pedido (MTO)</v>
      </c>
      <c r="R378" s="68" t="str">
        <f aca="false">VLOOKUP(A378,BD_ORDENES!A:BE,25,FALSE())</f>
        <v>TUNJA</v>
      </c>
      <c r="S378" s="68" t="str">
        <f aca="false">VLOOKUP(A378,BD_ORDENES!A:BE,22,FALSE())</f>
        <v>INVENTARIO HOGAR VENECIA</v>
      </c>
      <c r="T378" s="65" t="n">
        <f aca="false">VLOOKUP(A378,BD_ORDENES!A:BE,55,FALSE())</f>
        <v>0</v>
      </c>
      <c r="U378" s="68" t="str">
        <f aca="false">VLOOKUP(A378,BD_ORDENES!A:BE,57,FALSE())</f>
        <v>9 INVENTARIO</v>
      </c>
      <c r="V378" s="70"/>
      <c r="W378" s="71"/>
    </row>
    <row r="379" s="72" customFormat="true" ht="98.25" hidden="false" customHeight="true" outlineLevel="0" collapsed="false">
      <c r="A379" s="62" t="n">
        <f aca="false">A378+1</f>
        <v>372</v>
      </c>
      <c r="B379" s="63" t="str">
        <f aca="false">VLOOKUP(A379,BD_ORDENES!A:BG,12,FALSE())</f>
        <v>__export__.product_product_207974_6e5bbc57</v>
      </c>
      <c r="C379" s="64" t="n">
        <v>372</v>
      </c>
      <c r="D379" s="65" t="str">
        <f aca="false">VLOOKUP(A379,BD_ORDENES!A:BE,10,0)</f>
        <v>INVENTARIO HOGAR VENECIA</v>
      </c>
      <c r="E379" s="66" t="str">
        <f aca="false">VLOOKUP(A379,BD_ORDENES!A:BG,4,FALSE())</f>
        <v>HVM26125</v>
      </c>
      <c r="F379" s="66" t="str">
        <f aca="false">VLOOKUP(A379,BD_ORDENES!A:BE,56,FALSE())</f>
        <v>S267380</v>
      </c>
      <c r="G379" s="67" t="str">
        <f aca="false">VLOOKUP(A379,BD_ORDENES!A:BE,13,FALSE())</f>
        <v>SOFA MUNICH DENVER PLATA (MATIZ NATURAL)</v>
      </c>
      <c r="H379" s="68" t="str">
        <f aca="false">VLOOKUP(A379,BD_ORDENES!A:BE,17,FALSE())</f>
        <v>SOFA</v>
      </c>
      <c r="I379" s="68" t="str">
        <f aca="false">VLOOKUP(A379,BD_ORDENES!A:BE,18,FALSE())</f>
        <v>MUNICH</v>
      </c>
      <c r="J379" s="68" t="str">
        <f aca="false">VLOOKUP(A379,BD_ORDENES!A:BE,19,FALSE())</f>
        <v>DENVER</v>
      </c>
      <c r="K379" s="68" t="str">
        <f aca="false">VLOOKUP(A379,BD_ORDENES!A:BE,20,FALSE())</f>
        <v>PLATA</v>
      </c>
      <c r="L379" s="68" t="str">
        <f aca="false">VLOOKUP(A379,BD_ORDENES!A:BE,21,FALSE())</f>
        <v>MATIZ-NATURAL</v>
      </c>
      <c r="M379" s="69" t="n">
        <f aca="false">VLOOKUP(A379,BD_ORDENES!A:BE,14,FALSE())</f>
        <v>1</v>
      </c>
      <c r="N379" s="68" t="n">
        <f aca="false">VLOOKUP(A379,BD_ORDENES!A:BE,15,FALSE())</f>
        <v>0</v>
      </c>
      <c r="O379" s="68" t="str">
        <f aca="false">VLOOKUP(A379,BD_ORDENES!A:BE,33,FALSE())</f>
        <v>TRANSPORTADORA</v>
      </c>
      <c r="P379" s="68" t="n">
        <f aca="false">VLOOKUP(A379,BD_ORDENES!A:BE,23,FALSE())</f>
        <v>0</v>
      </c>
      <c r="Q379" s="68" t="str">
        <f aca="false">VLOOKUP(A379,BD_ORDENES!A:BE,52,FALSE())</f>
        <v>Obtener Bajo Pedido (MTO)</v>
      </c>
      <c r="R379" s="68" t="str">
        <f aca="false">VLOOKUP(A379,BD_ORDENES!A:BE,25,FALSE())</f>
        <v>TUNJA</v>
      </c>
      <c r="S379" s="68" t="str">
        <f aca="false">VLOOKUP(A379,BD_ORDENES!A:BE,22,FALSE())</f>
        <v>INVENTARIO HOGAR VENECIA</v>
      </c>
      <c r="T379" s="65" t="n">
        <f aca="false">VLOOKUP(A379,BD_ORDENES!A:BE,55,FALSE())</f>
        <v>0</v>
      </c>
      <c r="U379" s="68" t="str">
        <f aca="false">VLOOKUP(A379,BD_ORDENES!A:BE,57,FALSE())</f>
        <v>9 INVENTARIO</v>
      </c>
      <c r="V379" s="70"/>
      <c r="W379" s="71"/>
    </row>
    <row r="380" s="72" customFormat="true" ht="98.25" hidden="false" customHeight="true" outlineLevel="0" collapsed="false">
      <c r="A380" s="62" t="n">
        <f aca="false">A379+1</f>
        <v>373</v>
      </c>
      <c r="B380" s="63" t="str">
        <f aca="false">VLOOKUP(A380,BD_ORDENES!A:BG,12,FALSE())</f>
        <v>__export__.product_product_207968_048862ea</v>
      </c>
      <c r="C380" s="64" t="n">
        <v>373</v>
      </c>
      <c r="D380" s="65" t="str">
        <f aca="false">VLOOKUP(A380,BD_ORDENES!A:BE,10,0)</f>
        <v>INVENTARIO HOGAR VENECIA</v>
      </c>
      <c r="E380" s="66" t="str">
        <f aca="false">VLOOKUP(A380,BD_ORDENES!A:BG,4,FALSE())</f>
        <v>HVM26093</v>
      </c>
      <c r="F380" s="66" t="str">
        <f aca="false">VLOOKUP(A380,BD_ORDENES!A:BE,56,FALSE())</f>
        <v>S267348</v>
      </c>
      <c r="G380" s="67" t="str">
        <f aca="false">VLOOKUP(A380,BD_ORDENES!A:BE,13,FALSE())</f>
        <v>SOFA MUNICH DENVER GRIS (MATIZ NATURAL)</v>
      </c>
      <c r="H380" s="68" t="str">
        <f aca="false">VLOOKUP(A380,BD_ORDENES!A:BE,17,FALSE())</f>
        <v>SOFA</v>
      </c>
      <c r="I380" s="68" t="str">
        <f aca="false">VLOOKUP(A380,BD_ORDENES!A:BE,18,FALSE())</f>
        <v>MUNICH</v>
      </c>
      <c r="J380" s="68" t="str">
        <f aca="false">VLOOKUP(A380,BD_ORDENES!A:BE,19,FALSE())</f>
        <v>DENVER</v>
      </c>
      <c r="K380" s="68" t="str">
        <f aca="false">VLOOKUP(A380,BD_ORDENES!A:BE,20,FALSE())</f>
        <v>GRIS</v>
      </c>
      <c r="L380" s="68" t="str">
        <f aca="false">VLOOKUP(A380,BD_ORDENES!A:BE,21,FALSE())</f>
        <v>MATIZ-NATURAL</v>
      </c>
      <c r="M380" s="69" t="n">
        <f aca="false">VLOOKUP(A380,BD_ORDENES!A:BE,14,FALSE())</f>
        <v>1</v>
      </c>
      <c r="N380" s="68" t="n">
        <f aca="false">VLOOKUP(A380,BD_ORDENES!A:BE,15,FALSE())</f>
        <v>0</v>
      </c>
      <c r="O380" s="68" t="str">
        <f aca="false">VLOOKUP(A380,BD_ORDENES!A:BE,33,FALSE())</f>
        <v>TRANSPORTADORA</v>
      </c>
      <c r="P380" s="68" t="n">
        <f aca="false">VLOOKUP(A380,BD_ORDENES!A:BE,23,FALSE())</f>
        <v>0</v>
      </c>
      <c r="Q380" s="68" t="str">
        <f aca="false">VLOOKUP(A380,BD_ORDENES!A:BE,52,FALSE())</f>
        <v>Obtener Bajo Pedido (MTO)</v>
      </c>
      <c r="R380" s="68" t="str">
        <f aca="false">VLOOKUP(A380,BD_ORDENES!A:BE,25,FALSE())</f>
        <v>TUNJA</v>
      </c>
      <c r="S380" s="68" t="str">
        <f aca="false">VLOOKUP(A380,BD_ORDENES!A:BE,22,FALSE())</f>
        <v>INVENTARIO HOGAR VENECIA</v>
      </c>
      <c r="T380" s="65" t="n">
        <f aca="false">VLOOKUP(A380,BD_ORDENES!A:BE,55,FALSE())</f>
        <v>0</v>
      </c>
      <c r="U380" s="68" t="str">
        <f aca="false">VLOOKUP(A380,BD_ORDENES!A:BE,57,FALSE())</f>
        <v>9 INVENTARIO</v>
      </c>
      <c r="V380" s="70"/>
      <c r="W380" s="71"/>
    </row>
    <row r="381" s="72" customFormat="true" ht="98.25" hidden="false" customHeight="true" outlineLevel="0" collapsed="false">
      <c r="A381" s="62" t="n">
        <f aca="false">A380+1</f>
        <v>374</v>
      </c>
      <c r="B381" s="63" t="str">
        <f aca="false">VLOOKUP(A381,BD_ORDENES!A:BG,12,FALSE())</f>
        <v>__export__.product_product_207968_048862ea</v>
      </c>
      <c r="C381" s="64" t="n">
        <v>374</v>
      </c>
      <c r="D381" s="65" t="str">
        <f aca="false">VLOOKUP(A381,BD_ORDENES!A:BE,10,0)</f>
        <v>INVENTARIO HOGAR VENECIA</v>
      </c>
      <c r="E381" s="66" t="str">
        <f aca="false">VLOOKUP(A381,BD_ORDENES!A:BG,4,FALSE())</f>
        <v>HVM26092</v>
      </c>
      <c r="F381" s="66" t="str">
        <f aca="false">VLOOKUP(A381,BD_ORDENES!A:BE,56,FALSE())</f>
        <v>S267347</v>
      </c>
      <c r="G381" s="67" t="str">
        <f aca="false">VLOOKUP(A381,BD_ORDENES!A:BE,13,FALSE())</f>
        <v>SOFA MUNICH DENVER GRIS (MATIZ NATURAL)</v>
      </c>
      <c r="H381" s="68" t="str">
        <f aca="false">VLOOKUP(A381,BD_ORDENES!A:BE,17,FALSE())</f>
        <v>SOFA</v>
      </c>
      <c r="I381" s="68" t="str">
        <f aca="false">VLOOKUP(A381,BD_ORDENES!A:BE,18,FALSE())</f>
        <v>MUNICH</v>
      </c>
      <c r="J381" s="68" t="str">
        <f aca="false">VLOOKUP(A381,BD_ORDENES!A:BE,19,FALSE())</f>
        <v>DENVER</v>
      </c>
      <c r="K381" s="68" t="str">
        <f aca="false">VLOOKUP(A381,BD_ORDENES!A:BE,20,FALSE())</f>
        <v>GRIS</v>
      </c>
      <c r="L381" s="68" t="str">
        <f aca="false">VLOOKUP(A381,BD_ORDENES!A:BE,21,FALSE())</f>
        <v>MATIZ-NATURAL</v>
      </c>
      <c r="M381" s="69" t="n">
        <f aca="false">VLOOKUP(A381,BD_ORDENES!A:BE,14,FALSE())</f>
        <v>1</v>
      </c>
      <c r="N381" s="68" t="n">
        <f aca="false">VLOOKUP(A381,BD_ORDENES!A:BE,15,FALSE())</f>
        <v>0</v>
      </c>
      <c r="O381" s="68" t="str">
        <f aca="false">VLOOKUP(A381,BD_ORDENES!A:BE,33,FALSE())</f>
        <v>TRANSPORTADORA</v>
      </c>
      <c r="P381" s="68" t="n">
        <f aca="false">VLOOKUP(A381,BD_ORDENES!A:BE,23,FALSE())</f>
        <v>0</v>
      </c>
      <c r="Q381" s="68" t="str">
        <f aca="false">VLOOKUP(A381,BD_ORDENES!A:BE,52,FALSE())</f>
        <v>Obtener Bajo Pedido (MTO)</v>
      </c>
      <c r="R381" s="68" t="str">
        <f aca="false">VLOOKUP(A381,BD_ORDENES!A:BE,25,FALSE())</f>
        <v>TUNJA</v>
      </c>
      <c r="S381" s="68" t="str">
        <f aca="false">VLOOKUP(A381,BD_ORDENES!A:BE,22,FALSE())</f>
        <v>INVENTARIO HOGAR VENECIA</v>
      </c>
      <c r="T381" s="65" t="n">
        <f aca="false">VLOOKUP(A381,BD_ORDENES!A:BE,55,FALSE())</f>
        <v>0</v>
      </c>
      <c r="U381" s="68" t="str">
        <f aca="false">VLOOKUP(A381,BD_ORDENES!A:BE,57,FALSE())</f>
        <v>9 INVENTARIO</v>
      </c>
      <c r="V381" s="70"/>
      <c r="W381" s="71"/>
    </row>
    <row r="382" s="72" customFormat="true" ht="98.25" hidden="false" customHeight="true" outlineLevel="0" collapsed="false">
      <c r="A382" s="62" t="n">
        <f aca="false">A381+1</f>
        <v>375</v>
      </c>
      <c r="B382" s="63" t="str">
        <f aca="false">VLOOKUP(A382,BD_ORDENES!A:BG,12,FALSE())</f>
        <v>__export__.product_product_191212_004d105d</v>
      </c>
      <c r="C382" s="64" t="n">
        <v>375</v>
      </c>
      <c r="D382" s="65" t="str">
        <f aca="false">VLOOKUP(A382,BD_ORDENES!A:BE,10,0)</f>
        <v>INVENTARIO HOGAR VENECIA</v>
      </c>
      <c r="E382" s="66" t="str">
        <f aca="false">VLOOKUP(A382,BD_ORDENES!A:BG,4,FALSE())</f>
        <v>HVM26057</v>
      </c>
      <c r="F382" s="66" t="str">
        <f aca="false">VLOOKUP(A382,BD_ORDENES!A:BE,56,FALSE())</f>
        <v>S267312</v>
      </c>
      <c r="G382" s="67" t="str">
        <f aca="false">VLOOKUP(A382,BD_ORDENES!A:BE,13,FALSE())</f>
        <v>SOFA TOULOUSE DUSTER GRIS (MATIZ NATURAL)</v>
      </c>
      <c r="H382" s="68" t="str">
        <f aca="false">VLOOKUP(A382,BD_ORDENES!A:BE,17,FALSE())</f>
        <v>SOFA</v>
      </c>
      <c r="I382" s="68" t="str">
        <f aca="false">VLOOKUP(A382,BD_ORDENES!A:BE,18,FALSE())</f>
        <v>TOULOUSE</v>
      </c>
      <c r="J382" s="68" t="str">
        <f aca="false">VLOOKUP(A382,BD_ORDENES!A:BE,19,FALSE())</f>
        <v>DUSTER</v>
      </c>
      <c r="K382" s="68" t="str">
        <f aca="false">VLOOKUP(A382,BD_ORDENES!A:BE,20,FALSE())</f>
        <v>GRIS</v>
      </c>
      <c r="L382" s="68" t="str">
        <f aca="false">VLOOKUP(A382,BD_ORDENES!A:BE,21,FALSE())</f>
        <v>MATIZ-NATURAL</v>
      </c>
      <c r="M382" s="69" t="n">
        <f aca="false">VLOOKUP(A382,BD_ORDENES!A:BE,14,FALSE())</f>
        <v>1</v>
      </c>
      <c r="N382" s="68" t="n">
        <f aca="false">VLOOKUP(A382,BD_ORDENES!A:BE,15,FALSE())</f>
        <v>0</v>
      </c>
      <c r="O382" s="68" t="str">
        <f aca="false">VLOOKUP(A382,BD_ORDENES!A:BE,33,FALSE())</f>
        <v>TRANSPORTADORA</v>
      </c>
      <c r="P382" s="68" t="n">
        <f aca="false">VLOOKUP(A382,BD_ORDENES!A:BE,23,FALSE())</f>
        <v>0</v>
      </c>
      <c r="Q382" s="68" t="str">
        <f aca="false">VLOOKUP(A382,BD_ORDENES!A:BE,52,FALSE())</f>
        <v>Obtener Bajo Pedido (MTO)</v>
      </c>
      <c r="R382" s="68" t="str">
        <f aca="false">VLOOKUP(A382,BD_ORDENES!A:BE,25,FALSE())</f>
        <v>TUNJA</v>
      </c>
      <c r="S382" s="68" t="str">
        <f aca="false">VLOOKUP(A382,BD_ORDENES!A:BE,22,FALSE())</f>
        <v>INVENTARIO HOGAR VENECIA</v>
      </c>
      <c r="T382" s="65" t="n">
        <f aca="false">VLOOKUP(A382,BD_ORDENES!A:BE,55,FALSE())</f>
        <v>0</v>
      </c>
      <c r="U382" s="68" t="str">
        <f aca="false">VLOOKUP(A382,BD_ORDENES!A:BE,57,FALSE())</f>
        <v>9 INVENTARIO</v>
      </c>
      <c r="V382" s="70"/>
      <c r="W382" s="71"/>
    </row>
    <row r="383" s="72" customFormat="true" ht="98.25" hidden="false" customHeight="true" outlineLevel="0" collapsed="false">
      <c r="A383" s="62" t="n">
        <f aca="false">A382+1</f>
        <v>376</v>
      </c>
      <c r="B383" s="63" t="str">
        <f aca="false">VLOOKUP(A383,BD_ORDENES!A:BG,12,FALSE())</f>
        <v>__export__.product_product_189817_f3512aaa</v>
      </c>
      <c r="C383" s="64" t="n">
        <v>376</v>
      </c>
      <c r="D383" s="65" t="str">
        <f aca="false">VLOOKUP(A383,BD_ORDENES!A:BE,10,0)</f>
        <v>INVENTARIO HOGAR VENECIA</v>
      </c>
      <c r="E383" s="66" t="str">
        <f aca="false">VLOOKUP(A383,BD_ORDENES!A:BG,4,FALSE())</f>
        <v>HVM26057</v>
      </c>
      <c r="F383" s="66" t="str">
        <f aca="false">VLOOKUP(A383,BD_ORDENES!A:BE,56,FALSE())</f>
        <v>S267312</v>
      </c>
      <c r="G383" s="67" t="str">
        <f aca="false">VLOOKUP(A383,BD_ORDENES!A:BE,13,FALSE())</f>
        <v>POLTRONA TOULOUSE DUSTER GRIS (MATIZ NATURAL)</v>
      </c>
      <c r="H383" s="68" t="str">
        <f aca="false">VLOOKUP(A383,BD_ORDENES!A:BE,17,FALSE())</f>
        <v>POLTRONA</v>
      </c>
      <c r="I383" s="68" t="str">
        <f aca="false">VLOOKUP(A383,BD_ORDENES!A:BE,18,FALSE())</f>
        <v>TOULOUSE</v>
      </c>
      <c r="J383" s="68" t="str">
        <f aca="false">VLOOKUP(A383,BD_ORDENES!A:BE,19,FALSE())</f>
        <v>DUSTER</v>
      </c>
      <c r="K383" s="68" t="str">
        <f aca="false">VLOOKUP(A383,BD_ORDENES!A:BE,20,FALSE())</f>
        <v>GRIS</v>
      </c>
      <c r="L383" s="68" t="str">
        <f aca="false">VLOOKUP(A383,BD_ORDENES!A:BE,21,FALSE())</f>
        <v>MATIZ-NATURAL</v>
      </c>
      <c r="M383" s="69" t="n">
        <f aca="false">VLOOKUP(A383,BD_ORDENES!A:BE,14,FALSE())</f>
        <v>2</v>
      </c>
      <c r="N383" s="68" t="n">
        <f aca="false">VLOOKUP(A383,BD_ORDENES!A:BE,15,FALSE())</f>
        <v>0</v>
      </c>
      <c r="O383" s="68" t="str">
        <f aca="false">VLOOKUP(A383,BD_ORDENES!A:BE,33,FALSE())</f>
        <v>TRANSPORTADORA</v>
      </c>
      <c r="P383" s="68" t="n">
        <f aca="false">VLOOKUP(A383,BD_ORDENES!A:BE,23,FALSE())</f>
        <v>0</v>
      </c>
      <c r="Q383" s="68" t="str">
        <f aca="false">VLOOKUP(A383,BD_ORDENES!A:BE,52,FALSE())</f>
        <v>Obtener Bajo Pedido (MTO)</v>
      </c>
      <c r="R383" s="68" t="str">
        <f aca="false">VLOOKUP(A383,BD_ORDENES!A:BE,25,FALSE())</f>
        <v>TUNJA</v>
      </c>
      <c r="S383" s="68" t="str">
        <f aca="false">VLOOKUP(A383,BD_ORDENES!A:BE,22,FALSE())</f>
        <v>INVENTARIO HOGAR VENECIA</v>
      </c>
      <c r="T383" s="65" t="n">
        <f aca="false">VLOOKUP(A383,BD_ORDENES!A:BE,55,FALSE())</f>
        <v>0</v>
      </c>
      <c r="U383" s="68" t="str">
        <f aca="false">VLOOKUP(A383,BD_ORDENES!A:BE,57,FALSE())</f>
        <v>9 INVENTARIO</v>
      </c>
      <c r="V383" s="70"/>
      <c r="W383" s="71"/>
    </row>
    <row r="384" s="72" customFormat="true" ht="98.25" hidden="false" customHeight="true" outlineLevel="0" collapsed="false">
      <c r="A384" s="62" t="n">
        <f aca="false">A383+1</f>
        <v>377</v>
      </c>
      <c r="B384" s="63" t="str">
        <f aca="false">VLOOKUP(A384,BD_ORDENES!A:BG,12,FALSE())</f>
        <v>__export__.product_product_191422_64bcc570</v>
      </c>
      <c r="C384" s="64" t="n">
        <v>377</v>
      </c>
      <c r="D384" s="65" t="str">
        <f aca="false">VLOOKUP(A384,BD_ORDENES!A:BE,10,0)</f>
        <v>INVENTARIO HOGAR VENECIA</v>
      </c>
      <c r="E384" s="66" t="str">
        <f aca="false">VLOOKUP(A384,BD_ORDENES!A:BG,4,FALSE())</f>
        <v>HVM26057</v>
      </c>
      <c r="F384" s="66" t="str">
        <f aca="false">VLOOKUP(A384,BD_ORDENES!A:BE,56,FALSE())</f>
        <v>S267312</v>
      </c>
      <c r="G384" s="67" t="str">
        <f aca="false">VLOOKUP(A384,BD_ORDENES!A:BE,13,FALSE())</f>
        <v>MESA DE CENTRO TOULOUSE MATIZ NATURAL (NEGRO)</v>
      </c>
      <c r="H384" s="68" t="str">
        <f aca="false">VLOOKUP(A384,BD_ORDENES!A:BE,17,FALSE())</f>
        <v>MESA-CENTRO</v>
      </c>
      <c r="I384" s="68" t="str">
        <f aca="false">VLOOKUP(A384,BD_ORDENES!A:BE,18,FALSE())</f>
        <v>TOULOUSE</v>
      </c>
      <c r="J384" s="68" t="n">
        <f aca="false">VLOOKUP(A384,BD_ORDENES!A:BE,19,FALSE())</f>
        <v>0</v>
      </c>
      <c r="K384" s="68" t="str">
        <f aca="false">VLOOKUP(A384,BD_ORDENES!A:BE,20,FALSE())</f>
        <v>MATIZ-NATURAL</v>
      </c>
      <c r="L384" s="68" t="str">
        <f aca="false">VLOOKUP(A384,BD_ORDENES!A:BE,21,FALSE())</f>
        <v>METALICO-NEGRO</v>
      </c>
      <c r="M384" s="69" t="n">
        <f aca="false">VLOOKUP(A384,BD_ORDENES!A:BE,14,FALSE())</f>
        <v>1</v>
      </c>
      <c r="N384" s="68" t="n">
        <f aca="false">VLOOKUP(A384,BD_ORDENES!A:BE,15,FALSE())</f>
        <v>0</v>
      </c>
      <c r="O384" s="68" t="str">
        <f aca="false">VLOOKUP(A384,BD_ORDENES!A:BE,33,FALSE())</f>
        <v>TRANSPORTADORA</v>
      </c>
      <c r="P384" s="68" t="n">
        <f aca="false">VLOOKUP(A384,BD_ORDENES!A:BE,23,FALSE())</f>
        <v>0</v>
      </c>
      <c r="Q384" s="68" t="str">
        <f aca="false">VLOOKUP(A384,BD_ORDENES!A:BE,52,FALSE())</f>
        <v>Obtener Bajo Pedido (MTO)</v>
      </c>
      <c r="R384" s="68" t="str">
        <f aca="false">VLOOKUP(A384,BD_ORDENES!A:BE,25,FALSE())</f>
        <v>TUNJA</v>
      </c>
      <c r="S384" s="68" t="str">
        <f aca="false">VLOOKUP(A384,BD_ORDENES!A:BE,22,FALSE())</f>
        <v>INVENTARIO HOGAR VENECIA</v>
      </c>
      <c r="T384" s="65" t="n">
        <f aca="false">VLOOKUP(A384,BD_ORDENES!A:BE,55,FALSE())</f>
        <v>0</v>
      </c>
      <c r="U384" s="68" t="str">
        <f aca="false">VLOOKUP(A384,BD_ORDENES!A:BE,57,FALSE())</f>
        <v>9 INVENTARIO</v>
      </c>
      <c r="V384" s="70"/>
      <c r="W384" s="71"/>
    </row>
    <row r="385" s="72" customFormat="true" ht="98.25" hidden="false" customHeight="true" outlineLevel="0" collapsed="false">
      <c r="A385" s="62" t="n">
        <f aca="false">A384+1</f>
        <v>378</v>
      </c>
      <c r="B385" s="63" t="str">
        <f aca="false">VLOOKUP(A385,BD_ORDENES!A:BG,12,FALSE())</f>
        <v>__export__.product_product_191212_004d105d</v>
      </c>
      <c r="C385" s="64" t="n">
        <v>378</v>
      </c>
      <c r="D385" s="65" t="str">
        <f aca="false">VLOOKUP(A385,BD_ORDENES!A:BE,10,0)</f>
        <v>INVENTARIO HOGAR VENECIA</v>
      </c>
      <c r="E385" s="66" t="str">
        <f aca="false">VLOOKUP(A385,BD_ORDENES!A:BG,4,FALSE())</f>
        <v>HVM26055</v>
      </c>
      <c r="F385" s="66" t="str">
        <f aca="false">VLOOKUP(A385,BD_ORDENES!A:BE,56,FALSE())</f>
        <v>S267310</v>
      </c>
      <c r="G385" s="67" t="str">
        <f aca="false">VLOOKUP(A385,BD_ORDENES!A:BE,13,FALSE())</f>
        <v>SOFA TOULOUSE DUSTER GRIS (MATIZ NATURAL)</v>
      </c>
      <c r="H385" s="68" t="str">
        <f aca="false">VLOOKUP(A385,BD_ORDENES!A:BE,17,FALSE())</f>
        <v>SOFA</v>
      </c>
      <c r="I385" s="68" t="str">
        <f aca="false">VLOOKUP(A385,BD_ORDENES!A:BE,18,FALSE())</f>
        <v>TOULOUSE</v>
      </c>
      <c r="J385" s="68" t="str">
        <f aca="false">VLOOKUP(A385,BD_ORDENES!A:BE,19,FALSE())</f>
        <v>DUSTER</v>
      </c>
      <c r="K385" s="68" t="str">
        <f aca="false">VLOOKUP(A385,BD_ORDENES!A:BE,20,FALSE())</f>
        <v>GRIS</v>
      </c>
      <c r="L385" s="68" t="str">
        <f aca="false">VLOOKUP(A385,BD_ORDENES!A:BE,21,FALSE())</f>
        <v>MATIZ-NATURAL</v>
      </c>
      <c r="M385" s="69" t="n">
        <f aca="false">VLOOKUP(A385,BD_ORDENES!A:BE,14,FALSE())</f>
        <v>1</v>
      </c>
      <c r="N385" s="68" t="n">
        <f aca="false">VLOOKUP(A385,BD_ORDENES!A:BE,15,FALSE())</f>
        <v>0</v>
      </c>
      <c r="O385" s="68" t="str">
        <f aca="false">VLOOKUP(A385,BD_ORDENES!A:BE,33,FALSE())</f>
        <v>TRANSPORTADORA</v>
      </c>
      <c r="P385" s="68" t="n">
        <f aca="false">VLOOKUP(A385,BD_ORDENES!A:BE,23,FALSE())</f>
        <v>0</v>
      </c>
      <c r="Q385" s="68" t="str">
        <f aca="false">VLOOKUP(A385,BD_ORDENES!A:BE,52,FALSE())</f>
        <v>Obtener Bajo Pedido (MTO)</v>
      </c>
      <c r="R385" s="68" t="str">
        <f aca="false">VLOOKUP(A385,BD_ORDENES!A:BE,25,FALSE())</f>
        <v>TUNJA</v>
      </c>
      <c r="S385" s="68" t="str">
        <f aca="false">VLOOKUP(A385,BD_ORDENES!A:BE,22,FALSE())</f>
        <v>INVENTARIO HOGAR VENECIA</v>
      </c>
      <c r="T385" s="65" t="n">
        <f aca="false">VLOOKUP(A385,BD_ORDENES!A:BE,55,FALSE())</f>
        <v>0</v>
      </c>
      <c r="U385" s="68" t="str">
        <f aca="false">VLOOKUP(A385,BD_ORDENES!A:BE,57,FALSE())</f>
        <v>9 INVENTARIO</v>
      </c>
      <c r="V385" s="70"/>
      <c r="W385" s="71"/>
    </row>
    <row r="386" s="72" customFormat="true" ht="98.25" hidden="false" customHeight="true" outlineLevel="0" collapsed="false">
      <c r="A386" s="62" t="n">
        <f aca="false">A385+1</f>
        <v>379</v>
      </c>
      <c r="B386" s="63" t="str">
        <f aca="false">VLOOKUP(A386,BD_ORDENES!A:BG,12,FALSE())</f>
        <v>__export__.product_product_189817_f3512aaa</v>
      </c>
      <c r="C386" s="64" t="n">
        <v>379</v>
      </c>
      <c r="D386" s="65" t="str">
        <f aca="false">VLOOKUP(A386,BD_ORDENES!A:BE,10,0)</f>
        <v>INVENTARIO HOGAR VENECIA</v>
      </c>
      <c r="E386" s="66" t="str">
        <f aca="false">VLOOKUP(A386,BD_ORDENES!A:BG,4,FALSE())</f>
        <v>HVM26055</v>
      </c>
      <c r="F386" s="66" t="str">
        <f aca="false">VLOOKUP(A386,BD_ORDENES!A:BE,56,FALSE())</f>
        <v>S267310</v>
      </c>
      <c r="G386" s="67" t="str">
        <f aca="false">VLOOKUP(A386,BD_ORDENES!A:BE,13,FALSE())</f>
        <v>POLTRONA TOULOUSE DUSTER GRIS (MATIZ NATURAL)</v>
      </c>
      <c r="H386" s="68" t="str">
        <f aca="false">VLOOKUP(A386,BD_ORDENES!A:BE,17,FALSE())</f>
        <v>POLTRONA</v>
      </c>
      <c r="I386" s="68" t="str">
        <f aca="false">VLOOKUP(A386,BD_ORDENES!A:BE,18,FALSE())</f>
        <v>TOULOUSE</v>
      </c>
      <c r="J386" s="68" t="str">
        <f aca="false">VLOOKUP(A386,BD_ORDENES!A:BE,19,FALSE())</f>
        <v>DUSTER</v>
      </c>
      <c r="K386" s="68" t="str">
        <f aca="false">VLOOKUP(A386,BD_ORDENES!A:BE,20,FALSE())</f>
        <v>GRIS</v>
      </c>
      <c r="L386" s="68" t="str">
        <f aca="false">VLOOKUP(A386,BD_ORDENES!A:BE,21,FALSE())</f>
        <v>MATIZ-NATURAL</v>
      </c>
      <c r="M386" s="69" t="n">
        <f aca="false">VLOOKUP(A386,BD_ORDENES!A:BE,14,FALSE())</f>
        <v>2</v>
      </c>
      <c r="N386" s="68" t="n">
        <f aca="false">VLOOKUP(A386,BD_ORDENES!A:BE,15,FALSE())</f>
        <v>0</v>
      </c>
      <c r="O386" s="68" t="str">
        <f aca="false">VLOOKUP(A386,BD_ORDENES!A:BE,33,FALSE())</f>
        <v>TRANSPORTADORA</v>
      </c>
      <c r="P386" s="68" t="n">
        <f aca="false">VLOOKUP(A386,BD_ORDENES!A:BE,23,FALSE())</f>
        <v>0</v>
      </c>
      <c r="Q386" s="68" t="str">
        <f aca="false">VLOOKUP(A386,BD_ORDENES!A:BE,52,FALSE())</f>
        <v>Obtener Bajo Pedido (MTO)</v>
      </c>
      <c r="R386" s="68" t="str">
        <f aca="false">VLOOKUP(A386,BD_ORDENES!A:BE,25,FALSE())</f>
        <v>TUNJA</v>
      </c>
      <c r="S386" s="68" t="str">
        <f aca="false">VLOOKUP(A386,BD_ORDENES!A:BE,22,FALSE())</f>
        <v>INVENTARIO HOGAR VENECIA</v>
      </c>
      <c r="T386" s="65" t="n">
        <f aca="false">VLOOKUP(A386,BD_ORDENES!A:BE,55,FALSE())</f>
        <v>0</v>
      </c>
      <c r="U386" s="68" t="str">
        <f aca="false">VLOOKUP(A386,BD_ORDENES!A:BE,57,FALSE())</f>
        <v>9 INVENTARIO</v>
      </c>
      <c r="V386" s="70"/>
      <c r="W386" s="71"/>
    </row>
    <row r="387" s="72" customFormat="true" ht="98.25" hidden="false" customHeight="true" outlineLevel="0" collapsed="false">
      <c r="A387" s="62" t="n">
        <f aca="false">A386+1</f>
        <v>380</v>
      </c>
      <c r="B387" s="63" t="str">
        <f aca="false">VLOOKUP(A387,BD_ORDENES!A:BG,12,FALSE())</f>
        <v>__export__.product_product_191422_64bcc570</v>
      </c>
      <c r="C387" s="64" t="n">
        <v>380</v>
      </c>
      <c r="D387" s="65" t="str">
        <f aca="false">VLOOKUP(A387,BD_ORDENES!A:BE,10,0)</f>
        <v>INVENTARIO HOGAR VENECIA</v>
      </c>
      <c r="E387" s="66" t="str">
        <f aca="false">VLOOKUP(A387,BD_ORDENES!A:BG,4,FALSE())</f>
        <v>HVM26055</v>
      </c>
      <c r="F387" s="66" t="str">
        <f aca="false">VLOOKUP(A387,BD_ORDENES!A:BE,56,FALSE())</f>
        <v>S267310</v>
      </c>
      <c r="G387" s="67" t="str">
        <f aca="false">VLOOKUP(A387,BD_ORDENES!A:BE,13,FALSE())</f>
        <v>MESA DE CENTRO TOULOUSE MATIZ NATURAL (NEGRO)</v>
      </c>
      <c r="H387" s="68" t="str">
        <f aca="false">VLOOKUP(A387,BD_ORDENES!A:BE,17,FALSE())</f>
        <v>MESA-CENTRO</v>
      </c>
      <c r="I387" s="68" t="str">
        <f aca="false">VLOOKUP(A387,BD_ORDENES!A:BE,18,FALSE())</f>
        <v>TOULOUSE</v>
      </c>
      <c r="J387" s="68" t="n">
        <f aca="false">VLOOKUP(A387,BD_ORDENES!A:BE,19,FALSE())</f>
        <v>0</v>
      </c>
      <c r="K387" s="68" t="str">
        <f aca="false">VLOOKUP(A387,BD_ORDENES!A:BE,20,FALSE())</f>
        <v>MATIZ-NATURAL</v>
      </c>
      <c r="L387" s="68" t="str">
        <f aca="false">VLOOKUP(A387,BD_ORDENES!A:BE,21,FALSE())</f>
        <v>METALICO-NEGRO</v>
      </c>
      <c r="M387" s="69" t="n">
        <f aca="false">VLOOKUP(A387,BD_ORDENES!A:BE,14,FALSE())</f>
        <v>1</v>
      </c>
      <c r="N387" s="68" t="n">
        <f aca="false">VLOOKUP(A387,BD_ORDENES!A:BE,15,FALSE())</f>
        <v>0</v>
      </c>
      <c r="O387" s="68" t="str">
        <f aca="false">VLOOKUP(A387,BD_ORDENES!A:BE,33,FALSE())</f>
        <v>TRANSPORTADORA</v>
      </c>
      <c r="P387" s="68" t="n">
        <f aca="false">VLOOKUP(A387,BD_ORDENES!A:BE,23,FALSE())</f>
        <v>0</v>
      </c>
      <c r="Q387" s="68" t="str">
        <f aca="false">VLOOKUP(A387,BD_ORDENES!A:BE,52,FALSE())</f>
        <v>Obtener Bajo Pedido (MTO)</v>
      </c>
      <c r="R387" s="68" t="str">
        <f aca="false">VLOOKUP(A387,BD_ORDENES!A:BE,25,FALSE())</f>
        <v>TUNJA</v>
      </c>
      <c r="S387" s="68" t="str">
        <f aca="false">VLOOKUP(A387,BD_ORDENES!A:BE,22,FALSE())</f>
        <v>INVENTARIO HOGAR VENECIA</v>
      </c>
      <c r="T387" s="65" t="n">
        <f aca="false">VLOOKUP(A387,BD_ORDENES!A:BE,55,FALSE())</f>
        <v>0</v>
      </c>
      <c r="U387" s="68" t="str">
        <f aca="false">VLOOKUP(A387,BD_ORDENES!A:BE,57,FALSE())</f>
        <v>9 INVENTARIO</v>
      </c>
      <c r="V387" s="70"/>
      <c r="W387" s="71"/>
    </row>
    <row r="388" s="72" customFormat="true" ht="98.25" hidden="false" customHeight="true" outlineLevel="0" collapsed="false">
      <c r="A388" s="62" t="n">
        <f aca="false">A387+1</f>
        <v>381</v>
      </c>
      <c r="B388" s="63" t="str">
        <f aca="false">VLOOKUP(A388,BD_ORDENES!A:BG,12,FALSE())</f>
        <v>__export__.product_product_191212_004d105d</v>
      </c>
      <c r="C388" s="64" t="n">
        <v>381</v>
      </c>
      <c r="D388" s="65" t="str">
        <f aca="false">VLOOKUP(A388,BD_ORDENES!A:BE,10,0)</f>
        <v>INVENTARIO HOGAR VENECIA</v>
      </c>
      <c r="E388" s="66" t="str">
        <f aca="false">VLOOKUP(A388,BD_ORDENES!A:BG,4,FALSE())</f>
        <v>HVM26053</v>
      </c>
      <c r="F388" s="66" t="str">
        <f aca="false">VLOOKUP(A388,BD_ORDENES!A:BE,56,FALSE())</f>
        <v>S267308</v>
      </c>
      <c r="G388" s="67" t="str">
        <f aca="false">VLOOKUP(A388,BD_ORDENES!A:BE,13,FALSE())</f>
        <v>SOFA TOULOUSE DUSTER GRIS (MATIZ NATURAL)</v>
      </c>
      <c r="H388" s="68" t="str">
        <f aca="false">VLOOKUP(A388,BD_ORDENES!A:BE,17,FALSE())</f>
        <v>SOFA</v>
      </c>
      <c r="I388" s="68" t="str">
        <f aca="false">VLOOKUP(A388,BD_ORDENES!A:BE,18,FALSE())</f>
        <v>TOULOUSE</v>
      </c>
      <c r="J388" s="68" t="str">
        <f aca="false">VLOOKUP(A388,BD_ORDENES!A:BE,19,FALSE())</f>
        <v>DUSTER</v>
      </c>
      <c r="K388" s="68" t="str">
        <f aca="false">VLOOKUP(A388,BD_ORDENES!A:BE,20,FALSE())</f>
        <v>GRIS</v>
      </c>
      <c r="L388" s="68" t="str">
        <f aca="false">VLOOKUP(A388,BD_ORDENES!A:BE,21,FALSE())</f>
        <v>MATIZ-NATURAL</v>
      </c>
      <c r="M388" s="69" t="n">
        <f aca="false">VLOOKUP(A388,BD_ORDENES!A:BE,14,FALSE())</f>
        <v>1</v>
      </c>
      <c r="N388" s="68" t="n">
        <f aca="false">VLOOKUP(A388,BD_ORDENES!A:BE,15,FALSE())</f>
        <v>0</v>
      </c>
      <c r="O388" s="68" t="str">
        <f aca="false">VLOOKUP(A388,BD_ORDENES!A:BE,33,FALSE())</f>
        <v>TRANSPORTADORA</v>
      </c>
      <c r="P388" s="68" t="n">
        <f aca="false">VLOOKUP(A388,BD_ORDENES!A:BE,23,FALSE())</f>
        <v>0</v>
      </c>
      <c r="Q388" s="68" t="str">
        <f aca="false">VLOOKUP(A388,BD_ORDENES!A:BE,52,FALSE())</f>
        <v>Obtener Bajo Pedido (MTO)</v>
      </c>
      <c r="R388" s="68" t="str">
        <f aca="false">VLOOKUP(A388,BD_ORDENES!A:BE,25,FALSE())</f>
        <v>TUNJA</v>
      </c>
      <c r="S388" s="68" t="str">
        <f aca="false">VLOOKUP(A388,BD_ORDENES!A:BE,22,FALSE())</f>
        <v>INVENTARIO HOGAR VENECIA</v>
      </c>
      <c r="T388" s="65" t="n">
        <f aca="false">VLOOKUP(A388,BD_ORDENES!A:BE,55,FALSE())</f>
        <v>0</v>
      </c>
      <c r="U388" s="68" t="str">
        <f aca="false">VLOOKUP(A388,BD_ORDENES!A:BE,57,FALSE())</f>
        <v>9 INVENTARIO</v>
      </c>
      <c r="V388" s="70"/>
      <c r="W388" s="71"/>
    </row>
    <row r="389" s="72" customFormat="true" ht="98.25" hidden="false" customHeight="true" outlineLevel="0" collapsed="false">
      <c r="A389" s="62" t="n">
        <f aca="false">A388+1</f>
        <v>382</v>
      </c>
      <c r="B389" s="63" t="str">
        <f aca="false">VLOOKUP(A389,BD_ORDENES!A:BG,12,FALSE())</f>
        <v>__export__.product_product_189817_f3512aaa</v>
      </c>
      <c r="C389" s="64" t="n">
        <v>382</v>
      </c>
      <c r="D389" s="65" t="str">
        <f aca="false">VLOOKUP(A389,BD_ORDENES!A:BE,10,0)</f>
        <v>INVENTARIO HOGAR VENECIA</v>
      </c>
      <c r="E389" s="66" t="str">
        <f aca="false">VLOOKUP(A389,BD_ORDENES!A:BG,4,FALSE())</f>
        <v>HVM26053</v>
      </c>
      <c r="F389" s="66" t="str">
        <f aca="false">VLOOKUP(A389,BD_ORDENES!A:BE,56,FALSE())</f>
        <v>S267308</v>
      </c>
      <c r="G389" s="67" t="str">
        <f aca="false">VLOOKUP(A389,BD_ORDENES!A:BE,13,FALSE())</f>
        <v>POLTRONA TOULOUSE DUSTER GRIS (MATIZ NATURAL)</v>
      </c>
      <c r="H389" s="68" t="str">
        <f aca="false">VLOOKUP(A389,BD_ORDENES!A:BE,17,FALSE())</f>
        <v>POLTRONA</v>
      </c>
      <c r="I389" s="68" t="str">
        <f aca="false">VLOOKUP(A389,BD_ORDENES!A:BE,18,FALSE())</f>
        <v>TOULOUSE</v>
      </c>
      <c r="J389" s="68" t="str">
        <f aca="false">VLOOKUP(A389,BD_ORDENES!A:BE,19,FALSE())</f>
        <v>DUSTER</v>
      </c>
      <c r="K389" s="68" t="str">
        <f aca="false">VLOOKUP(A389,BD_ORDENES!A:BE,20,FALSE())</f>
        <v>GRIS</v>
      </c>
      <c r="L389" s="68" t="str">
        <f aca="false">VLOOKUP(A389,BD_ORDENES!A:BE,21,FALSE())</f>
        <v>MATIZ-NATURAL</v>
      </c>
      <c r="M389" s="69" t="n">
        <f aca="false">VLOOKUP(A389,BD_ORDENES!A:BE,14,FALSE())</f>
        <v>2</v>
      </c>
      <c r="N389" s="68" t="n">
        <f aca="false">VLOOKUP(A389,BD_ORDENES!A:BE,15,FALSE())</f>
        <v>0</v>
      </c>
      <c r="O389" s="68" t="str">
        <f aca="false">VLOOKUP(A389,BD_ORDENES!A:BE,33,FALSE())</f>
        <v>TRANSPORTADORA</v>
      </c>
      <c r="P389" s="68" t="n">
        <f aca="false">VLOOKUP(A389,BD_ORDENES!A:BE,23,FALSE())</f>
        <v>0</v>
      </c>
      <c r="Q389" s="68" t="str">
        <f aca="false">VLOOKUP(A389,BD_ORDENES!A:BE,52,FALSE())</f>
        <v>Obtener Bajo Pedido (MTO)</v>
      </c>
      <c r="R389" s="68" t="str">
        <f aca="false">VLOOKUP(A389,BD_ORDENES!A:BE,25,FALSE())</f>
        <v>TUNJA</v>
      </c>
      <c r="S389" s="68" t="str">
        <f aca="false">VLOOKUP(A389,BD_ORDENES!A:BE,22,FALSE())</f>
        <v>INVENTARIO HOGAR VENECIA</v>
      </c>
      <c r="T389" s="65" t="n">
        <f aca="false">VLOOKUP(A389,BD_ORDENES!A:BE,55,FALSE())</f>
        <v>0</v>
      </c>
      <c r="U389" s="68" t="str">
        <f aca="false">VLOOKUP(A389,BD_ORDENES!A:BE,57,FALSE())</f>
        <v>9 INVENTARIO</v>
      </c>
      <c r="V389" s="70"/>
      <c r="W389" s="71"/>
    </row>
    <row r="390" s="72" customFormat="true" ht="98.25" hidden="false" customHeight="true" outlineLevel="0" collapsed="false">
      <c r="A390" s="62" t="n">
        <f aca="false">A389+1</f>
        <v>383</v>
      </c>
      <c r="B390" s="63" t="str">
        <f aca="false">VLOOKUP(A390,BD_ORDENES!A:BG,12,FALSE())</f>
        <v>__export__.product_product_191422_64bcc570</v>
      </c>
      <c r="C390" s="64" t="n">
        <v>383</v>
      </c>
      <c r="D390" s="65" t="str">
        <f aca="false">VLOOKUP(A390,BD_ORDENES!A:BE,10,0)</f>
        <v>INVENTARIO HOGAR VENECIA</v>
      </c>
      <c r="E390" s="66" t="str">
        <f aca="false">VLOOKUP(A390,BD_ORDENES!A:BG,4,FALSE())</f>
        <v>HVM26053</v>
      </c>
      <c r="F390" s="66" t="str">
        <f aca="false">VLOOKUP(A390,BD_ORDENES!A:BE,56,FALSE())</f>
        <v>S267308</v>
      </c>
      <c r="G390" s="67" t="str">
        <f aca="false">VLOOKUP(A390,BD_ORDENES!A:BE,13,FALSE())</f>
        <v>MESA DE CENTRO TOULOUSE MATIZ NATURAL (NEGRO)</v>
      </c>
      <c r="H390" s="68" t="str">
        <f aca="false">VLOOKUP(A390,BD_ORDENES!A:BE,17,FALSE())</f>
        <v>MESA-CENTRO</v>
      </c>
      <c r="I390" s="68" t="str">
        <f aca="false">VLOOKUP(A390,BD_ORDENES!A:BE,18,FALSE())</f>
        <v>TOULOUSE</v>
      </c>
      <c r="J390" s="68" t="n">
        <f aca="false">VLOOKUP(A390,BD_ORDENES!A:BE,19,FALSE())</f>
        <v>0</v>
      </c>
      <c r="K390" s="68" t="str">
        <f aca="false">VLOOKUP(A390,BD_ORDENES!A:BE,20,FALSE())</f>
        <v>MATIZ-NATURAL</v>
      </c>
      <c r="L390" s="68" t="str">
        <f aca="false">VLOOKUP(A390,BD_ORDENES!A:BE,21,FALSE())</f>
        <v>METALICO-NEGRO</v>
      </c>
      <c r="M390" s="69" t="n">
        <f aca="false">VLOOKUP(A390,BD_ORDENES!A:BE,14,FALSE())</f>
        <v>1</v>
      </c>
      <c r="N390" s="68" t="n">
        <f aca="false">VLOOKUP(A390,BD_ORDENES!A:BE,15,FALSE())</f>
        <v>0</v>
      </c>
      <c r="O390" s="68" t="str">
        <f aca="false">VLOOKUP(A390,BD_ORDENES!A:BE,33,FALSE())</f>
        <v>TRANSPORTADORA</v>
      </c>
      <c r="P390" s="68" t="n">
        <f aca="false">VLOOKUP(A390,BD_ORDENES!A:BE,23,FALSE())</f>
        <v>0</v>
      </c>
      <c r="Q390" s="68" t="str">
        <f aca="false">VLOOKUP(A390,BD_ORDENES!A:BE,52,FALSE())</f>
        <v>Obtener Bajo Pedido (MTO)</v>
      </c>
      <c r="R390" s="68" t="str">
        <f aca="false">VLOOKUP(A390,BD_ORDENES!A:BE,25,FALSE())</f>
        <v>TUNJA</v>
      </c>
      <c r="S390" s="68" t="str">
        <f aca="false">VLOOKUP(A390,BD_ORDENES!A:BE,22,FALSE())</f>
        <v>INVENTARIO HOGAR VENECIA</v>
      </c>
      <c r="T390" s="65" t="n">
        <f aca="false">VLOOKUP(A390,BD_ORDENES!A:BE,55,FALSE())</f>
        <v>0</v>
      </c>
      <c r="U390" s="68" t="str">
        <f aca="false">VLOOKUP(A390,BD_ORDENES!A:BE,57,FALSE())</f>
        <v>9 INVENTARIO</v>
      </c>
      <c r="V390" s="70"/>
      <c r="W390" s="71"/>
    </row>
    <row r="391" s="72" customFormat="true" ht="98.25" hidden="false" customHeight="true" outlineLevel="0" collapsed="false">
      <c r="A391" s="62" t="n">
        <f aca="false">A390+1</f>
        <v>384</v>
      </c>
      <c r="B391" s="63" t="str">
        <f aca="false">VLOOKUP(A391,BD_ORDENES!A:BG,12,FALSE())</f>
        <v>__export__.product_product_176906_2076c974</v>
      </c>
      <c r="C391" s="64" t="n">
        <v>384</v>
      </c>
      <c r="D391" s="65" t="str">
        <f aca="false">VLOOKUP(A391,BD_ORDENES!A:BE,10,0)</f>
        <v>INVENTARIO HOGAR VENECIA</v>
      </c>
      <c r="E391" s="66" t="str">
        <f aca="false">VLOOKUP(A391,BD_ORDENES!A:BG,4,FALSE())</f>
        <v>HVM25978</v>
      </c>
      <c r="F391" s="66" t="str">
        <f aca="false">VLOOKUP(A391,BD_ORDENES!A:BE,56,FALSE())</f>
        <v>S267233</v>
      </c>
      <c r="G391" s="67" t="str">
        <f aca="false">VLOOKUP(A391,BD_ORDENES!A:BE,13,FALSE())</f>
        <v>SOFA PORTO DUSTER PLATA (MATIZ NATURAL)</v>
      </c>
      <c r="H391" s="68" t="str">
        <f aca="false">VLOOKUP(A391,BD_ORDENES!A:BE,17,FALSE())</f>
        <v>SOFA</v>
      </c>
      <c r="I391" s="68" t="str">
        <f aca="false">VLOOKUP(A391,BD_ORDENES!A:BE,18,FALSE())</f>
        <v>PORTO</v>
      </c>
      <c r="J391" s="68" t="str">
        <f aca="false">VLOOKUP(A391,BD_ORDENES!A:BE,19,FALSE())</f>
        <v>DUSTER</v>
      </c>
      <c r="K391" s="68" t="str">
        <f aca="false">VLOOKUP(A391,BD_ORDENES!A:BE,20,FALSE())</f>
        <v>PLATA</v>
      </c>
      <c r="L391" s="68" t="str">
        <f aca="false">VLOOKUP(A391,BD_ORDENES!A:BE,21,FALSE())</f>
        <v>MATIZ-NATURAL</v>
      </c>
      <c r="M391" s="69" t="n">
        <f aca="false">VLOOKUP(A391,BD_ORDENES!A:BE,14,FALSE())</f>
        <v>1</v>
      </c>
      <c r="N391" s="68" t="n">
        <f aca="false">VLOOKUP(A391,BD_ORDENES!A:BE,15,FALSE())</f>
        <v>0</v>
      </c>
      <c r="O391" s="68" t="str">
        <f aca="false">VLOOKUP(A391,BD_ORDENES!A:BE,33,FALSE())</f>
        <v>TRANSPORTADORA</v>
      </c>
      <c r="P391" s="68" t="n">
        <f aca="false">VLOOKUP(A391,BD_ORDENES!A:BE,23,FALSE())</f>
        <v>0</v>
      </c>
      <c r="Q391" s="68" t="str">
        <f aca="false">VLOOKUP(A391,BD_ORDENES!A:BE,52,FALSE())</f>
        <v>Obtener Bajo Pedido (MTO)</v>
      </c>
      <c r="R391" s="68" t="str">
        <f aca="false">VLOOKUP(A391,BD_ORDENES!A:BE,25,FALSE())</f>
        <v>TUNJA</v>
      </c>
      <c r="S391" s="68" t="str">
        <f aca="false">VLOOKUP(A391,BD_ORDENES!A:BE,22,FALSE())</f>
        <v>INVENTARIO HOGAR VENECIA</v>
      </c>
      <c r="T391" s="65" t="n">
        <f aca="false">VLOOKUP(A391,BD_ORDENES!A:BE,55,FALSE())</f>
        <v>0</v>
      </c>
      <c r="U391" s="68" t="str">
        <f aca="false">VLOOKUP(A391,BD_ORDENES!A:BE,57,FALSE())</f>
        <v>9 INVENTARIO</v>
      </c>
      <c r="V391" s="70"/>
      <c r="W391" s="71"/>
    </row>
    <row r="392" s="72" customFormat="true" ht="98.25" hidden="false" customHeight="true" outlineLevel="0" collapsed="false">
      <c r="A392" s="62" t="n">
        <f aca="false">A391+1</f>
        <v>385</v>
      </c>
      <c r="B392" s="63" t="str">
        <f aca="false">VLOOKUP(A392,BD_ORDENES!A:BG,12,FALSE())</f>
        <v>__export__.product_product_180192_31c5b56a</v>
      </c>
      <c r="C392" s="64" t="n">
        <v>385</v>
      </c>
      <c r="D392" s="65" t="str">
        <f aca="false">VLOOKUP(A392,BD_ORDENES!A:BE,10,0)</f>
        <v>INVENTARIO HOGAR VENECIA</v>
      </c>
      <c r="E392" s="66" t="str">
        <f aca="false">VLOOKUP(A392,BD_ORDENES!A:BG,4,FALSE())</f>
        <v>HVM25978</v>
      </c>
      <c r="F392" s="66" t="str">
        <f aca="false">VLOOKUP(A392,BD_ORDENES!A:BE,56,FALSE())</f>
        <v>S267233</v>
      </c>
      <c r="G392" s="67" t="str">
        <f aca="false">VLOOKUP(A392,BD_ORDENES!A:BE,13,FALSE())</f>
        <v>POLTRONA PORTO DUSTER PLATA (MATIZ NATURAL)</v>
      </c>
      <c r="H392" s="68" t="str">
        <f aca="false">VLOOKUP(A392,BD_ORDENES!A:BE,17,FALSE())</f>
        <v>POLTRONA</v>
      </c>
      <c r="I392" s="68" t="str">
        <f aca="false">VLOOKUP(A392,BD_ORDENES!A:BE,18,FALSE())</f>
        <v>PORTO</v>
      </c>
      <c r="J392" s="68" t="str">
        <f aca="false">VLOOKUP(A392,BD_ORDENES!A:BE,19,FALSE())</f>
        <v>DUSTER</v>
      </c>
      <c r="K392" s="68" t="str">
        <f aca="false">VLOOKUP(A392,BD_ORDENES!A:BE,20,FALSE())</f>
        <v>PLATA</v>
      </c>
      <c r="L392" s="68" t="str">
        <f aca="false">VLOOKUP(A392,BD_ORDENES!A:BE,21,FALSE())</f>
        <v>MATIZ-NATURAL</v>
      </c>
      <c r="M392" s="69" t="n">
        <f aca="false">VLOOKUP(A392,BD_ORDENES!A:BE,14,FALSE())</f>
        <v>2</v>
      </c>
      <c r="N392" s="68" t="n">
        <f aca="false">VLOOKUP(A392,BD_ORDENES!A:BE,15,FALSE())</f>
        <v>0</v>
      </c>
      <c r="O392" s="68" t="str">
        <f aca="false">VLOOKUP(A392,BD_ORDENES!A:BE,33,FALSE())</f>
        <v>TRANSPORTADORA</v>
      </c>
      <c r="P392" s="68" t="n">
        <f aca="false">VLOOKUP(A392,BD_ORDENES!A:BE,23,FALSE())</f>
        <v>0</v>
      </c>
      <c r="Q392" s="68" t="str">
        <f aca="false">VLOOKUP(A392,BD_ORDENES!A:BE,52,FALSE())</f>
        <v>Obtener Bajo Pedido (MTO)</v>
      </c>
      <c r="R392" s="68" t="str">
        <f aca="false">VLOOKUP(A392,BD_ORDENES!A:BE,25,FALSE())</f>
        <v>TUNJA</v>
      </c>
      <c r="S392" s="68" t="str">
        <f aca="false">VLOOKUP(A392,BD_ORDENES!A:BE,22,FALSE())</f>
        <v>INVENTARIO HOGAR VENECIA</v>
      </c>
      <c r="T392" s="65" t="n">
        <f aca="false">VLOOKUP(A392,BD_ORDENES!A:BE,55,FALSE())</f>
        <v>0</v>
      </c>
      <c r="U392" s="68" t="str">
        <f aca="false">VLOOKUP(A392,BD_ORDENES!A:BE,57,FALSE())</f>
        <v>9 INVENTARIO</v>
      </c>
      <c r="V392" s="70"/>
      <c r="W392" s="71"/>
    </row>
    <row r="393" s="72" customFormat="true" ht="98.25" hidden="false" customHeight="true" outlineLevel="0" collapsed="false">
      <c r="A393" s="62" t="n">
        <f aca="false">A392+1</f>
        <v>386</v>
      </c>
      <c r="B393" s="63" t="str">
        <f aca="false">VLOOKUP(A393,BD_ORDENES!A:BG,12,FALSE())</f>
        <v>__export__.product_product_187099_4a580d03</v>
      </c>
      <c r="C393" s="64" t="n">
        <v>386</v>
      </c>
      <c r="D393" s="65" t="str">
        <f aca="false">VLOOKUP(A393,BD_ORDENES!A:BE,10,0)</f>
        <v>INVENTARIO HOGAR VENECIA</v>
      </c>
      <c r="E393" s="66" t="str">
        <f aca="false">VLOOKUP(A393,BD_ORDENES!A:BG,4,FALSE())</f>
        <v>HVM25978</v>
      </c>
      <c r="F393" s="66" t="str">
        <f aca="false">VLOOKUP(A393,BD_ORDENES!A:BE,56,FALSE())</f>
        <v>S267233</v>
      </c>
      <c r="G393" s="67" t="str">
        <f aca="false">VLOOKUP(A393,BD_ORDENES!A:BE,13,FALSE())</f>
        <v>MESA DE CENTRO NOVA BLANCO (MATIZ NATURAL)</v>
      </c>
      <c r="H393" s="68" t="str">
        <f aca="false">VLOOKUP(A393,BD_ORDENES!A:BE,17,FALSE())</f>
        <v>MESA-CENTRO</v>
      </c>
      <c r="I393" s="68" t="str">
        <f aca="false">VLOOKUP(A393,BD_ORDENES!A:BE,18,FALSE())</f>
        <v>NOVA</v>
      </c>
      <c r="J393" s="68" t="n">
        <f aca="false">VLOOKUP(A393,BD_ORDENES!A:BE,19,FALSE())</f>
        <v>0</v>
      </c>
      <c r="K393" s="68" t="str">
        <f aca="false">VLOOKUP(A393,BD_ORDENES!A:BE,20,FALSE())</f>
        <v>BLANCO</v>
      </c>
      <c r="L393" s="68" t="str">
        <f aca="false">VLOOKUP(A393,BD_ORDENES!A:BE,21,FALSE())</f>
        <v>MATIZ-NATURAL</v>
      </c>
      <c r="M393" s="69" t="n">
        <f aca="false">VLOOKUP(A393,BD_ORDENES!A:BE,14,FALSE())</f>
        <v>1</v>
      </c>
      <c r="N393" s="68" t="n">
        <f aca="false">VLOOKUP(A393,BD_ORDENES!A:BE,15,FALSE())</f>
        <v>0</v>
      </c>
      <c r="O393" s="68" t="str">
        <f aca="false">VLOOKUP(A393,BD_ORDENES!A:BE,33,FALSE())</f>
        <v>TRANSPORTADORA</v>
      </c>
      <c r="P393" s="68" t="n">
        <f aca="false">VLOOKUP(A393,BD_ORDENES!A:BE,23,FALSE())</f>
        <v>0</v>
      </c>
      <c r="Q393" s="68" t="str">
        <f aca="false">VLOOKUP(A393,BD_ORDENES!A:BE,52,FALSE())</f>
        <v>Obtener Bajo Pedido (MTO)</v>
      </c>
      <c r="R393" s="68" t="str">
        <f aca="false">VLOOKUP(A393,BD_ORDENES!A:BE,25,FALSE())</f>
        <v>TUNJA</v>
      </c>
      <c r="S393" s="68" t="str">
        <f aca="false">VLOOKUP(A393,BD_ORDENES!A:BE,22,FALSE())</f>
        <v>INVENTARIO HOGAR VENECIA</v>
      </c>
      <c r="T393" s="65" t="n">
        <f aca="false">VLOOKUP(A393,BD_ORDENES!A:BE,55,FALSE())</f>
        <v>0</v>
      </c>
      <c r="U393" s="68" t="str">
        <f aca="false">VLOOKUP(A393,BD_ORDENES!A:BE,57,FALSE())</f>
        <v>9 INVENTARIO</v>
      </c>
      <c r="V393" s="70"/>
      <c r="W393" s="71"/>
    </row>
    <row r="394" s="72" customFormat="true" ht="98.25" hidden="false" customHeight="true" outlineLevel="0" collapsed="false">
      <c r="A394" s="62" t="n">
        <f aca="false">A393+1</f>
        <v>387</v>
      </c>
      <c r="B394" s="63" t="str">
        <f aca="false">VLOOKUP(A394,BD_ORDENES!A:BG,12,FALSE())</f>
        <v>__export__.product_product_176906_2076c974</v>
      </c>
      <c r="C394" s="64" t="n">
        <v>387</v>
      </c>
      <c r="D394" s="65" t="str">
        <f aca="false">VLOOKUP(A394,BD_ORDENES!A:BE,10,0)</f>
        <v>INVENTARIO HOGAR VENECIA</v>
      </c>
      <c r="E394" s="66" t="str">
        <f aca="false">VLOOKUP(A394,BD_ORDENES!A:BG,4,FALSE())</f>
        <v>HVM25977</v>
      </c>
      <c r="F394" s="66" t="str">
        <f aca="false">VLOOKUP(A394,BD_ORDENES!A:BE,56,FALSE())</f>
        <v>S267232</v>
      </c>
      <c r="G394" s="67" t="str">
        <f aca="false">VLOOKUP(A394,BD_ORDENES!A:BE,13,FALSE())</f>
        <v>SOFA PORTO DUSTER PLATA (MATIZ NATURAL)</v>
      </c>
      <c r="H394" s="68" t="str">
        <f aca="false">VLOOKUP(A394,BD_ORDENES!A:BE,17,FALSE())</f>
        <v>SOFA</v>
      </c>
      <c r="I394" s="68" t="str">
        <f aca="false">VLOOKUP(A394,BD_ORDENES!A:BE,18,FALSE())</f>
        <v>PORTO</v>
      </c>
      <c r="J394" s="68" t="str">
        <f aca="false">VLOOKUP(A394,BD_ORDENES!A:BE,19,FALSE())</f>
        <v>DUSTER</v>
      </c>
      <c r="K394" s="68" t="str">
        <f aca="false">VLOOKUP(A394,BD_ORDENES!A:BE,20,FALSE())</f>
        <v>PLATA</v>
      </c>
      <c r="L394" s="68" t="str">
        <f aca="false">VLOOKUP(A394,BD_ORDENES!A:BE,21,FALSE())</f>
        <v>MATIZ-NATURAL</v>
      </c>
      <c r="M394" s="69" t="n">
        <f aca="false">VLOOKUP(A394,BD_ORDENES!A:BE,14,FALSE())</f>
        <v>1</v>
      </c>
      <c r="N394" s="68" t="n">
        <f aca="false">VLOOKUP(A394,BD_ORDENES!A:BE,15,FALSE())</f>
        <v>0</v>
      </c>
      <c r="O394" s="68" t="str">
        <f aca="false">VLOOKUP(A394,BD_ORDENES!A:BE,33,FALSE())</f>
        <v>TRANSPORTADORA</v>
      </c>
      <c r="P394" s="68" t="n">
        <f aca="false">VLOOKUP(A394,BD_ORDENES!A:BE,23,FALSE())</f>
        <v>0</v>
      </c>
      <c r="Q394" s="68" t="str">
        <f aca="false">VLOOKUP(A394,BD_ORDENES!A:BE,52,FALSE())</f>
        <v>Obtener Bajo Pedido (MTO)</v>
      </c>
      <c r="R394" s="68" t="str">
        <f aca="false">VLOOKUP(A394,BD_ORDENES!A:BE,25,FALSE())</f>
        <v>TUNJA</v>
      </c>
      <c r="S394" s="68" t="str">
        <f aca="false">VLOOKUP(A394,BD_ORDENES!A:BE,22,FALSE())</f>
        <v>INVENTARIO HOGAR VENECIA</v>
      </c>
      <c r="T394" s="65" t="n">
        <f aca="false">VLOOKUP(A394,BD_ORDENES!A:BE,55,FALSE())</f>
        <v>0</v>
      </c>
      <c r="U394" s="68" t="str">
        <f aca="false">VLOOKUP(A394,BD_ORDENES!A:BE,57,FALSE())</f>
        <v>9 INVENTARIO</v>
      </c>
      <c r="V394" s="70"/>
      <c r="W394" s="71"/>
    </row>
    <row r="395" s="72" customFormat="true" ht="98.25" hidden="false" customHeight="true" outlineLevel="0" collapsed="false">
      <c r="A395" s="62" t="n">
        <f aca="false">A394+1</f>
        <v>388</v>
      </c>
      <c r="B395" s="63" t="str">
        <f aca="false">VLOOKUP(A395,BD_ORDENES!A:BG,12,FALSE())</f>
        <v>__export__.product_product_180192_31c5b56a</v>
      </c>
      <c r="C395" s="64" t="n">
        <v>388</v>
      </c>
      <c r="D395" s="65" t="str">
        <f aca="false">VLOOKUP(A395,BD_ORDENES!A:BE,10,0)</f>
        <v>INVENTARIO HOGAR VENECIA</v>
      </c>
      <c r="E395" s="66" t="str">
        <f aca="false">VLOOKUP(A395,BD_ORDENES!A:BG,4,FALSE())</f>
        <v>HVM25977</v>
      </c>
      <c r="F395" s="66" t="str">
        <f aca="false">VLOOKUP(A395,BD_ORDENES!A:BE,56,FALSE())</f>
        <v>S267232</v>
      </c>
      <c r="G395" s="67" t="str">
        <f aca="false">VLOOKUP(A395,BD_ORDENES!A:BE,13,FALSE())</f>
        <v>POLTRONA PORTO DUSTER PLATA (MATIZ NATURAL)</v>
      </c>
      <c r="H395" s="68" t="str">
        <f aca="false">VLOOKUP(A395,BD_ORDENES!A:BE,17,FALSE())</f>
        <v>POLTRONA</v>
      </c>
      <c r="I395" s="68" t="str">
        <f aca="false">VLOOKUP(A395,BD_ORDENES!A:BE,18,FALSE())</f>
        <v>PORTO</v>
      </c>
      <c r="J395" s="68" t="str">
        <f aca="false">VLOOKUP(A395,BD_ORDENES!A:BE,19,FALSE())</f>
        <v>DUSTER</v>
      </c>
      <c r="K395" s="68" t="str">
        <f aca="false">VLOOKUP(A395,BD_ORDENES!A:BE,20,FALSE())</f>
        <v>PLATA</v>
      </c>
      <c r="L395" s="68" t="str">
        <f aca="false">VLOOKUP(A395,BD_ORDENES!A:BE,21,FALSE())</f>
        <v>MATIZ-NATURAL</v>
      </c>
      <c r="M395" s="69" t="n">
        <f aca="false">VLOOKUP(A395,BD_ORDENES!A:BE,14,FALSE())</f>
        <v>2</v>
      </c>
      <c r="N395" s="68" t="n">
        <f aca="false">VLOOKUP(A395,BD_ORDENES!A:BE,15,FALSE())</f>
        <v>0</v>
      </c>
      <c r="O395" s="68" t="str">
        <f aca="false">VLOOKUP(A395,BD_ORDENES!A:BE,33,FALSE())</f>
        <v>TRANSPORTADORA</v>
      </c>
      <c r="P395" s="68" t="n">
        <f aca="false">VLOOKUP(A395,BD_ORDENES!A:BE,23,FALSE())</f>
        <v>0</v>
      </c>
      <c r="Q395" s="68" t="str">
        <f aca="false">VLOOKUP(A395,BD_ORDENES!A:BE,52,FALSE())</f>
        <v>Obtener Bajo Pedido (MTO)</v>
      </c>
      <c r="R395" s="68" t="str">
        <f aca="false">VLOOKUP(A395,BD_ORDENES!A:BE,25,FALSE())</f>
        <v>TUNJA</v>
      </c>
      <c r="S395" s="68" t="str">
        <f aca="false">VLOOKUP(A395,BD_ORDENES!A:BE,22,FALSE())</f>
        <v>INVENTARIO HOGAR VENECIA</v>
      </c>
      <c r="T395" s="65" t="n">
        <f aca="false">VLOOKUP(A395,BD_ORDENES!A:BE,55,FALSE())</f>
        <v>0</v>
      </c>
      <c r="U395" s="68" t="str">
        <f aca="false">VLOOKUP(A395,BD_ORDENES!A:BE,57,FALSE())</f>
        <v>9 INVENTARIO</v>
      </c>
      <c r="V395" s="70"/>
      <c r="W395" s="71"/>
    </row>
    <row r="396" s="72" customFormat="true" ht="98.25" hidden="false" customHeight="true" outlineLevel="0" collapsed="false">
      <c r="A396" s="62" t="n">
        <f aca="false">A395+1</f>
        <v>389</v>
      </c>
      <c r="B396" s="63" t="str">
        <f aca="false">VLOOKUP(A396,BD_ORDENES!A:BG,12,FALSE())</f>
        <v>__export__.product_product_187099_4a580d03</v>
      </c>
      <c r="C396" s="64" t="n">
        <v>389</v>
      </c>
      <c r="D396" s="65" t="str">
        <f aca="false">VLOOKUP(A396,BD_ORDENES!A:BE,10,0)</f>
        <v>INVENTARIO HOGAR VENECIA</v>
      </c>
      <c r="E396" s="66" t="str">
        <f aca="false">VLOOKUP(A396,BD_ORDENES!A:BG,4,FALSE())</f>
        <v>HVM25977</v>
      </c>
      <c r="F396" s="66" t="str">
        <f aca="false">VLOOKUP(A396,BD_ORDENES!A:BE,56,FALSE())</f>
        <v>S267232</v>
      </c>
      <c r="G396" s="67" t="str">
        <f aca="false">VLOOKUP(A396,BD_ORDENES!A:BE,13,FALSE())</f>
        <v>MESA DE CENTRO NOVA BLANCO (MATIZ NATURAL)</v>
      </c>
      <c r="H396" s="68" t="str">
        <f aca="false">VLOOKUP(A396,BD_ORDENES!A:BE,17,FALSE())</f>
        <v>MESA-CENTRO</v>
      </c>
      <c r="I396" s="68" t="str">
        <f aca="false">VLOOKUP(A396,BD_ORDENES!A:BE,18,FALSE())</f>
        <v>NOVA</v>
      </c>
      <c r="J396" s="68" t="n">
        <f aca="false">VLOOKUP(A396,BD_ORDENES!A:BE,19,FALSE())</f>
        <v>0</v>
      </c>
      <c r="K396" s="68" t="str">
        <f aca="false">VLOOKUP(A396,BD_ORDENES!A:BE,20,FALSE())</f>
        <v>BLANCO</v>
      </c>
      <c r="L396" s="68" t="str">
        <f aca="false">VLOOKUP(A396,BD_ORDENES!A:BE,21,FALSE())</f>
        <v>MATIZ-NATURAL</v>
      </c>
      <c r="M396" s="69" t="n">
        <f aca="false">VLOOKUP(A396,BD_ORDENES!A:BE,14,FALSE())</f>
        <v>1</v>
      </c>
      <c r="N396" s="68" t="n">
        <f aca="false">VLOOKUP(A396,BD_ORDENES!A:BE,15,FALSE())</f>
        <v>0</v>
      </c>
      <c r="O396" s="68" t="str">
        <f aca="false">VLOOKUP(A396,BD_ORDENES!A:BE,33,FALSE())</f>
        <v>TRANSPORTADORA</v>
      </c>
      <c r="P396" s="68" t="n">
        <f aca="false">VLOOKUP(A396,BD_ORDENES!A:BE,23,FALSE())</f>
        <v>0</v>
      </c>
      <c r="Q396" s="68" t="str">
        <f aca="false">VLOOKUP(A396,BD_ORDENES!A:BE,52,FALSE())</f>
        <v>Obtener Bajo Pedido (MTO)</v>
      </c>
      <c r="R396" s="68" t="str">
        <f aca="false">VLOOKUP(A396,BD_ORDENES!A:BE,25,FALSE())</f>
        <v>TUNJA</v>
      </c>
      <c r="S396" s="68" t="str">
        <f aca="false">VLOOKUP(A396,BD_ORDENES!A:BE,22,FALSE())</f>
        <v>INVENTARIO HOGAR VENECIA</v>
      </c>
      <c r="T396" s="65" t="n">
        <f aca="false">VLOOKUP(A396,BD_ORDENES!A:BE,55,FALSE())</f>
        <v>0</v>
      </c>
      <c r="U396" s="68" t="str">
        <f aca="false">VLOOKUP(A396,BD_ORDENES!A:BE,57,FALSE())</f>
        <v>9 INVENTARIO</v>
      </c>
      <c r="V396" s="70"/>
      <c r="W396" s="71"/>
    </row>
    <row r="397" s="72" customFormat="true" ht="98.25" hidden="false" customHeight="true" outlineLevel="0" collapsed="false">
      <c r="A397" s="62" t="n">
        <f aca="false">A396+1</f>
        <v>390</v>
      </c>
      <c r="B397" s="63" t="str">
        <f aca="false">VLOOKUP(A397,BD_ORDENES!A:BG,12,FALSE())</f>
        <v>__export__.product_product_176906_2076c974</v>
      </c>
      <c r="C397" s="64" t="n">
        <v>390</v>
      </c>
      <c r="D397" s="65" t="str">
        <f aca="false">VLOOKUP(A397,BD_ORDENES!A:BE,10,0)</f>
        <v>INVENTARIO HOGAR VENECIA</v>
      </c>
      <c r="E397" s="66" t="str">
        <f aca="false">VLOOKUP(A397,BD_ORDENES!A:BG,4,FALSE())</f>
        <v>HVM25976</v>
      </c>
      <c r="F397" s="66" t="str">
        <f aca="false">VLOOKUP(A397,BD_ORDENES!A:BE,56,FALSE())</f>
        <v>S267231</v>
      </c>
      <c r="G397" s="67" t="str">
        <f aca="false">VLOOKUP(A397,BD_ORDENES!A:BE,13,FALSE())</f>
        <v>SOFA PORTO DUSTER PLATA (MATIZ NATURAL)</v>
      </c>
      <c r="H397" s="68" t="str">
        <f aca="false">VLOOKUP(A397,BD_ORDENES!A:BE,17,FALSE())</f>
        <v>SOFA</v>
      </c>
      <c r="I397" s="68" t="str">
        <f aca="false">VLOOKUP(A397,BD_ORDENES!A:BE,18,FALSE())</f>
        <v>PORTO</v>
      </c>
      <c r="J397" s="68" t="str">
        <f aca="false">VLOOKUP(A397,BD_ORDENES!A:BE,19,FALSE())</f>
        <v>DUSTER</v>
      </c>
      <c r="K397" s="68" t="str">
        <f aca="false">VLOOKUP(A397,BD_ORDENES!A:BE,20,FALSE())</f>
        <v>PLATA</v>
      </c>
      <c r="L397" s="68" t="str">
        <f aca="false">VLOOKUP(A397,BD_ORDENES!A:BE,21,FALSE())</f>
        <v>MATIZ-NATURAL</v>
      </c>
      <c r="M397" s="69" t="n">
        <f aca="false">VLOOKUP(A397,BD_ORDENES!A:BE,14,FALSE())</f>
        <v>1</v>
      </c>
      <c r="N397" s="68" t="n">
        <f aca="false">VLOOKUP(A397,BD_ORDENES!A:BE,15,FALSE())</f>
        <v>0</v>
      </c>
      <c r="O397" s="68" t="str">
        <f aca="false">VLOOKUP(A397,BD_ORDENES!A:BE,33,FALSE())</f>
        <v>TRANSPORTADORA</v>
      </c>
      <c r="P397" s="68" t="n">
        <f aca="false">VLOOKUP(A397,BD_ORDENES!A:BE,23,FALSE())</f>
        <v>0</v>
      </c>
      <c r="Q397" s="68" t="str">
        <f aca="false">VLOOKUP(A397,BD_ORDENES!A:BE,52,FALSE())</f>
        <v>Obtener Bajo Pedido (MTO)</v>
      </c>
      <c r="R397" s="68" t="str">
        <f aca="false">VLOOKUP(A397,BD_ORDENES!A:BE,25,FALSE())</f>
        <v>TUNJA</v>
      </c>
      <c r="S397" s="68" t="str">
        <f aca="false">VLOOKUP(A397,BD_ORDENES!A:BE,22,FALSE())</f>
        <v>INVENTARIO HOGAR VENECIA</v>
      </c>
      <c r="T397" s="65" t="n">
        <f aca="false">VLOOKUP(A397,BD_ORDENES!A:BE,55,FALSE())</f>
        <v>0</v>
      </c>
      <c r="U397" s="68" t="str">
        <f aca="false">VLOOKUP(A397,BD_ORDENES!A:BE,57,FALSE())</f>
        <v>9 INVENTARIO</v>
      </c>
      <c r="V397" s="70"/>
      <c r="W397" s="71"/>
    </row>
    <row r="398" s="72" customFormat="true" ht="98.25" hidden="false" customHeight="true" outlineLevel="0" collapsed="false">
      <c r="A398" s="62" t="n">
        <f aca="false">A397+1</f>
        <v>391</v>
      </c>
      <c r="B398" s="63" t="str">
        <f aca="false">VLOOKUP(A398,BD_ORDENES!A:BG,12,FALSE())</f>
        <v>__export__.product_product_180192_31c5b56a</v>
      </c>
      <c r="C398" s="64" t="n">
        <v>391</v>
      </c>
      <c r="D398" s="65" t="str">
        <f aca="false">VLOOKUP(A398,BD_ORDENES!A:BE,10,0)</f>
        <v>INVENTARIO HOGAR VENECIA</v>
      </c>
      <c r="E398" s="66" t="str">
        <f aca="false">VLOOKUP(A398,BD_ORDENES!A:BG,4,FALSE())</f>
        <v>HVM25976</v>
      </c>
      <c r="F398" s="66" t="str">
        <f aca="false">VLOOKUP(A398,BD_ORDENES!A:BE,56,FALSE())</f>
        <v>S267231</v>
      </c>
      <c r="G398" s="67" t="str">
        <f aca="false">VLOOKUP(A398,BD_ORDENES!A:BE,13,FALSE())</f>
        <v>POLTRONA PORTO DUSTER PLATA (MATIZ NATURAL)</v>
      </c>
      <c r="H398" s="68" t="str">
        <f aca="false">VLOOKUP(A398,BD_ORDENES!A:BE,17,FALSE())</f>
        <v>POLTRONA</v>
      </c>
      <c r="I398" s="68" t="str">
        <f aca="false">VLOOKUP(A398,BD_ORDENES!A:BE,18,FALSE())</f>
        <v>PORTO</v>
      </c>
      <c r="J398" s="68" t="str">
        <f aca="false">VLOOKUP(A398,BD_ORDENES!A:BE,19,FALSE())</f>
        <v>DUSTER</v>
      </c>
      <c r="K398" s="68" t="str">
        <f aca="false">VLOOKUP(A398,BD_ORDENES!A:BE,20,FALSE())</f>
        <v>PLATA</v>
      </c>
      <c r="L398" s="68" t="str">
        <f aca="false">VLOOKUP(A398,BD_ORDENES!A:BE,21,FALSE())</f>
        <v>MATIZ-NATURAL</v>
      </c>
      <c r="M398" s="69" t="n">
        <f aca="false">VLOOKUP(A398,BD_ORDENES!A:BE,14,FALSE())</f>
        <v>2</v>
      </c>
      <c r="N398" s="68" t="n">
        <f aca="false">VLOOKUP(A398,BD_ORDENES!A:BE,15,FALSE())</f>
        <v>0</v>
      </c>
      <c r="O398" s="68" t="str">
        <f aca="false">VLOOKUP(A398,BD_ORDENES!A:BE,33,FALSE())</f>
        <v>TRANSPORTADORA</v>
      </c>
      <c r="P398" s="68" t="n">
        <f aca="false">VLOOKUP(A398,BD_ORDENES!A:BE,23,FALSE())</f>
        <v>0</v>
      </c>
      <c r="Q398" s="68" t="str">
        <f aca="false">VLOOKUP(A398,BD_ORDENES!A:BE,52,FALSE())</f>
        <v>Obtener Bajo Pedido (MTO)</v>
      </c>
      <c r="R398" s="68" t="str">
        <f aca="false">VLOOKUP(A398,BD_ORDENES!A:BE,25,FALSE())</f>
        <v>TUNJA</v>
      </c>
      <c r="S398" s="68" t="str">
        <f aca="false">VLOOKUP(A398,BD_ORDENES!A:BE,22,FALSE())</f>
        <v>INVENTARIO HOGAR VENECIA</v>
      </c>
      <c r="T398" s="65" t="n">
        <f aca="false">VLOOKUP(A398,BD_ORDENES!A:BE,55,FALSE())</f>
        <v>0</v>
      </c>
      <c r="U398" s="68" t="str">
        <f aca="false">VLOOKUP(A398,BD_ORDENES!A:BE,57,FALSE())</f>
        <v>9 INVENTARIO</v>
      </c>
      <c r="V398" s="70"/>
      <c r="W398" s="71"/>
    </row>
    <row r="399" s="72" customFormat="true" ht="98.25" hidden="false" customHeight="true" outlineLevel="0" collapsed="false">
      <c r="A399" s="62" t="n">
        <f aca="false">A398+1</f>
        <v>392</v>
      </c>
      <c r="B399" s="63" t="str">
        <f aca="false">VLOOKUP(A399,BD_ORDENES!A:BG,12,FALSE())</f>
        <v>__export__.product_product_187099_4a580d03</v>
      </c>
      <c r="C399" s="64" t="n">
        <v>392</v>
      </c>
      <c r="D399" s="65" t="str">
        <f aca="false">VLOOKUP(A399,BD_ORDENES!A:BE,10,0)</f>
        <v>INVENTARIO HOGAR VENECIA</v>
      </c>
      <c r="E399" s="66" t="str">
        <f aca="false">VLOOKUP(A399,BD_ORDENES!A:BG,4,FALSE())</f>
        <v>HVM25976</v>
      </c>
      <c r="F399" s="66" t="str">
        <f aca="false">VLOOKUP(A399,BD_ORDENES!A:BE,56,FALSE())</f>
        <v>S267231</v>
      </c>
      <c r="G399" s="67" t="str">
        <f aca="false">VLOOKUP(A399,BD_ORDENES!A:BE,13,FALSE())</f>
        <v>MESA DE CENTRO NOVA BLANCO (MATIZ NATURAL)</v>
      </c>
      <c r="H399" s="68" t="str">
        <f aca="false">VLOOKUP(A399,BD_ORDENES!A:BE,17,FALSE())</f>
        <v>MESA-CENTRO</v>
      </c>
      <c r="I399" s="68" t="str">
        <f aca="false">VLOOKUP(A399,BD_ORDENES!A:BE,18,FALSE())</f>
        <v>NOVA</v>
      </c>
      <c r="J399" s="68" t="n">
        <f aca="false">VLOOKUP(A399,BD_ORDENES!A:BE,19,FALSE())</f>
        <v>0</v>
      </c>
      <c r="K399" s="68" t="str">
        <f aca="false">VLOOKUP(A399,BD_ORDENES!A:BE,20,FALSE())</f>
        <v>BLANCO</v>
      </c>
      <c r="L399" s="68" t="str">
        <f aca="false">VLOOKUP(A399,BD_ORDENES!A:BE,21,FALSE())</f>
        <v>MATIZ-NATURAL</v>
      </c>
      <c r="M399" s="69" t="n">
        <f aca="false">VLOOKUP(A399,BD_ORDENES!A:BE,14,FALSE())</f>
        <v>1</v>
      </c>
      <c r="N399" s="68" t="n">
        <f aca="false">VLOOKUP(A399,BD_ORDENES!A:BE,15,FALSE())</f>
        <v>0</v>
      </c>
      <c r="O399" s="68" t="str">
        <f aca="false">VLOOKUP(A399,BD_ORDENES!A:BE,33,FALSE())</f>
        <v>TRANSPORTADORA</v>
      </c>
      <c r="P399" s="68" t="n">
        <f aca="false">VLOOKUP(A399,BD_ORDENES!A:BE,23,FALSE())</f>
        <v>0</v>
      </c>
      <c r="Q399" s="68" t="str">
        <f aca="false">VLOOKUP(A399,BD_ORDENES!A:BE,52,FALSE())</f>
        <v>Obtener Bajo Pedido (MTO)</v>
      </c>
      <c r="R399" s="68" t="str">
        <f aca="false">VLOOKUP(A399,BD_ORDENES!A:BE,25,FALSE())</f>
        <v>TUNJA</v>
      </c>
      <c r="S399" s="68" t="str">
        <f aca="false">VLOOKUP(A399,BD_ORDENES!A:BE,22,FALSE())</f>
        <v>INVENTARIO HOGAR VENECIA</v>
      </c>
      <c r="T399" s="65" t="n">
        <f aca="false">VLOOKUP(A399,BD_ORDENES!A:BE,55,FALSE())</f>
        <v>0</v>
      </c>
      <c r="U399" s="68" t="str">
        <f aca="false">VLOOKUP(A399,BD_ORDENES!A:BE,57,FALSE())</f>
        <v>9 INVENTARIO</v>
      </c>
      <c r="V399" s="70"/>
      <c r="W399" s="71"/>
    </row>
    <row r="400" s="72" customFormat="true" ht="98.25" hidden="false" customHeight="true" outlineLevel="0" collapsed="false">
      <c r="A400" s="62" t="n">
        <f aca="false">A399+1</f>
        <v>393</v>
      </c>
      <c r="B400" s="63" t="str">
        <f aca="false">VLOOKUP(A400,BD_ORDENES!A:BG,12,FALSE())</f>
        <v>__export__.product_product_191488_87a2b92b</v>
      </c>
      <c r="C400" s="64" t="n">
        <v>393</v>
      </c>
      <c r="D400" s="65" t="str">
        <f aca="false">VLOOKUP(A400,BD_ORDENES!A:BE,10,0)</f>
        <v>INVENTARIO HOGAR VENECIA</v>
      </c>
      <c r="E400" s="66" t="str">
        <f aca="false">VLOOKUP(A400,BD_ORDENES!A:BG,4,FALSE())</f>
        <v>HVM25885</v>
      </c>
      <c r="F400" s="66" t="str">
        <f aca="false">VLOOKUP(A400,BD_ORDENES!A:BE,56,FALSE())</f>
        <v>S267140</v>
      </c>
      <c r="G400" s="67" t="str">
        <f aca="false">VLOOKUP(A400,BD_ORDENES!A:BE,13,FALSE())</f>
        <v>SOFA TOULOUSE DUSTER PLATA (MATIZ NATURAL)</v>
      </c>
      <c r="H400" s="68" t="str">
        <f aca="false">VLOOKUP(A400,BD_ORDENES!A:BE,17,FALSE())</f>
        <v>SOFA</v>
      </c>
      <c r="I400" s="68" t="str">
        <f aca="false">VLOOKUP(A400,BD_ORDENES!A:BE,18,FALSE())</f>
        <v>TOULOUSE</v>
      </c>
      <c r="J400" s="68" t="str">
        <f aca="false">VLOOKUP(A400,BD_ORDENES!A:BE,19,FALSE())</f>
        <v>DUSTER</v>
      </c>
      <c r="K400" s="68" t="str">
        <f aca="false">VLOOKUP(A400,BD_ORDENES!A:BE,20,FALSE())</f>
        <v>PLATA</v>
      </c>
      <c r="L400" s="68" t="str">
        <f aca="false">VLOOKUP(A400,BD_ORDENES!A:BE,21,FALSE())</f>
        <v>MATIZ-NATURAL</v>
      </c>
      <c r="M400" s="69" t="n">
        <f aca="false">VLOOKUP(A400,BD_ORDENES!A:BE,14,FALSE())</f>
        <v>1</v>
      </c>
      <c r="N400" s="68" t="n">
        <f aca="false">VLOOKUP(A400,BD_ORDENES!A:BE,15,FALSE())</f>
        <v>0</v>
      </c>
      <c r="O400" s="68" t="str">
        <f aca="false">VLOOKUP(A400,BD_ORDENES!A:BE,33,FALSE())</f>
        <v>TRANSPORTADORA</v>
      </c>
      <c r="P400" s="68" t="n">
        <f aca="false">VLOOKUP(A400,BD_ORDENES!A:BE,23,FALSE())</f>
        <v>0</v>
      </c>
      <c r="Q400" s="68" t="str">
        <f aca="false">VLOOKUP(A400,BD_ORDENES!A:BE,52,FALSE())</f>
        <v>Obtener Bajo Pedido (MTO)</v>
      </c>
      <c r="R400" s="68" t="str">
        <f aca="false">VLOOKUP(A400,BD_ORDENES!A:BE,25,FALSE())</f>
        <v>TUNJA</v>
      </c>
      <c r="S400" s="68" t="str">
        <f aca="false">VLOOKUP(A400,BD_ORDENES!A:BE,22,FALSE())</f>
        <v>INVENTARIO HOGAR VENECIA</v>
      </c>
      <c r="T400" s="65" t="n">
        <f aca="false">VLOOKUP(A400,BD_ORDENES!A:BE,55,FALSE())</f>
        <v>0</v>
      </c>
      <c r="U400" s="68" t="str">
        <f aca="false">VLOOKUP(A400,BD_ORDENES!A:BE,57,FALSE())</f>
        <v>9 INVENTARIO</v>
      </c>
      <c r="V400" s="70"/>
      <c r="W400" s="71"/>
    </row>
    <row r="401" s="72" customFormat="true" ht="98.25" hidden="false" customHeight="true" outlineLevel="0" collapsed="false">
      <c r="A401" s="62" t="n">
        <f aca="false">A400+1</f>
        <v>394</v>
      </c>
      <c r="B401" s="63" t="str">
        <f aca="false">VLOOKUP(A401,BD_ORDENES!A:BG,12,FALSE())</f>
        <v>__export__.product_product_191488_87a2b92b</v>
      </c>
      <c r="C401" s="64" t="n">
        <v>394</v>
      </c>
      <c r="D401" s="65" t="str">
        <f aca="false">VLOOKUP(A401,BD_ORDENES!A:BE,10,0)</f>
        <v>INVENTARIO HOGAR VENECIA</v>
      </c>
      <c r="E401" s="66" t="str">
        <f aca="false">VLOOKUP(A401,BD_ORDENES!A:BG,4,FALSE())</f>
        <v>HVM25884</v>
      </c>
      <c r="F401" s="66" t="str">
        <f aca="false">VLOOKUP(A401,BD_ORDENES!A:BE,56,FALSE())</f>
        <v>S267139</v>
      </c>
      <c r="G401" s="67" t="str">
        <f aca="false">VLOOKUP(A401,BD_ORDENES!A:BE,13,FALSE())</f>
        <v>SOFA TOULOUSE DUSTER PLATA (MATIZ NATURAL)</v>
      </c>
      <c r="H401" s="68" t="str">
        <f aca="false">VLOOKUP(A401,BD_ORDENES!A:BE,17,FALSE())</f>
        <v>SOFA</v>
      </c>
      <c r="I401" s="68" t="str">
        <f aca="false">VLOOKUP(A401,BD_ORDENES!A:BE,18,FALSE())</f>
        <v>TOULOUSE</v>
      </c>
      <c r="J401" s="68" t="str">
        <f aca="false">VLOOKUP(A401,BD_ORDENES!A:BE,19,FALSE())</f>
        <v>DUSTER</v>
      </c>
      <c r="K401" s="68" t="str">
        <f aca="false">VLOOKUP(A401,BD_ORDENES!A:BE,20,FALSE())</f>
        <v>PLATA</v>
      </c>
      <c r="L401" s="68" t="str">
        <f aca="false">VLOOKUP(A401,BD_ORDENES!A:BE,21,FALSE())</f>
        <v>MATIZ-NATURAL</v>
      </c>
      <c r="M401" s="69" t="n">
        <f aca="false">VLOOKUP(A401,BD_ORDENES!A:BE,14,FALSE())</f>
        <v>1</v>
      </c>
      <c r="N401" s="68" t="n">
        <f aca="false">VLOOKUP(A401,BD_ORDENES!A:BE,15,FALSE())</f>
        <v>0</v>
      </c>
      <c r="O401" s="68" t="str">
        <f aca="false">VLOOKUP(A401,BD_ORDENES!A:BE,33,FALSE())</f>
        <v>TRANSPORTADORA</v>
      </c>
      <c r="P401" s="68" t="n">
        <f aca="false">VLOOKUP(A401,BD_ORDENES!A:BE,23,FALSE())</f>
        <v>0</v>
      </c>
      <c r="Q401" s="68" t="str">
        <f aca="false">VLOOKUP(A401,BD_ORDENES!A:BE,52,FALSE())</f>
        <v>Obtener Bajo Pedido (MTO)</v>
      </c>
      <c r="R401" s="68" t="str">
        <f aca="false">VLOOKUP(A401,BD_ORDENES!A:BE,25,FALSE())</f>
        <v>TUNJA</v>
      </c>
      <c r="S401" s="68" t="str">
        <f aca="false">VLOOKUP(A401,BD_ORDENES!A:BE,22,FALSE())</f>
        <v>INVENTARIO HOGAR VENECIA</v>
      </c>
      <c r="T401" s="65" t="n">
        <f aca="false">VLOOKUP(A401,BD_ORDENES!A:BE,55,FALSE())</f>
        <v>0</v>
      </c>
      <c r="U401" s="68" t="str">
        <f aca="false">VLOOKUP(A401,BD_ORDENES!A:BE,57,FALSE())</f>
        <v>9 INVENTARIO</v>
      </c>
      <c r="V401" s="70"/>
      <c r="W401" s="71"/>
    </row>
    <row r="402" s="72" customFormat="true" ht="98.25" hidden="false" customHeight="true" outlineLevel="0" collapsed="false">
      <c r="A402" s="62" t="n">
        <f aca="false">A401+1</f>
        <v>395</v>
      </c>
      <c r="B402" s="63" t="str">
        <f aca="false">VLOOKUP(A402,BD_ORDENES!A:BG,12,FALSE())</f>
        <v>__export__.product_product_191488_87a2b92b</v>
      </c>
      <c r="C402" s="64" t="n">
        <v>395</v>
      </c>
      <c r="D402" s="65" t="str">
        <f aca="false">VLOOKUP(A402,BD_ORDENES!A:BE,10,0)</f>
        <v>INVENTARIO HOGAR VENECIA</v>
      </c>
      <c r="E402" s="66" t="str">
        <f aca="false">VLOOKUP(A402,BD_ORDENES!A:BG,4,FALSE())</f>
        <v>HVM25883</v>
      </c>
      <c r="F402" s="66" t="str">
        <f aca="false">VLOOKUP(A402,BD_ORDENES!A:BE,56,FALSE())</f>
        <v>S267138</v>
      </c>
      <c r="G402" s="67" t="str">
        <f aca="false">VLOOKUP(A402,BD_ORDENES!A:BE,13,FALSE())</f>
        <v>SOFA TOULOUSE DUSTER PLATA (MATIZ NATURAL)</v>
      </c>
      <c r="H402" s="68" t="str">
        <f aca="false">VLOOKUP(A402,BD_ORDENES!A:BE,17,FALSE())</f>
        <v>SOFA</v>
      </c>
      <c r="I402" s="68" t="str">
        <f aca="false">VLOOKUP(A402,BD_ORDENES!A:BE,18,FALSE())</f>
        <v>TOULOUSE</v>
      </c>
      <c r="J402" s="68" t="str">
        <f aca="false">VLOOKUP(A402,BD_ORDENES!A:BE,19,FALSE())</f>
        <v>DUSTER</v>
      </c>
      <c r="K402" s="68" t="str">
        <f aca="false">VLOOKUP(A402,BD_ORDENES!A:BE,20,FALSE())</f>
        <v>PLATA</v>
      </c>
      <c r="L402" s="68" t="str">
        <f aca="false">VLOOKUP(A402,BD_ORDENES!A:BE,21,FALSE())</f>
        <v>MATIZ-NATURAL</v>
      </c>
      <c r="M402" s="69" t="n">
        <f aca="false">VLOOKUP(A402,BD_ORDENES!A:BE,14,FALSE())</f>
        <v>1</v>
      </c>
      <c r="N402" s="68" t="n">
        <f aca="false">VLOOKUP(A402,BD_ORDENES!A:BE,15,FALSE())</f>
        <v>0</v>
      </c>
      <c r="O402" s="68" t="str">
        <f aca="false">VLOOKUP(A402,BD_ORDENES!A:BE,33,FALSE())</f>
        <v>TRANSPORTADORA</v>
      </c>
      <c r="P402" s="68" t="n">
        <f aca="false">VLOOKUP(A402,BD_ORDENES!A:BE,23,FALSE())</f>
        <v>0</v>
      </c>
      <c r="Q402" s="68" t="str">
        <f aca="false">VLOOKUP(A402,BD_ORDENES!A:BE,52,FALSE())</f>
        <v>Obtener Bajo Pedido (MTO)</v>
      </c>
      <c r="R402" s="68" t="str">
        <f aca="false">VLOOKUP(A402,BD_ORDENES!A:BE,25,FALSE())</f>
        <v>TUNJA</v>
      </c>
      <c r="S402" s="68" t="str">
        <f aca="false">VLOOKUP(A402,BD_ORDENES!A:BE,22,FALSE())</f>
        <v>INVENTARIO HOGAR VENECIA</v>
      </c>
      <c r="T402" s="65" t="n">
        <f aca="false">VLOOKUP(A402,BD_ORDENES!A:BE,55,FALSE())</f>
        <v>0</v>
      </c>
      <c r="U402" s="68" t="str">
        <f aca="false">VLOOKUP(A402,BD_ORDENES!A:BE,57,FALSE())</f>
        <v>9 INVENTARIO</v>
      </c>
      <c r="V402" s="70"/>
      <c r="W402" s="71"/>
    </row>
    <row r="403" s="72" customFormat="true" ht="98.25" hidden="false" customHeight="true" outlineLevel="0" collapsed="false">
      <c r="A403" s="62" t="n">
        <f aca="false">A402+1</f>
        <v>396</v>
      </c>
      <c r="B403" s="63" t="str">
        <f aca="false">VLOOKUP(A403,BD_ORDENES!A:BG,12,FALSE())</f>
        <v>__export__.product_product_191488_87a2b92b</v>
      </c>
      <c r="C403" s="64" t="n">
        <v>396</v>
      </c>
      <c r="D403" s="65" t="str">
        <f aca="false">VLOOKUP(A403,BD_ORDENES!A:BE,10,0)</f>
        <v>INVENTARIO HOGAR VENECIA</v>
      </c>
      <c r="E403" s="66" t="str">
        <f aca="false">VLOOKUP(A403,BD_ORDENES!A:BG,4,FALSE())</f>
        <v>HVM25882</v>
      </c>
      <c r="F403" s="66" t="str">
        <f aca="false">VLOOKUP(A403,BD_ORDENES!A:BE,56,FALSE())</f>
        <v>S267137</v>
      </c>
      <c r="G403" s="67" t="str">
        <f aca="false">VLOOKUP(A403,BD_ORDENES!A:BE,13,FALSE())</f>
        <v>SOFA TOULOUSE DUSTER PLATA (MATIZ NATURAL)</v>
      </c>
      <c r="H403" s="68" t="str">
        <f aca="false">VLOOKUP(A403,BD_ORDENES!A:BE,17,FALSE())</f>
        <v>SOFA</v>
      </c>
      <c r="I403" s="68" t="str">
        <f aca="false">VLOOKUP(A403,BD_ORDENES!A:BE,18,FALSE())</f>
        <v>TOULOUSE</v>
      </c>
      <c r="J403" s="68" t="str">
        <f aca="false">VLOOKUP(A403,BD_ORDENES!A:BE,19,FALSE())</f>
        <v>DUSTER</v>
      </c>
      <c r="K403" s="68" t="str">
        <f aca="false">VLOOKUP(A403,BD_ORDENES!A:BE,20,FALSE())</f>
        <v>PLATA</v>
      </c>
      <c r="L403" s="68" t="str">
        <f aca="false">VLOOKUP(A403,BD_ORDENES!A:BE,21,FALSE())</f>
        <v>MATIZ-NATURAL</v>
      </c>
      <c r="M403" s="69" t="n">
        <f aca="false">VLOOKUP(A403,BD_ORDENES!A:BE,14,FALSE())</f>
        <v>1</v>
      </c>
      <c r="N403" s="68" t="n">
        <f aca="false">VLOOKUP(A403,BD_ORDENES!A:BE,15,FALSE())</f>
        <v>0</v>
      </c>
      <c r="O403" s="68" t="str">
        <f aca="false">VLOOKUP(A403,BD_ORDENES!A:BE,33,FALSE())</f>
        <v>TRANSPORTADORA</v>
      </c>
      <c r="P403" s="68" t="n">
        <f aca="false">VLOOKUP(A403,BD_ORDENES!A:BE,23,FALSE())</f>
        <v>0</v>
      </c>
      <c r="Q403" s="68" t="str">
        <f aca="false">VLOOKUP(A403,BD_ORDENES!A:BE,52,FALSE())</f>
        <v>Obtener Bajo Pedido (MTO)</v>
      </c>
      <c r="R403" s="68" t="str">
        <f aca="false">VLOOKUP(A403,BD_ORDENES!A:BE,25,FALSE())</f>
        <v>TUNJA</v>
      </c>
      <c r="S403" s="68" t="str">
        <f aca="false">VLOOKUP(A403,BD_ORDENES!A:BE,22,FALSE())</f>
        <v>INVENTARIO HOGAR VENECIA</v>
      </c>
      <c r="T403" s="65" t="n">
        <f aca="false">VLOOKUP(A403,BD_ORDENES!A:BE,55,FALSE())</f>
        <v>0</v>
      </c>
      <c r="U403" s="68" t="str">
        <f aca="false">VLOOKUP(A403,BD_ORDENES!A:BE,57,FALSE())</f>
        <v>9 INVENTARIO</v>
      </c>
      <c r="V403" s="70"/>
      <c r="W403" s="71"/>
    </row>
    <row r="404" s="72" customFormat="true" ht="98.25" hidden="false" customHeight="true" outlineLevel="0" collapsed="false">
      <c r="A404" s="62" t="n">
        <f aca="false">A403+1</f>
        <v>397</v>
      </c>
      <c r="B404" s="63" t="str">
        <f aca="false">VLOOKUP(A404,BD_ORDENES!A:BG,12,FALSE())</f>
        <v>__export__.product_product_191488_87a2b92b</v>
      </c>
      <c r="C404" s="64" t="n">
        <v>397</v>
      </c>
      <c r="D404" s="65" t="str">
        <f aca="false">VLOOKUP(A404,BD_ORDENES!A:BE,10,0)</f>
        <v>INVENTARIO HOGAR VENECIA</v>
      </c>
      <c r="E404" s="66" t="str">
        <f aca="false">VLOOKUP(A404,BD_ORDENES!A:BG,4,FALSE())</f>
        <v>HVM25881</v>
      </c>
      <c r="F404" s="66" t="str">
        <f aca="false">VLOOKUP(A404,BD_ORDENES!A:BE,56,FALSE())</f>
        <v>S267136</v>
      </c>
      <c r="G404" s="67" t="str">
        <f aca="false">VLOOKUP(A404,BD_ORDENES!A:BE,13,FALSE())</f>
        <v>SOFA TOULOUSE DUSTER PLATA (MATIZ NATURAL)</v>
      </c>
      <c r="H404" s="68" t="str">
        <f aca="false">VLOOKUP(A404,BD_ORDENES!A:BE,17,FALSE())</f>
        <v>SOFA</v>
      </c>
      <c r="I404" s="68" t="str">
        <f aca="false">VLOOKUP(A404,BD_ORDENES!A:BE,18,FALSE())</f>
        <v>TOULOUSE</v>
      </c>
      <c r="J404" s="68" t="str">
        <f aca="false">VLOOKUP(A404,BD_ORDENES!A:BE,19,FALSE())</f>
        <v>DUSTER</v>
      </c>
      <c r="K404" s="68" t="str">
        <f aca="false">VLOOKUP(A404,BD_ORDENES!A:BE,20,FALSE())</f>
        <v>PLATA</v>
      </c>
      <c r="L404" s="68" t="str">
        <f aca="false">VLOOKUP(A404,BD_ORDENES!A:BE,21,FALSE())</f>
        <v>MATIZ-NATURAL</v>
      </c>
      <c r="M404" s="69" t="n">
        <f aca="false">VLOOKUP(A404,BD_ORDENES!A:BE,14,FALSE())</f>
        <v>1</v>
      </c>
      <c r="N404" s="68" t="n">
        <f aca="false">VLOOKUP(A404,BD_ORDENES!A:BE,15,FALSE())</f>
        <v>0</v>
      </c>
      <c r="O404" s="68" t="str">
        <f aca="false">VLOOKUP(A404,BD_ORDENES!A:BE,33,FALSE())</f>
        <v>TRANSPORTADORA</v>
      </c>
      <c r="P404" s="68" t="n">
        <f aca="false">VLOOKUP(A404,BD_ORDENES!A:BE,23,FALSE())</f>
        <v>0</v>
      </c>
      <c r="Q404" s="68" t="str">
        <f aca="false">VLOOKUP(A404,BD_ORDENES!A:BE,52,FALSE())</f>
        <v>Obtener Bajo Pedido (MTO)</v>
      </c>
      <c r="R404" s="68" t="str">
        <f aca="false">VLOOKUP(A404,BD_ORDENES!A:BE,25,FALSE())</f>
        <v>TUNJA</v>
      </c>
      <c r="S404" s="68" t="str">
        <f aca="false">VLOOKUP(A404,BD_ORDENES!A:BE,22,FALSE())</f>
        <v>INVENTARIO HOGAR VENECIA</v>
      </c>
      <c r="T404" s="65" t="n">
        <f aca="false">VLOOKUP(A404,BD_ORDENES!A:BE,55,FALSE())</f>
        <v>0</v>
      </c>
      <c r="U404" s="68" t="str">
        <f aca="false">VLOOKUP(A404,BD_ORDENES!A:BE,57,FALSE())</f>
        <v>9 INVENTARIO</v>
      </c>
      <c r="V404" s="70"/>
      <c r="W404" s="71"/>
    </row>
    <row r="405" s="72" customFormat="true" ht="98.25" hidden="false" customHeight="true" outlineLevel="0" collapsed="false">
      <c r="A405" s="62" t="n">
        <f aca="false">A404+1</f>
        <v>398</v>
      </c>
      <c r="B405" s="63" t="str">
        <f aca="false">VLOOKUP(A405,BD_ORDENES!A:BG,12,FALSE())</f>
        <v>__export__.product_product_331757_8f02b648</v>
      </c>
      <c r="C405" s="64" t="n">
        <v>398</v>
      </c>
      <c r="D405" s="65" t="str">
        <f aca="false">VLOOKUP(A405,BD_ORDENES!A:BE,10,0)</f>
        <v>INVENTARIO HOGAR VENECIA</v>
      </c>
      <c r="E405" s="66" t="str">
        <f aca="false">VLOOKUP(A405,BD_ORDENES!A:BG,4,FALSE())</f>
        <v>HVM25801</v>
      </c>
      <c r="F405" s="66" t="str">
        <f aca="false">VLOOKUP(A405,BD_ORDENES!A:BE,56,FALSE())</f>
        <v>S267056</v>
      </c>
      <c r="G405" s="67" t="str">
        <f aca="false">VLOOKUP(A405,BD_ORDENES!A:BE,13,FALSE())</f>
        <v>SOFA DOMINIC DENVER PLATA (MATIZ NATURAL)</v>
      </c>
      <c r="H405" s="68" t="str">
        <f aca="false">VLOOKUP(A405,BD_ORDENES!A:BE,17,FALSE())</f>
        <v>SOFA</v>
      </c>
      <c r="I405" s="68" t="str">
        <f aca="false">VLOOKUP(A405,BD_ORDENES!A:BE,18,FALSE())</f>
        <v>DOMINIC</v>
      </c>
      <c r="J405" s="68" t="str">
        <f aca="false">VLOOKUP(A405,BD_ORDENES!A:BE,19,FALSE())</f>
        <v>DENVER</v>
      </c>
      <c r="K405" s="68" t="str">
        <f aca="false">VLOOKUP(A405,BD_ORDENES!A:BE,20,FALSE())</f>
        <v>PLATA</v>
      </c>
      <c r="L405" s="68" t="str">
        <f aca="false">VLOOKUP(A405,BD_ORDENES!A:BE,21,FALSE())</f>
        <v>MATIZ-NATURAL</v>
      </c>
      <c r="M405" s="69" t="n">
        <f aca="false">VLOOKUP(A405,BD_ORDENES!A:BE,14,FALSE())</f>
        <v>1</v>
      </c>
      <c r="N405" s="68" t="n">
        <f aca="false">VLOOKUP(A405,BD_ORDENES!A:BE,15,FALSE())</f>
        <v>0</v>
      </c>
      <c r="O405" s="68" t="str">
        <f aca="false">VLOOKUP(A405,BD_ORDENES!A:BE,33,FALSE())</f>
        <v>TRANSPORTADORA</v>
      </c>
      <c r="P405" s="68" t="n">
        <f aca="false">VLOOKUP(A405,BD_ORDENES!A:BE,23,FALSE())</f>
        <v>0</v>
      </c>
      <c r="Q405" s="68" t="str">
        <f aca="false">VLOOKUP(A405,BD_ORDENES!A:BE,52,FALSE())</f>
        <v>Obtener Bajo Pedido (MTO)</v>
      </c>
      <c r="R405" s="68" t="str">
        <f aca="false">VLOOKUP(A405,BD_ORDENES!A:BE,25,FALSE())</f>
        <v>TUNJA</v>
      </c>
      <c r="S405" s="68" t="str">
        <f aca="false">VLOOKUP(A405,BD_ORDENES!A:BE,22,FALSE())</f>
        <v>INVENTARIO HOGAR VENECIA</v>
      </c>
      <c r="T405" s="65" t="n">
        <f aca="false">VLOOKUP(A405,BD_ORDENES!A:BE,55,FALSE())</f>
        <v>0</v>
      </c>
      <c r="U405" s="68" t="str">
        <f aca="false">VLOOKUP(A405,BD_ORDENES!A:BE,57,FALSE())</f>
        <v>9 INVENTARIO</v>
      </c>
      <c r="V405" s="70"/>
      <c r="W405" s="71"/>
    </row>
    <row r="406" s="72" customFormat="true" ht="98.25" hidden="false" customHeight="true" outlineLevel="0" collapsed="false">
      <c r="A406" s="62" t="n">
        <f aca="false">A405+1</f>
        <v>399</v>
      </c>
      <c r="B406" s="63" t="str">
        <f aca="false">VLOOKUP(A406,BD_ORDENES!A:BG,12,FALSE())</f>
        <v>__export__.product_product_331757_8f02b648</v>
      </c>
      <c r="C406" s="64" t="n">
        <v>399</v>
      </c>
      <c r="D406" s="65" t="str">
        <f aca="false">VLOOKUP(A406,BD_ORDENES!A:BE,10,0)</f>
        <v>INVENTARIO HOGAR VENECIA</v>
      </c>
      <c r="E406" s="66" t="str">
        <f aca="false">VLOOKUP(A406,BD_ORDENES!A:BG,4,FALSE())</f>
        <v>HVM25800</v>
      </c>
      <c r="F406" s="66" t="str">
        <f aca="false">VLOOKUP(A406,BD_ORDENES!A:BE,56,FALSE())</f>
        <v>S267055</v>
      </c>
      <c r="G406" s="67" t="str">
        <f aca="false">VLOOKUP(A406,BD_ORDENES!A:BE,13,FALSE())</f>
        <v>SOFA DOMINIC DENVER PLATA (MATIZ NATURAL)</v>
      </c>
      <c r="H406" s="68" t="str">
        <f aca="false">VLOOKUP(A406,BD_ORDENES!A:BE,17,FALSE())</f>
        <v>SOFA</v>
      </c>
      <c r="I406" s="68" t="str">
        <f aca="false">VLOOKUP(A406,BD_ORDENES!A:BE,18,FALSE())</f>
        <v>DOMINIC</v>
      </c>
      <c r="J406" s="68" t="str">
        <f aca="false">VLOOKUP(A406,BD_ORDENES!A:BE,19,FALSE())</f>
        <v>DENVER</v>
      </c>
      <c r="K406" s="68" t="str">
        <f aca="false">VLOOKUP(A406,BD_ORDENES!A:BE,20,FALSE())</f>
        <v>PLATA</v>
      </c>
      <c r="L406" s="68" t="str">
        <f aca="false">VLOOKUP(A406,BD_ORDENES!A:BE,21,FALSE())</f>
        <v>MATIZ-NATURAL</v>
      </c>
      <c r="M406" s="69" t="n">
        <f aca="false">VLOOKUP(A406,BD_ORDENES!A:BE,14,FALSE())</f>
        <v>1</v>
      </c>
      <c r="N406" s="68" t="n">
        <f aca="false">VLOOKUP(A406,BD_ORDENES!A:BE,15,FALSE())</f>
        <v>0</v>
      </c>
      <c r="O406" s="68" t="str">
        <f aca="false">VLOOKUP(A406,BD_ORDENES!A:BE,33,FALSE())</f>
        <v>TRANSPORTADORA</v>
      </c>
      <c r="P406" s="68" t="n">
        <f aca="false">VLOOKUP(A406,BD_ORDENES!A:BE,23,FALSE())</f>
        <v>0</v>
      </c>
      <c r="Q406" s="68" t="str">
        <f aca="false">VLOOKUP(A406,BD_ORDENES!A:BE,52,FALSE())</f>
        <v>Obtener Bajo Pedido (MTO)</v>
      </c>
      <c r="R406" s="68" t="str">
        <f aca="false">VLOOKUP(A406,BD_ORDENES!A:BE,25,FALSE())</f>
        <v>TUNJA</v>
      </c>
      <c r="S406" s="68" t="str">
        <f aca="false">VLOOKUP(A406,BD_ORDENES!A:BE,22,FALSE())</f>
        <v>INVENTARIO HOGAR VENECIA</v>
      </c>
      <c r="T406" s="65" t="n">
        <f aca="false">VLOOKUP(A406,BD_ORDENES!A:BE,55,FALSE())</f>
        <v>0</v>
      </c>
      <c r="U406" s="68" t="str">
        <f aca="false">VLOOKUP(A406,BD_ORDENES!A:BE,57,FALSE())</f>
        <v>9 INVENTARIO</v>
      </c>
      <c r="V406" s="70"/>
      <c r="W406" s="71"/>
    </row>
    <row r="407" s="72" customFormat="true" ht="98.25" hidden="false" customHeight="true" outlineLevel="0" collapsed="false">
      <c r="A407" s="62" t="n">
        <f aca="false">A406+1</f>
        <v>400</v>
      </c>
      <c r="B407" s="63" t="str">
        <f aca="false">VLOOKUP(A407,BD_ORDENES!A:BG,12,FALSE())</f>
        <v>__export__.product_product_331757_8f02b648</v>
      </c>
      <c r="C407" s="64" t="n">
        <v>400</v>
      </c>
      <c r="D407" s="65" t="str">
        <f aca="false">VLOOKUP(A407,BD_ORDENES!A:BE,10,0)</f>
        <v>INVENTARIO HOGAR VENECIA</v>
      </c>
      <c r="E407" s="66" t="str">
        <f aca="false">VLOOKUP(A407,BD_ORDENES!A:BG,4,FALSE())</f>
        <v>HVM25799</v>
      </c>
      <c r="F407" s="66" t="str">
        <f aca="false">VLOOKUP(A407,BD_ORDENES!A:BE,56,FALSE())</f>
        <v>S267054</v>
      </c>
      <c r="G407" s="67" t="str">
        <f aca="false">VLOOKUP(A407,BD_ORDENES!A:BE,13,FALSE())</f>
        <v>SOFA DOMINIC DENVER PLATA (MATIZ NATURAL)</v>
      </c>
      <c r="H407" s="68" t="str">
        <f aca="false">VLOOKUP(A407,BD_ORDENES!A:BE,17,FALSE())</f>
        <v>SOFA</v>
      </c>
      <c r="I407" s="68" t="str">
        <f aca="false">VLOOKUP(A407,BD_ORDENES!A:BE,18,FALSE())</f>
        <v>DOMINIC</v>
      </c>
      <c r="J407" s="68" t="str">
        <f aca="false">VLOOKUP(A407,BD_ORDENES!A:BE,19,FALSE())</f>
        <v>DENVER</v>
      </c>
      <c r="K407" s="68" t="str">
        <f aca="false">VLOOKUP(A407,BD_ORDENES!A:BE,20,FALSE())</f>
        <v>PLATA</v>
      </c>
      <c r="L407" s="68" t="str">
        <f aca="false">VLOOKUP(A407,BD_ORDENES!A:BE,21,FALSE())</f>
        <v>MATIZ-NATURAL</v>
      </c>
      <c r="M407" s="69" t="n">
        <f aca="false">VLOOKUP(A407,BD_ORDENES!A:BE,14,FALSE())</f>
        <v>1</v>
      </c>
      <c r="N407" s="68" t="n">
        <f aca="false">VLOOKUP(A407,BD_ORDENES!A:BE,15,FALSE())</f>
        <v>0</v>
      </c>
      <c r="O407" s="68" t="str">
        <f aca="false">VLOOKUP(A407,BD_ORDENES!A:BE,33,FALSE())</f>
        <v>TRANSPORTADORA</v>
      </c>
      <c r="P407" s="68" t="n">
        <f aca="false">VLOOKUP(A407,BD_ORDENES!A:BE,23,FALSE())</f>
        <v>0</v>
      </c>
      <c r="Q407" s="68" t="str">
        <f aca="false">VLOOKUP(A407,BD_ORDENES!A:BE,52,FALSE())</f>
        <v>Obtener Bajo Pedido (MTO)</v>
      </c>
      <c r="R407" s="68" t="str">
        <f aca="false">VLOOKUP(A407,BD_ORDENES!A:BE,25,FALSE())</f>
        <v>TUNJA</v>
      </c>
      <c r="S407" s="68" t="str">
        <f aca="false">VLOOKUP(A407,BD_ORDENES!A:BE,22,FALSE())</f>
        <v>INVENTARIO HOGAR VENECIA</v>
      </c>
      <c r="T407" s="65" t="n">
        <f aca="false">VLOOKUP(A407,BD_ORDENES!A:BE,55,FALSE())</f>
        <v>0</v>
      </c>
      <c r="U407" s="68" t="str">
        <f aca="false">VLOOKUP(A407,BD_ORDENES!A:BE,57,FALSE())</f>
        <v>9 INVENTARIO</v>
      </c>
      <c r="V407" s="70"/>
      <c r="W407" s="71"/>
    </row>
    <row r="408" s="72" customFormat="true" ht="98.25" hidden="false" customHeight="true" outlineLevel="0" collapsed="false">
      <c r="A408" s="62" t="n">
        <f aca="false">A407+1</f>
        <v>401</v>
      </c>
      <c r="B408" s="63" t="str">
        <f aca="false">VLOOKUP(A408,BD_ORDENES!A:BG,12,FALSE())</f>
        <v>__export__.product_product_331757_8f02b648</v>
      </c>
      <c r="C408" s="64" t="n">
        <v>401</v>
      </c>
      <c r="D408" s="65" t="str">
        <f aca="false">VLOOKUP(A408,BD_ORDENES!A:BE,10,0)</f>
        <v>INVENTARIO HOGAR VENECIA</v>
      </c>
      <c r="E408" s="66" t="str">
        <f aca="false">VLOOKUP(A408,BD_ORDENES!A:BG,4,FALSE())</f>
        <v>HVM25798</v>
      </c>
      <c r="F408" s="66" t="str">
        <f aca="false">VLOOKUP(A408,BD_ORDENES!A:BE,56,FALSE())</f>
        <v>S267053</v>
      </c>
      <c r="G408" s="67" t="str">
        <f aca="false">VLOOKUP(A408,BD_ORDENES!A:BE,13,FALSE())</f>
        <v>SOFA DOMINIC DENVER PLATA (MATIZ NATURAL)</v>
      </c>
      <c r="H408" s="68" t="str">
        <f aca="false">VLOOKUP(A408,BD_ORDENES!A:BE,17,FALSE())</f>
        <v>SOFA</v>
      </c>
      <c r="I408" s="68" t="str">
        <f aca="false">VLOOKUP(A408,BD_ORDENES!A:BE,18,FALSE())</f>
        <v>DOMINIC</v>
      </c>
      <c r="J408" s="68" t="str">
        <f aca="false">VLOOKUP(A408,BD_ORDENES!A:BE,19,FALSE())</f>
        <v>DENVER</v>
      </c>
      <c r="K408" s="68" t="str">
        <f aca="false">VLOOKUP(A408,BD_ORDENES!A:BE,20,FALSE())</f>
        <v>PLATA</v>
      </c>
      <c r="L408" s="68" t="str">
        <f aca="false">VLOOKUP(A408,BD_ORDENES!A:BE,21,FALSE())</f>
        <v>MATIZ-NATURAL</v>
      </c>
      <c r="M408" s="69" t="n">
        <f aca="false">VLOOKUP(A408,BD_ORDENES!A:BE,14,FALSE())</f>
        <v>1</v>
      </c>
      <c r="N408" s="68" t="n">
        <f aca="false">VLOOKUP(A408,BD_ORDENES!A:BE,15,FALSE())</f>
        <v>0</v>
      </c>
      <c r="O408" s="68" t="str">
        <f aca="false">VLOOKUP(A408,BD_ORDENES!A:BE,33,FALSE())</f>
        <v>TRANSPORTADORA</v>
      </c>
      <c r="P408" s="68" t="n">
        <f aca="false">VLOOKUP(A408,BD_ORDENES!A:BE,23,FALSE())</f>
        <v>0</v>
      </c>
      <c r="Q408" s="68" t="str">
        <f aca="false">VLOOKUP(A408,BD_ORDENES!A:BE,52,FALSE())</f>
        <v>Obtener Bajo Pedido (MTO)</v>
      </c>
      <c r="R408" s="68" t="str">
        <f aca="false">VLOOKUP(A408,BD_ORDENES!A:BE,25,FALSE())</f>
        <v>TUNJA</v>
      </c>
      <c r="S408" s="68" t="str">
        <f aca="false">VLOOKUP(A408,BD_ORDENES!A:BE,22,FALSE())</f>
        <v>INVENTARIO HOGAR VENECIA</v>
      </c>
      <c r="T408" s="65" t="n">
        <f aca="false">VLOOKUP(A408,BD_ORDENES!A:BE,55,FALSE())</f>
        <v>0</v>
      </c>
      <c r="U408" s="68" t="str">
        <f aca="false">VLOOKUP(A408,BD_ORDENES!A:BE,57,FALSE())</f>
        <v>9 INVENTARIO</v>
      </c>
      <c r="V408" s="70"/>
      <c r="W408" s="71"/>
    </row>
    <row r="409" s="72" customFormat="true" ht="98.25" hidden="false" customHeight="true" outlineLevel="0" collapsed="false">
      <c r="A409" s="62" t="n">
        <f aca="false">A408+1</f>
        <v>402</v>
      </c>
      <c r="B409" s="63" t="str">
        <f aca="false">VLOOKUP(A409,BD_ORDENES!A:BG,12,FALSE())</f>
        <v>__export__.product_product_331757_8f02b648</v>
      </c>
      <c r="C409" s="64" t="n">
        <v>402</v>
      </c>
      <c r="D409" s="65" t="str">
        <f aca="false">VLOOKUP(A409,BD_ORDENES!A:BE,10,0)</f>
        <v>INVENTARIO HOGAR VENECIA</v>
      </c>
      <c r="E409" s="66" t="str">
        <f aca="false">VLOOKUP(A409,BD_ORDENES!A:BG,4,FALSE())</f>
        <v>HVM25797</v>
      </c>
      <c r="F409" s="66" t="str">
        <f aca="false">VLOOKUP(A409,BD_ORDENES!A:BE,56,FALSE())</f>
        <v>S267052</v>
      </c>
      <c r="G409" s="67" t="str">
        <f aca="false">VLOOKUP(A409,BD_ORDENES!A:BE,13,FALSE())</f>
        <v>SOFA DOMINIC DENVER PLATA (MATIZ NATURAL)</v>
      </c>
      <c r="H409" s="68" t="str">
        <f aca="false">VLOOKUP(A409,BD_ORDENES!A:BE,17,FALSE())</f>
        <v>SOFA</v>
      </c>
      <c r="I409" s="68" t="str">
        <f aca="false">VLOOKUP(A409,BD_ORDENES!A:BE,18,FALSE())</f>
        <v>DOMINIC</v>
      </c>
      <c r="J409" s="68" t="str">
        <f aca="false">VLOOKUP(A409,BD_ORDENES!A:BE,19,FALSE())</f>
        <v>DENVER</v>
      </c>
      <c r="K409" s="68" t="str">
        <f aca="false">VLOOKUP(A409,BD_ORDENES!A:BE,20,FALSE())</f>
        <v>PLATA</v>
      </c>
      <c r="L409" s="68" t="str">
        <f aca="false">VLOOKUP(A409,BD_ORDENES!A:BE,21,FALSE())</f>
        <v>MATIZ-NATURAL</v>
      </c>
      <c r="M409" s="69" t="n">
        <f aca="false">VLOOKUP(A409,BD_ORDENES!A:BE,14,FALSE())</f>
        <v>1</v>
      </c>
      <c r="N409" s="68" t="n">
        <f aca="false">VLOOKUP(A409,BD_ORDENES!A:BE,15,FALSE())</f>
        <v>0</v>
      </c>
      <c r="O409" s="68" t="str">
        <f aca="false">VLOOKUP(A409,BD_ORDENES!A:BE,33,FALSE())</f>
        <v>TRANSPORTADORA</v>
      </c>
      <c r="P409" s="68" t="n">
        <f aca="false">VLOOKUP(A409,BD_ORDENES!A:BE,23,FALSE())</f>
        <v>0</v>
      </c>
      <c r="Q409" s="68" t="str">
        <f aca="false">VLOOKUP(A409,BD_ORDENES!A:BE,52,FALSE())</f>
        <v>Obtener Bajo Pedido (MTO)</v>
      </c>
      <c r="R409" s="68" t="str">
        <f aca="false">VLOOKUP(A409,BD_ORDENES!A:BE,25,FALSE())</f>
        <v>TUNJA</v>
      </c>
      <c r="S409" s="68" t="str">
        <f aca="false">VLOOKUP(A409,BD_ORDENES!A:BE,22,FALSE())</f>
        <v>INVENTARIO HOGAR VENECIA</v>
      </c>
      <c r="T409" s="65" t="n">
        <f aca="false">VLOOKUP(A409,BD_ORDENES!A:BE,55,FALSE())</f>
        <v>0</v>
      </c>
      <c r="U409" s="68" t="str">
        <f aca="false">VLOOKUP(A409,BD_ORDENES!A:BE,57,FALSE())</f>
        <v>9 INVENTARIO</v>
      </c>
      <c r="V409" s="70"/>
      <c r="W409" s="71"/>
    </row>
    <row r="410" s="72" customFormat="true" ht="98.25" hidden="false" customHeight="true" outlineLevel="0" collapsed="false">
      <c r="A410" s="62" t="n">
        <f aca="false">A409+1</f>
        <v>403</v>
      </c>
      <c r="B410" s="63" t="str">
        <f aca="false">VLOOKUP(A410,BD_ORDENES!A:BG,12,FALSE())</f>
        <v>__export__.product_product_299494_d3664c64</v>
      </c>
      <c r="C410" s="64" t="n">
        <v>403</v>
      </c>
      <c r="D410" s="65" t="str">
        <f aca="false">VLOOKUP(A410,BD_ORDENES!A:BE,10,0)</f>
        <v>GARANTIA</v>
      </c>
      <c r="E410" s="66" t="str">
        <f aca="false">VLOOKUP(A410,BD_ORDENES!A:BG,4,FALSE())</f>
        <v>MP768-TIENDA CEDRITOS</v>
      </c>
      <c r="F410" s="66" t="str">
        <f aca="false">VLOOKUP(A410,BD_ORDENES!A:BE,56,FALSE())</f>
        <v>S266354</v>
      </c>
      <c r="G410" s="67" t="str">
        <f aca="false">VLOOKUP(A410,BD_ORDENES!A:BE,13,FALSE())</f>
        <v>MESA IRLANDA JG4 BLANCO (MATIZ NATURAL)</v>
      </c>
      <c r="H410" s="68" t="str">
        <f aca="false">VLOOKUP(A410,BD_ORDENES!A:BE,17,FALSE())</f>
        <v>MESA</v>
      </c>
      <c r="I410" s="68" t="str">
        <f aca="false">VLOOKUP(A410,BD_ORDENES!A:BE,18,FALSE())</f>
        <v>IRLANDA-JG4</v>
      </c>
      <c r="J410" s="68" t="n">
        <f aca="false">VLOOKUP(A410,BD_ORDENES!A:BE,19,FALSE())</f>
        <v>0</v>
      </c>
      <c r="K410" s="68" t="str">
        <f aca="false">VLOOKUP(A410,BD_ORDENES!A:BE,20,FALSE())</f>
        <v>BLANCO</v>
      </c>
      <c r="L410" s="68" t="str">
        <f aca="false">VLOOKUP(A410,BD_ORDENES!A:BE,21,FALSE())</f>
        <v>MATIZ-NATURAL</v>
      </c>
      <c r="M410" s="69" t="n">
        <f aca="false">VLOOKUP(A410,BD_ORDENES!A:BE,14,FALSE())</f>
        <v>1</v>
      </c>
      <c r="N410" s="68" t="n">
        <f aca="false">VLOOKUP(A410,BD_ORDENES!A:BE,15,FALSE())</f>
        <v>0</v>
      </c>
      <c r="O410" s="68" t="str">
        <f aca="false">VLOOKUP(A410,BD_ORDENES!A:BE,33,FALSE())</f>
        <v>TRANSPORTADORA HVM BGT</v>
      </c>
      <c r="P410" s="68" t="n">
        <f aca="false">VLOOKUP(A410,BD_ORDENES!A:BE,23,FALSE())</f>
        <v>0</v>
      </c>
      <c r="Q410" s="68" t="str">
        <f aca="false">VLOOKUP(A410,BD_ORDENES!A:BE,52,FALSE())</f>
        <v>Obtener Bajo Pedido (MTO)</v>
      </c>
      <c r="R410" s="68" t="str">
        <f aca="false">VLOOKUP(A410,BD_ORDENES!A:BE,25,FALSE())</f>
        <v>BOGOTÁ</v>
      </c>
      <c r="S410" s="68" t="str">
        <f aca="false">VLOOKUP(A410,BD_ORDENES!A:BE,22,FALSE())</f>
        <v>ANA QUINTERO JAIME</v>
      </c>
      <c r="T410" s="65" t="str">
        <f aca="false">VLOOKUP(A410,BD_ORDENES!A:BE,55,FALSE())</f>
        <v>BODEGA LISTO</v>
      </c>
      <c r="U410" s="68" t="str">
        <f aca="false">VLOOKUP(A410,BD_ORDENES!A:BE,57,FALSE())</f>
        <v>8 VENECIA</v>
      </c>
      <c r="V410" s="70"/>
      <c r="W410" s="71"/>
    </row>
    <row r="411" s="72" customFormat="true" ht="98.25" hidden="false" customHeight="true" outlineLevel="0" collapsed="false">
      <c r="A411" s="62" t="n">
        <f aca="false">A410+1</f>
        <v>404</v>
      </c>
      <c r="B411" s="63" t="str">
        <f aca="false">VLOOKUP(A411,BD_ORDENES!A:BG,12,FALSE())</f>
        <v>__export__.product_product_329770_24cdd7f5</v>
      </c>
      <c r="C411" s="64" t="n">
        <v>404</v>
      </c>
      <c r="D411" s="65" t="str">
        <f aca="false">VLOOKUP(A411,BD_ORDENES!A:BE,10,0)</f>
        <v>GARANTIA</v>
      </c>
      <c r="E411" s="66" t="str">
        <f aca="false">VLOOKUP(A411,BD_ORDENES!A:BG,4,FALSE())</f>
        <v>MP768-TIENDA CEDRITOS</v>
      </c>
      <c r="F411" s="66" t="str">
        <f aca="false">VLOOKUP(A411,BD_ORDENES!A:BE,56,FALSE())</f>
        <v>S266354</v>
      </c>
      <c r="G411" s="67" t="str">
        <f aca="false">VLOOKUP(A411,BD_ORDENES!A:BE,13,FALSE())</f>
        <v>BASE POLTRONA SHANGHAI (MATIZ NATURAL)</v>
      </c>
      <c r="H411" s="68" t="n">
        <f aca="false">VLOOKUP(A411,BD_ORDENES!A:BE,17,FALSE())</f>
        <v>0</v>
      </c>
      <c r="I411" s="68" t="str">
        <f aca="false">VLOOKUP(A411,BD_ORDENES!A:BE,18,FALSE())</f>
        <v>BASE-POLTRONA-SHANGHAI</v>
      </c>
      <c r="J411" s="68" t="n">
        <f aca="false">VLOOKUP(A411,BD_ORDENES!A:BE,19,FALSE())</f>
        <v>0</v>
      </c>
      <c r="K411" s="68" t="n">
        <f aca="false">VLOOKUP(A411,BD_ORDENES!A:BE,20,FALSE())</f>
        <v>0</v>
      </c>
      <c r="L411" s="68" t="str">
        <f aca="false">VLOOKUP(A411,BD_ORDENES!A:BE,21,FALSE())</f>
        <v>MATIZ-NATURAL</v>
      </c>
      <c r="M411" s="69" t="n">
        <f aca="false">VLOOKUP(A411,BD_ORDENES!A:BE,14,FALSE())</f>
        <v>1</v>
      </c>
      <c r="N411" s="68" t="n">
        <f aca="false">VLOOKUP(A411,BD_ORDENES!A:BE,15,FALSE())</f>
        <v>0</v>
      </c>
      <c r="O411" s="68" t="str">
        <f aca="false">VLOOKUP(A411,BD_ORDENES!A:BE,33,FALSE())</f>
        <v>TRANSPORTADORA HVM BGT</v>
      </c>
      <c r="P411" s="68" t="n">
        <f aca="false">VLOOKUP(A411,BD_ORDENES!A:BE,23,FALSE())</f>
        <v>0</v>
      </c>
      <c r="Q411" s="68" t="str">
        <f aca="false">VLOOKUP(A411,BD_ORDENES!A:BE,52,FALSE())</f>
        <v>Obtener Bajo Pedido (MTO)</v>
      </c>
      <c r="R411" s="68" t="str">
        <f aca="false">VLOOKUP(A411,BD_ORDENES!A:BE,25,FALSE())</f>
        <v>BOGOTÁ</v>
      </c>
      <c r="S411" s="68" t="str">
        <f aca="false">VLOOKUP(A411,BD_ORDENES!A:BE,22,FALSE())</f>
        <v>ANA QUINTERO JAIME</v>
      </c>
      <c r="T411" s="65" t="str">
        <f aca="false">VLOOKUP(A411,BD_ORDENES!A:BE,55,FALSE())</f>
        <v>BODEGA LISTO</v>
      </c>
      <c r="U411" s="68" t="str">
        <f aca="false">VLOOKUP(A411,BD_ORDENES!A:BE,57,FALSE())</f>
        <v>8 VENECIA</v>
      </c>
      <c r="V411" s="70"/>
      <c r="W411" s="71"/>
    </row>
    <row r="412" s="72" customFormat="true" ht="98.25" hidden="false" customHeight="true" outlineLevel="0" collapsed="false">
      <c r="A412" s="62" t="n">
        <f aca="false">A411+1</f>
        <v>405</v>
      </c>
      <c r="B412" s="63" t="str">
        <f aca="false">VLOOKUP(A412,BD_ORDENES!A:BG,12,FALSE())</f>
        <v>__export__.product_product_324259_25e00fad</v>
      </c>
      <c r="C412" s="64" t="n">
        <v>405</v>
      </c>
      <c r="D412" s="65" t="str">
        <f aca="false">VLOOKUP(A412,BD_ORDENES!A:BE,10,0)</f>
        <v>VF</v>
      </c>
      <c r="E412" s="66" t="str">
        <f aca="false">VLOOKUP(A412,BD_ORDENES!A:BG,4,FALSE())</f>
        <v>RP3256</v>
      </c>
      <c r="F412" s="66" t="str">
        <f aca="false">VLOOKUP(A412,BD_ORDENES!A:BE,56,FALSE())</f>
        <v>S265730</v>
      </c>
      <c r="G412" s="67" t="str">
        <f aca="false">VLOOKUP(A412,BD_ORDENES!A:BE,13,FALSE())</f>
        <v>COJIN VENECIA SKY BEIGE</v>
      </c>
      <c r="H412" s="68" t="str">
        <f aca="false">VLOOKUP(A412,BD_ORDENES!A:BE,17,FALSE())</f>
        <v>COJIN</v>
      </c>
      <c r="I412" s="68" t="str">
        <f aca="false">VLOOKUP(A412,BD_ORDENES!A:BE,18,FALSE())</f>
        <v>VENECIA</v>
      </c>
      <c r="J412" s="68" t="str">
        <f aca="false">VLOOKUP(A412,BD_ORDENES!A:BE,19,FALSE())</f>
        <v>SKY</v>
      </c>
      <c r="K412" s="68" t="str">
        <f aca="false">VLOOKUP(A412,BD_ORDENES!A:BE,20,FALSE())</f>
        <v>BEIGE</v>
      </c>
      <c r="L412" s="68" t="n">
        <f aca="false">VLOOKUP(A412,BD_ORDENES!A:BE,21,FALSE())</f>
        <v>0</v>
      </c>
      <c r="M412" s="69" t="n">
        <f aca="false">VLOOKUP(A412,BD_ORDENES!A:BE,14,FALSE())</f>
        <v>3</v>
      </c>
      <c r="N412" s="68" t="n">
        <f aca="false">VLOOKUP(A412,BD_ORDENES!A:BE,15,FALSE())</f>
        <v>0</v>
      </c>
      <c r="O412" s="68" t="str">
        <f aca="false">VLOOKUP(A412,BD_ORDENES!A:BE,33,FALSE())</f>
        <v>RECOGE EN FABRICA - SALDO CONTRAENTREGA</v>
      </c>
      <c r="P412" s="68" t="n">
        <f aca="false">VLOOKUP(A412,BD_ORDENES!A:BE,23,FALSE())</f>
        <v>0</v>
      </c>
      <c r="Q412" s="68" t="str">
        <f aca="false">VLOOKUP(A412,BD_ORDENES!A:BE,52,FALSE())</f>
        <v>Obtener Bajo Pedido (MTO)</v>
      </c>
      <c r="R412" s="68" t="str">
        <f aca="false">VLOOKUP(A412,BD_ORDENES!A:BE,25,FALSE())</f>
        <v>TUNJA</v>
      </c>
      <c r="S412" s="68" t="str">
        <f aca="false">VLOOKUP(A412,BD_ORDENES!A:BE,22,FALSE())</f>
        <v>JUBER FERNANDO HERNANDEZ FAJARDO</v>
      </c>
      <c r="T412" s="65" t="str">
        <f aca="false">VLOOKUP(A412,BD_ORDENES!A:BE,55,FALSE())</f>
        <v>BODEGA LISTO</v>
      </c>
      <c r="U412" s="68" t="str">
        <f aca="false">VLOOKUP(A412,BD_ORDENES!A:BE,57,FALSE())</f>
        <v>0 BODEGA</v>
      </c>
      <c r="V412" s="70"/>
      <c r="W412" s="71"/>
    </row>
    <row r="413" s="72" customFormat="true" ht="98.25" hidden="false" customHeight="true" outlineLevel="0" collapsed="false">
      <c r="A413" s="62" t="n">
        <f aca="false">A412+1</f>
        <v>406</v>
      </c>
      <c r="B413" s="63" t="str">
        <f aca="false">VLOOKUP(A413,BD_ORDENES!A:BG,12,FALSE())</f>
        <v>__export__.product_product_194291_e5649699</v>
      </c>
      <c r="C413" s="64" t="n">
        <v>406</v>
      </c>
      <c r="D413" s="65" t="str">
        <f aca="false">VLOOKUP(A413,BD_ORDENES!A:BE,10,0)</f>
        <v>TIENDA GALERIAS</v>
      </c>
      <c r="E413" s="66" t="str">
        <f aca="false">VLOOKUP(A413,BD_ORDENES!A:BG,4,FALSE())</f>
        <v>AR2348</v>
      </c>
      <c r="F413" s="66" t="str">
        <f aca="false">VLOOKUP(A413,BD_ORDENES!A:BE,56,FALSE())</f>
        <v>S265601</v>
      </c>
      <c r="G413" s="67" t="str">
        <f aca="false">VLOOKUP(A413,BD_ORDENES!A:BE,13,FALSE())</f>
        <v>SOFA MUNICH DICOSTA GRIS (MATIZ NATURAL)</v>
      </c>
      <c r="H413" s="68" t="str">
        <f aca="false">VLOOKUP(A413,BD_ORDENES!A:BE,17,FALSE())</f>
        <v>SOFA</v>
      </c>
      <c r="I413" s="68" t="str">
        <f aca="false">VLOOKUP(A413,BD_ORDENES!A:BE,18,FALSE())</f>
        <v>MUNICH</v>
      </c>
      <c r="J413" s="68" t="str">
        <f aca="false">VLOOKUP(A413,BD_ORDENES!A:BE,19,FALSE())</f>
        <v>DICOSTA</v>
      </c>
      <c r="K413" s="68" t="str">
        <f aca="false">VLOOKUP(A413,BD_ORDENES!A:BE,20,FALSE())</f>
        <v>GRIS</v>
      </c>
      <c r="L413" s="68" t="str">
        <f aca="false">VLOOKUP(A413,BD_ORDENES!A:BE,21,FALSE())</f>
        <v>MATIZ-NATURAL</v>
      </c>
      <c r="M413" s="69" t="n">
        <f aca="false">VLOOKUP(A413,BD_ORDENES!A:BE,14,FALSE())</f>
        <v>1</v>
      </c>
      <c r="N413" s="68" t="n">
        <f aca="false">VLOOKUP(A413,BD_ORDENES!A:BE,15,FALSE())</f>
        <v>0</v>
      </c>
      <c r="O413" s="68" t="str">
        <f aca="false">VLOOKUP(A413,BD_ORDENES!A:BE,33,FALSE())</f>
        <v>TRANSPORTADORA HVM BGT</v>
      </c>
      <c r="P413" s="68" t="n">
        <f aca="false">VLOOKUP(A413,BD_ORDENES!A:BE,23,FALSE())</f>
        <v>0</v>
      </c>
      <c r="Q413" s="68" t="str">
        <f aca="false">VLOOKUP(A413,BD_ORDENES!A:BE,52,FALSE())</f>
        <v>Obtener Bajo Pedido (MTO)</v>
      </c>
      <c r="R413" s="68" t="str">
        <f aca="false">VLOOKUP(A413,BD_ORDENES!A:BE,25,FALSE())</f>
        <v>BOGOTA</v>
      </c>
      <c r="S413" s="68" t="str">
        <f aca="false">VLOOKUP(A413,BD_ORDENES!A:BE,22,FALSE())</f>
        <v>KARLA VIVIANA CARREÑO POLANIA</v>
      </c>
      <c r="T413" s="65" t="str">
        <f aca="false">VLOOKUP(A413,BD_ORDENES!A:BE,55,FALSE())</f>
        <v>BODEGA LISTO</v>
      </c>
      <c r="U413" s="68" t="str">
        <f aca="false">VLOOKUP(A413,BD_ORDENES!A:BE,57,FALSE())</f>
        <v>8 VENECIA</v>
      </c>
      <c r="V413" s="70"/>
      <c r="W413" s="71"/>
    </row>
    <row r="414" s="72" customFormat="true" ht="98.25" hidden="false" customHeight="true" outlineLevel="0" collapsed="false">
      <c r="A414" s="62" t="n">
        <f aca="false">A413+1</f>
        <v>407</v>
      </c>
      <c r="B414" s="63" t="str">
        <f aca="false">VLOOKUP(A414,BD_ORDENES!A:BG,12,FALSE())</f>
        <v>__export__.product_product_163864_ce429eb8</v>
      </c>
      <c r="C414" s="64" t="n">
        <v>407</v>
      </c>
      <c r="D414" s="65" t="str">
        <f aca="false">VLOOKUP(A414,BD_ORDENES!A:BE,10,0)</f>
        <v>TIENDA GALERIAS</v>
      </c>
      <c r="E414" s="66" t="str">
        <f aca="false">VLOOKUP(A414,BD_ORDENES!A:BG,4,FALSE())</f>
        <v>AR2348</v>
      </c>
      <c r="F414" s="66" t="str">
        <f aca="false">VLOOKUP(A414,BD_ORDENES!A:BE,56,FALSE())</f>
        <v>S265601</v>
      </c>
      <c r="G414" s="67" t="str">
        <f aca="false">VLOOKUP(A414,BD_ORDENES!A:BE,13,FALSE())</f>
        <v>MESA TIZA JG4 BLANCO (MATIZ NATURAL)</v>
      </c>
      <c r="H414" s="68" t="str">
        <f aca="false">VLOOKUP(A414,BD_ORDENES!A:BE,17,FALSE())</f>
        <v>MESA</v>
      </c>
      <c r="I414" s="68" t="str">
        <f aca="false">VLOOKUP(A414,BD_ORDENES!A:BE,18,FALSE())</f>
        <v>TIZA-JG4</v>
      </c>
      <c r="J414" s="68" t="n">
        <f aca="false">VLOOKUP(A414,BD_ORDENES!A:BE,19,FALSE())</f>
        <v>0</v>
      </c>
      <c r="K414" s="68" t="str">
        <f aca="false">VLOOKUP(A414,BD_ORDENES!A:BE,20,FALSE())</f>
        <v>BLANCO</v>
      </c>
      <c r="L414" s="68" t="str">
        <f aca="false">VLOOKUP(A414,BD_ORDENES!A:BE,21,FALSE())</f>
        <v>MATIZ-NATURAL</v>
      </c>
      <c r="M414" s="69" t="n">
        <f aca="false">VLOOKUP(A414,BD_ORDENES!A:BE,14,FALSE())</f>
        <v>1</v>
      </c>
      <c r="N414" s="68" t="n">
        <f aca="false">VLOOKUP(A414,BD_ORDENES!A:BE,15,FALSE())</f>
        <v>0</v>
      </c>
      <c r="O414" s="68" t="str">
        <f aca="false">VLOOKUP(A414,BD_ORDENES!A:BE,33,FALSE())</f>
        <v>TRANSPORTADORA HVM BGT</v>
      </c>
      <c r="P414" s="68" t="n">
        <f aca="false">VLOOKUP(A414,BD_ORDENES!A:BE,23,FALSE())</f>
        <v>0</v>
      </c>
      <c r="Q414" s="68" t="str">
        <f aca="false">VLOOKUP(A414,BD_ORDENES!A:BE,52,FALSE())</f>
        <v>Obtener Bajo Pedido (MTO)</v>
      </c>
      <c r="R414" s="68" t="str">
        <f aca="false">VLOOKUP(A414,BD_ORDENES!A:BE,25,FALSE())</f>
        <v>BOGOTA</v>
      </c>
      <c r="S414" s="68" t="str">
        <f aca="false">VLOOKUP(A414,BD_ORDENES!A:BE,22,FALSE())</f>
        <v>KARLA VIVIANA CARREÑO POLANIA</v>
      </c>
      <c r="T414" s="65" t="str">
        <f aca="false">VLOOKUP(A414,BD_ORDENES!A:BE,55,FALSE())</f>
        <v>BODEGA LISTO</v>
      </c>
      <c r="U414" s="68" t="str">
        <f aca="false">VLOOKUP(A414,BD_ORDENES!A:BE,57,FALSE())</f>
        <v>8 VENECIA</v>
      </c>
      <c r="V414" s="70"/>
      <c r="W414" s="71"/>
    </row>
    <row r="415" s="72" customFormat="true" ht="98.25" hidden="false" customHeight="true" outlineLevel="0" collapsed="false">
      <c r="A415" s="62" t="n">
        <f aca="false">A414+1</f>
        <v>408</v>
      </c>
      <c r="B415" s="63" t="str">
        <f aca="false">VLOOKUP(A415,BD_ORDENES!A:BG,12,FALSE())</f>
        <v>__export__.product_product_327011_b88b07c9</v>
      </c>
      <c r="C415" s="64" t="n">
        <v>408</v>
      </c>
      <c r="D415" s="65" t="str">
        <f aca="false">VLOOKUP(A415,BD_ORDENES!A:BE,10,0)</f>
        <v>TIENDA GALERIAS</v>
      </c>
      <c r="E415" s="66" t="str">
        <f aca="false">VLOOKUP(A415,BD_ORDENES!A:BG,4,FALSE())</f>
        <v>AR2348</v>
      </c>
      <c r="F415" s="66" t="str">
        <f aca="false">VLOOKUP(A415,BD_ORDENES!A:BE,56,FALSE())</f>
        <v>S265601</v>
      </c>
      <c r="G415" s="67" t="str">
        <f aca="false">VLOOKUP(A415,BD_ORDENES!A:BE,13,FALSE())</f>
        <v>SILLA BANFIELD GRIS (MATIZ NATURAL)</v>
      </c>
      <c r="H415" s="68" t="str">
        <f aca="false">VLOOKUP(A415,BD_ORDENES!A:BE,17,FALSE())</f>
        <v>SILLA</v>
      </c>
      <c r="I415" s="68" t="str">
        <f aca="false">VLOOKUP(A415,BD_ORDENES!A:BE,18,FALSE())</f>
        <v>BANFIELD</v>
      </c>
      <c r="J415" s="68" t="n">
        <f aca="false">VLOOKUP(A415,BD_ORDENES!A:BE,19,FALSE())</f>
        <v>0</v>
      </c>
      <c r="K415" s="68" t="str">
        <f aca="false">VLOOKUP(A415,BD_ORDENES!A:BE,20,FALSE())</f>
        <v>GRIS</v>
      </c>
      <c r="L415" s="68" t="str">
        <f aca="false">VLOOKUP(A415,BD_ORDENES!A:BE,21,FALSE())</f>
        <v>MATIZ-NATURAL</v>
      </c>
      <c r="M415" s="69" t="n">
        <f aca="false">VLOOKUP(A415,BD_ORDENES!A:BE,14,FALSE())</f>
        <v>4</v>
      </c>
      <c r="N415" s="68" t="n">
        <f aca="false">VLOOKUP(A415,BD_ORDENES!A:BE,15,FALSE())</f>
        <v>0</v>
      </c>
      <c r="O415" s="68" t="str">
        <f aca="false">VLOOKUP(A415,BD_ORDENES!A:BE,33,FALSE())</f>
        <v>TRANSPORTADORA HVM BGT</v>
      </c>
      <c r="P415" s="68" t="n">
        <f aca="false">VLOOKUP(A415,BD_ORDENES!A:BE,23,FALSE())</f>
        <v>0</v>
      </c>
      <c r="Q415" s="68" t="str">
        <f aca="false">VLOOKUP(A415,BD_ORDENES!A:BE,52,FALSE())</f>
        <v>Retiro Inventario Bodega</v>
      </c>
      <c r="R415" s="68" t="str">
        <f aca="false">VLOOKUP(A415,BD_ORDENES!A:BE,25,FALSE())</f>
        <v>BOGOTA</v>
      </c>
      <c r="S415" s="68" t="str">
        <f aca="false">VLOOKUP(A415,BD_ORDENES!A:BE,22,FALSE())</f>
        <v>KARLA VIVIANA CARREÑO POLANIA</v>
      </c>
      <c r="T415" s="65" t="str">
        <f aca="false">VLOOKUP(A415,BD_ORDENES!A:BE,55,FALSE())</f>
        <v>BODEGA LISTO</v>
      </c>
      <c r="U415" s="68" t="str">
        <f aca="false">VLOOKUP(A415,BD_ORDENES!A:BE,57,FALSE())</f>
        <v>8 VENECIA</v>
      </c>
      <c r="V415" s="70"/>
      <c r="W415" s="71"/>
    </row>
    <row r="416" s="72" customFormat="true" ht="98.25" hidden="false" customHeight="true" outlineLevel="0" collapsed="false">
      <c r="A416" s="62" t="n">
        <f aca="false">A415+1</f>
        <v>409</v>
      </c>
      <c r="B416" s="63" t="str">
        <f aca="false">VLOOKUP(A416,BD_ORDENES!A:BG,12,FALSE())</f>
        <v>__export__.product_product_188070_56026b5d</v>
      </c>
      <c r="C416" s="64" t="n">
        <v>409</v>
      </c>
      <c r="D416" s="65" t="str">
        <f aca="false">VLOOKUP(A416,BD_ORDENES!A:BE,10,0)</f>
        <v>TIENDA GALERIAS</v>
      </c>
      <c r="E416" s="66" t="str">
        <f aca="false">VLOOKUP(A416,BD_ORDENES!A:BG,4,FALSE())</f>
        <v>AR2348</v>
      </c>
      <c r="F416" s="66" t="str">
        <f aca="false">VLOOKUP(A416,BD_ORDENES!A:BE,56,FALSE())</f>
        <v>S265601</v>
      </c>
      <c r="G416" s="67" t="str">
        <f aca="false">VLOOKUP(A416,BD_ORDENES!A:BE,13,FALSE())</f>
        <v>COJIN VENECIA DICOSTA AQUA</v>
      </c>
      <c r="H416" s="68" t="str">
        <f aca="false">VLOOKUP(A416,BD_ORDENES!A:BE,17,FALSE())</f>
        <v>COJIN</v>
      </c>
      <c r="I416" s="68" t="str">
        <f aca="false">VLOOKUP(A416,BD_ORDENES!A:BE,18,FALSE())</f>
        <v>VENECIA</v>
      </c>
      <c r="J416" s="68" t="str">
        <f aca="false">VLOOKUP(A416,BD_ORDENES!A:BE,19,FALSE())</f>
        <v>DICOSTA</v>
      </c>
      <c r="K416" s="68" t="str">
        <f aca="false">VLOOKUP(A416,BD_ORDENES!A:BE,20,FALSE())</f>
        <v>AQUA</v>
      </c>
      <c r="L416" s="68" t="n">
        <f aca="false">VLOOKUP(A416,BD_ORDENES!A:BE,21,FALSE())</f>
        <v>0</v>
      </c>
      <c r="M416" s="69" t="n">
        <f aca="false">VLOOKUP(A416,BD_ORDENES!A:BE,14,FALSE())</f>
        <v>1</v>
      </c>
      <c r="N416" s="68" t="n">
        <f aca="false">VLOOKUP(A416,BD_ORDENES!A:BE,15,FALSE())</f>
        <v>0</v>
      </c>
      <c r="O416" s="68" t="str">
        <f aca="false">VLOOKUP(A416,BD_ORDENES!A:BE,33,FALSE())</f>
        <v>TRANSPORTADORA HVM BGT</v>
      </c>
      <c r="P416" s="68" t="n">
        <f aca="false">VLOOKUP(A416,BD_ORDENES!A:BE,23,FALSE())</f>
        <v>0</v>
      </c>
      <c r="Q416" s="68" t="str">
        <f aca="false">VLOOKUP(A416,BD_ORDENES!A:BE,52,FALSE())</f>
        <v>Obtener Bajo Pedido (MTO)</v>
      </c>
      <c r="R416" s="68" t="str">
        <f aca="false">VLOOKUP(A416,BD_ORDENES!A:BE,25,FALSE())</f>
        <v>BOGOTA</v>
      </c>
      <c r="S416" s="68" t="str">
        <f aca="false">VLOOKUP(A416,BD_ORDENES!A:BE,22,FALSE())</f>
        <v>KARLA VIVIANA CARREÑO POLANIA</v>
      </c>
      <c r="T416" s="65" t="str">
        <f aca="false">VLOOKUP(A416,BD_ORDENES!A:BE,55,FALSE())</f>
        <v>BODEGA LISTO</v>
      </c>
      <c r="U416" s="68" t="str">
        <f aca="false">VLOOKUP(A416,BD_ORDENES!A:BE,57,FALSE())</f>
        <v>8 VENECIA</v>
      </c>
      <c r="V416" s="70"/>
      <c r="W416" s="71"/>
    </row>
    <row r="417" s="72" customFormat="true" ht="98.25" hidden="false" customHeight="true" outlineLevel="0" collapsed="false">
      <c r="A417" s="62" t="n">
        <f aca="false">A416+1</f>
        <v>410</v>
      </c>
      <c r="B417" s="63" t="str">
        <f aca="false">VLOOKUP(A417,BD_ORDENES!A:BG,12,FALSE())</f>
        <v>__export__.product_product_188078_8a1bca65</v>
      </c>
      <c r="C417" s="64" t="n">
        <v>410</v>
      </c>
      <c r="D417" s="65" t="str">
        <f aca="false">VLOOKUP(A417,BD_ORDENES!A:BE,10,0)</f>
        <v>TIENDA GALERIAS</v>
      </c>
      <c r="E417" s="66" t="str">
        <f aca="false">VLOOKUP(A417,BD_ORDENES!A:BG,4,FALSE())</f>
        <v>AR2348</v>
      </c>
      <c r="F417" s="66" t="str">
        <f aca="false">VLOOKUP(A417,BD_ORDENES!A:BE,56,FALSE())</f>
        <v>S265601</v>
      </c>
      <c r="G417" s="67" t="str">
        <f aca="false">VLOOKUP(A417,BD_ORDENES!A:BE,13,FALSE())</f>
        <v>COJIN VENECIA DICOSTA ROSA</v>
      </c>
      <c r="H417" s="68" t="str">
        <f aca="false">VLOOKUP(A417,BD_ORDENES!A:BE,17,FALSE())</f>
        <v>COJIN</v>
      </c>
      <c r="I417" s="68" t="str">
        <f aca="false">VLOOKUP(A417,BD_ORDENES!A:BE,18,FALSE())</f>
        <v>VENECIA</v>
      </c>
      <c r="J417" s="68" t="str">
        <f aca="false">VLOOKUP(A417,BD_ORDENES!A:BE,19,FALSE())</f>
        <v>DICOSTA</v>
      </c>
      <c r="K417" s="68" t="str">
        <f aca="false">VLOOKUP(A417,BD_ORDENES!A:BE,20,FALSE())</f>
        <v>ROSA</v>
      </c>
      <c r="L417" s="68" t="n">
        <f aca="false">VLOOKUP(A417,BD_ORDENES!A:BE,21,FALSE())</f>
        <v>0</v>
      </c>
      <c r="M417" s="69" t="n">
        <f aca="false">VLOOKUP(A417,BD_ORDENES!A:BE,14,FALSE())</f>
        <v>1</v>
      </c>
      <c r="N417" s="68" t="n">
        <f aca="false">VLOOKUP(A417,BD_ORDENES!A:BE,15,FALSE())</f>
        <v>0</v>
      </c>
      <c r="O417" s="68" t="str">
        <f aca="false">VLOOKUP(A417,BD_ORDENES!A:BE,33,FALSE())</f>
        <v>TRANSPORTADORA HVM BGT</v>
      </c>
      <c r="P417" s="68" t="n">
        <f aca="false">VLOOKUP(A417,BD_ORDENES!A:BE,23,FALSE())</f>
        <v>0</v>
      </c>
      <c r="Q417" s="68" t="str">
        <f aca="false">VLOOKUP(A417,BD_ORDENES!A:BE,52,FALSE())</f>
        <v>Obtener Bajo Pedido (MTO)</v>
      </c>
      <c r="R417" s="68" t="str">
        <f aca="false">VLOOKUP(A417,BD_ORDENES!A:BE,25,FALSE())</f>
        <v>BOGOTA</v>
      </c>
      <c r="S417" s="68" t="str">
        <f aca="false">VLOOKUP(A417,BD_ORDENES!A:BE,22,FALSE())</f>
        <v>KARLA VIVIANA CARREÑO POLANIA</v>
      </c>
      <c r="T417" s="65" t="str">
        <f aca="false">VLOOKUP(A417,BD_ORDENES!A:BE,55,FALSE())</f>
        <v>BODEGA LISTO</v>
      </c>
      <c r="U417" s="68" t="str">
        <f aca="false">VLOOKUP(A417,BD_ORDENES!A:BE,57,FALSE())</f>
        <v>8 VENECIA</v>
      </c>
      <c r="V417" s="70"/>
      <c r="W417" s="71"/>
    </row>
    <row r="418" s="72" customFormat="true" ht="98.25" hidden="false" customHeight="true" outlineLevel="0" collapsed="false">
      <c r="A418" s="62" t="n">
        <f aca="false">A417+1</f>
        <v>411</v>
      </c>
      <c r="B418" s="63" t="str">
        <f aca="false">VLOOKUP(A418,BD_ORDENES!A:BG,12,FALSE())</f>
        <v>__export__.product_product_207980_a6db0b7c</v>
      </c>
      <c r="C418" s="64" t="n">
        <v>411</v>
      </c>
      <c r="D418" s="65" t="str">
        <f aca="false">VLOOKUP(A418,BD_ORDENES!A:BE,10,0)</f>
        <v>VF</v>
      </c>
      <c r="E418" s="66" t="str">
        <f aca="false">VLOOKUP(A418,BD_ORDENES!A:BG,4,FALSE())</f>
        <v>RP3230</v>
      </c>
      <c r="F418" s="66" t="str">
        <f aca="false">VLOOKUP(A418,BD_ORDENES!A:BE,56,FALSE())</f>
        <v>S263540</v>
      </c>
      <c r="G418" s="67" t="str">
        <f aca="false">VLOOKUP(A418,BD_ORDENES!A:BE,13,FALSE())</f>
        <v>SOFA MUNICH DENVER TAUPE (MATIZ NATURAL)</v>
      </c>
      <c r="H418" s="68" t="str">
        <f aca="false">VLOOKUP(A418,BD_ORDENES!A:BE,17,FALSE())</f>
        <v>SOFA</v>
      </c>
      <c r="I418" s="68" t="str">
        <f aca="false">VLOOKUP(A418,BD_ORDENES!A:BE,18,FALSE())</f>
        <v>MUNICH</v>
      </c>
      <c r="J418" s="68" t="str">
        <f aca="false">VLOOKUP(A418,BD_ORDENES!A:BE,19,FALSE())</f>
        <v>DENVER</v>
      </c>
      <c r="K418" s="68" t="str">
        <f aca="false">VLOOKUP(A418,BD_ORDENES!A:BE,20,FALSE())</f>
        <v>TAUPE</v>
      </c>
      <c r="L418" s="68" t="str">
        <f aca="false">VLOOKUP(A418,BD_ORDENES!A:BE,21,FALSE())</f>
        <v>MATIZ-NATURAL</v>
      </c>
      <c r="M418" s="69" t="n">
        <f aca="false">VLOOKUP(A418,BD_ORDENES!A:BE,14,FALSE())</f>
        <v>1</v>
      </c>
      <c r="N418" s="68" t="n">
        <f aca="false">VLOOKUP(A418,BD_ORDENES!A:BE,15,FALSE())</f>
        <v>0</v>
      </c>
      <c r="O418" s="68" t="str">
        <f aca="false">VLOOKUP(A418,BD_ORDENES!A:BE,33,FALSE())</f>
        <v>RECOGE EN FABRICA - SALDO CONTRAENTREGA</v>
      </c>
      <c r="P418" s="68" t="n">
        <f aca="false">VLOOKUP(A418,BD_ORDENES!A:BE,23,FALSE())</f>
        <v>0</v>
      </c>
      <c r="Q418" s="68" t="str">
        <f aca="false">VLOOKUP(A418,BD_ORDENES!A:BE,52,FALSE())</f>
        <v>Obtener Bajo Pedido (MTO)</v>
      </c>
      <c r="R418" s="68" t="str">
        <f aca="false">VLOOKUP(A418,BD_ORDENES!A:BE,25,FALSE())</f>
        <v>SORACA</v>
      </c>
      <c r="S418" s="68" t="str">
        <f aca="false">VLOOKUP(A418,BD_ORDENES!A:BE,22,FALSE())</f>
        <v>DIEGO ANDRES MORENO RIVERA</v>
      </c>
      <c r="T418" s="65" t="str">
        <f aca="false">VLOOKUP(A418,BD_ORDENES!A:BE,55,FALSE())</f>
        <v>BODEGA LISTO</v>
      </c>
      <c r="U418" s="68" t="str">
        <f aca="false">VLOOKUP(A418,BD_ORDENES!A:BE,57,FALSE())</f>
        <v>0 BODEGA</v>
      </c>
      <c r="V418" s="70"/>
      <c r="W418" s="71"/>
    </row>
    <row r="419" s="72" customFormat="true" ht="98.25" hidden="false" customHeight="true" outlineLevel="0" collapsed="false">
      <c r="A419" s="62" t="n">
        <f aca="false">A418+1</f>
        <v>412</v>
      </c>
      <c r="B419" s="63" t="str">
        <f aca="false">VLOOKUP(A419,BD_ORDENES!A:BG,12,FALSE())</f>
        <v>__export__.product_product_272533_4d1b2543</v>
      </c>
      <c r="C419" s="64" t="n">
        <v>412</v>
      </c>
      <c r="D419" s="65" t="str">
        <f aca="false">VLOOKUP(A419,BD_ORDENES!A:BE,10,0)</f>
        <v>VF</v>
      </c>
      <c r="E419" s="66" t="str">
        <f aca="false">VLOOKUP(A419,BD_ORDENES!A:BG,4,FALSE())</f>
        <v>RP3230</v>
      </c>
      <c r="F419" s="66" t="str">
        <f aca="false">VLOOKUP(A419,BD_ORDENES!A:BE,56,FALSE())</f>
        <v>S263540</v>
      </c>
      <c r="G419" s="67" t="str">
        <f aca="false">VLOOKUP(A419,BD_ORDENES!A:BE,13,FALSE())</f>
        <v>POLTRONA TOULOUSE DENVER CHOCOLATE (MATIZ NATURAL)</v>
      </c>
      <c r="H419" s="68" t="str">
        <f aca="false">VLOOKUP(A419,BD_ORDENES!A:BE,17,FALSE())</f>
        <v>POLTRONA</v>
      </c>
      <c r="I419" s="68" t="str">
        <f aca="false">VLOOKUP(A419,BD_ORDENES!A:BE,18,FALSE())</f>
        <v>TOULOUSE</v>
      </c>
      <c r="J419" s="68" t="str">
        <f aca="false">VLOOKUP(A419,BD_ORDENES!A:BE,19,FALSE())</f>
        <v>DENVER</v>
      </c>
      <c r="K419" s="68" t="str">
        <f aca="false">VLOOKUP(A419,BD_ORDENES!A:BE,20,FALSE())</f>
        <v>CHOCOLATE</v>
      </c>
      <c r="L419" s="68" t="str">
        <f aca="false">VLOOKUP(A419,BD_ORDENES!A:BE,21,FALSE())</f>
        <v>MATIZ-NATURAL</v>
      </c>
      <c r="M419" s="69" t="n">
        <f aca="false">VLOOKUP(A419,BD_ORDENES!A:BE,14,FALSE())</f>
        <v>1</v>
      </c>
      <c r="N419" s="68" t="n">
        <f aca="false">VLOOKUP(A419,BD_ORDENES!A:BE,15,FALSE())</f>
        <v>0</v>
      </c>
      <c r="O419" s="68" t="str">
        <f aca="false">VLOOKUP(A419,BD_ORDENES!A:BE,33,FALSE())</f>
        <v>RECOGE EN FABRICA - SALDO CONTRAENTREGA</v>
      </c>
      <c r="P419" s="68" t="n">
        <f aca="false">VLOOKUP(A419,BD_ORDENES!A:BE,23,FALSE())</f>
        <v>0</v>
      </c>
      <c r="Q419" s="68" t="str">
        <f aca="false">VLOOKUP(A419,BD_ORDENES!A:BE,52,FALSE())</f>
        <v>Obtener Bajo Pedido (MTO)</v>
      </c>
      <c r="R419" s="68" t="str">
        <f aca="false">VLOOKUP(A419,BD_ORDENES!A:BE,25,FALSE())</f>
        <v>SORACA</v>
      </c>
      <c r="S419" s="68" t="str">
        <f aca="false">VLOOKUP(A419,BD_ORDENES!A:BE,22,FALSE())</f>
        <v>DIEGO ANDRES MORENO RIVERA</v>
      </c>
      <c r="T419" s="65" t="str">
        <f aca="false">VLOOKUP(A419,BD_ORDENES!A:BE,55,FALSE())</f>
        <v>BODEGA LISTO</v>
      </c>
      <c r="U419" s="68" t="str">
        <f aca="false">VLOOKUP(A419,BD_ORDENES!A:BE,57,FALSE())</f>
        <v>0 BODEGA</v>
      </c>
      <c r="V419" s="70"/>
      <c r="W419" s="71"/>
    </row>
    <row r="420" s="72" customFormat="true" ht="98.25" hidden="false" customHeight="true" outlineLevel="0" collapsed="false">
      <c r="A420" s="62" t="n">
        <f aca="false">A419+1</f>
        <v>413</v>
      </c>
      <c r="B420" s="63" t="str">
        <f aca="false">VLOOKUP(A420,BD_ORDENES!A:BG,12,FALSE())</f>
        <v>__export__.product_product_272533_4d1b2543</v>
      </c>
      <c r="C420" s="64" t="n">
        <v>413</v>
      </c>
      <c r="D420" s="65" t="str">
        <f aca="false">VLOOKUP(A420,BD_ORDENES!A:BE,10,0)</f>
        <v>VF</v>
      </c>
      <c r="E420" s="66" t="str">
        <f aca="false">VLOOKUP(A420,BD_ORDENES!A:BG,4,FALSE())</f>
        <v>RP3230</v>
      </c>
      <c r="F420" s="66" t="str">
        <f aca="false">VLOOKUP(A420,BD_ORDENES!A:BE,56,FALSE())</f>
        <v>S263540</v>
      </c>
      <c r="G420" s="67" t="str">
        <f aca="false">VLOOKUP(A420,BD_ORDENES!A:BE,13,FALSE())</f>
        <v>POLTRONA TOULOUSE DENVER CHOCOLATE (MATIZ NATURAL)</v>
      </c>
      <c r="H420" s="68" t="str">
        <f aca="false">VLOOKUP(A420,BD_ORDENES!A:BE,17,FALSE())</f>
        <v>POLTRONA</v>
      </c>
      <c r="I420" s="68" t="str">
        <f aca="false">VLOOKUP(A420,BD_ORDENES!A:BE,18,FALSE())</f>
        <v>TOULOUSE</v>
      </c>
      <c r="J420" s="68" t="str">
        <f aca="false">VLOOKUP(A420,BD_ORDENES!A:BE,19,FALSE())</f>
        <v>DENVER</v>
      </c>
      <c r="K420" s="68" t="str">
        <f aca="false">VLOOKUP(A420,BD_ORDENES!A:BE,20,FALSE())</f>
        <v>CHOCOLATE</v>
      </c>
      <c r="L420" s="68" t="str">
        <f aca="false">VLOOKUP(A420,BD_ORDENES!A:BE,21,FALSE())</f>
        <v>MATIZ-NATURAL</v>
      </c>
      <c r="M420" s="69" t="n">
        <f aca="false">VLOOKUP(A420,BD_ORDENES!A:BE,14,FALSE())</f>
        <v>1</v>
      </c>
      <c r="N420" s="68" t="n">
        <f aca="false">VLOOKUP(A420,BD_ORDENES!A:BE,15,FALSE())</f>
        <v>0</v>
      </c>
      <c r="O420" s="68" t="str">
        <f aca="false">VLOOKUP(A420,BD_ORDENES!A:BE,33,FALSE())</f>
        <v>RECOGE EN FABRICA - SALDO CONTRAENTREGA</v>
      </c>
      <c r="P420" s="68" t="n">
        <f aca="false">VLOOKUP(A420,BD_ORDENES!A:BE,23,FALSE())</f>
        <v>0</v>
      </c>
      <c r="Q420" s="68" t="str">
        <f aca="false">VLOOKUP(A420,BD_ORDENES!A:BE,52,FALSE())</f>
        <v>Obtener Bajo Pedido (MTO)</v>
      </c>
      <c r="R420" s="68" t="str">
        <f aca="false">VLOOKUP(A420,BD_ORDENES!A:BE,25,FALSE())</f>
        <v>SORACA</v>
      </c>
      <c r="S420" s="68" t="str">
        <f aca="false">VLOOKUP(A420,BD_ORDENES!A:BE,22,FALSE())</f>
        <v>DIEGO ANDRES MORENO RIVERA</v>
      </c>
      <c r="T420" s="65" t="str">
        <f aca="false">VLOOKUP(A420,BD_ORDENES!A:BE,55,FALSE())</f>
        <v>BODEGA LISTO</v>
      </c>
      <c r="U420" s="68" t="str">
        <f aca="false">VLOOKUP(A420,BD_ORDENES!A:BE,57,FALSE())</f>
        <v>0 BODEGA</v>
      </c>
      <c r="V420" s="70"/>
      <c r="W420" s="71"/>
    </row>
    <row r="421" s="72" customFormat="true" ht="98.25" hidden="false" customHeight="true" outlineLevel="0" collapsed="false">
      <c r="A421" s="62" t="n">
        <f aca="false">A420+1</f>
        <v>414</v>
      </c>
      <c r="B421" s="63" t="str">
        <f aca="false">VLOOKUP(A421,BD_ORDENES!A:BG,12,FALSE())</f>
        <v>__export__.product_product_273031_daff8ed2</v>
      </c>
      <c r="C421" s="64" t="n">
        <v>414</v>
      </c>
      <c r="D421" s="65" t="str">
        <f aca="false">VLOOKUP(A421,BD_ORDENES!A:BE,10,0)</f>
        <v>VF</v>
      </c>
      <c r="E421" s="66" t="str">
        <f aca="false">VLOOKUP(A421,BD_ORDENES!A:BG,4,FALSE())</f>
        <v>RP3230</v>
      </c>
      <c r="F421" s="66" t="str">
        <f aca="false">VLOOKUP(A421,BD_ORDENES!A:BE,56,FALSE())</f>
        <v>S263540</v>
      </c>
      <c r="G421" s="67" t="str">
        <f aca="false">VLOOKUP(A421,BD_ORDENES!A:BE,13,FALSE())</f>
        <v>PUFF PORTO DENVER TAUPE (MATIZ NATURAL)</v>
      </c>
      <c r="H421" s="68" t="str">
        <f aca="false">VLOOKUP(A421,BD_ORDENES!A:BE,17,FALSE())</f>
        <v>PUFF</v>
      </c>
      <c r="I421" s="68" t="str">
        <f aca="false">VLOOKUP(A421,BD_ORDENES!A:BE,18,FALSE())</f>
        <v>PORTO</v>
      </c>
      <c r="J421" s="68" t="str">
        <f aca="false">VLOOKUP(A421,BD_ORDENES!A:BE,19,FALSE())</f>
        <v>DENVER</v>
      </c>
      <c r="K421" s="68" t="str">
        <f aca="false">VLOOKUP(A421,BD_ORDENES!A:BE,20,FALSE())</f>
        <v>TAUPE</v>
      </c>
      <c r="L421" s="68" t="str">
        <f aca="false">VLOOKUP(A421,BD_ORDENES!A:BE,21,FALSE())</f>
        <v>MATIZ-NATURAL</v>
      </c>
      <c r="M421" s="69" t="n">
        <f aca="false">VLOOKUP(A421,BD_ORDENES!A:BE,14,FALSE())</f>
        <v>1</v>
      </c>
      <c r="N421" s="68" t="n">
        <f aca="false">VLOOKUP(A421,BD_ORDENES!A:BE,15,FALSE())</f>
        <v>0</v>
      </c>
      <c r="O421" s="68" t="str">
        <f aca="false">VLOOKUP(A421,BD_ORDENES!A:BE,33,FALSE())</f>
        <v>RECOGE EN FABRICA - SALDO CONTRAENTREGA</v>
      </c>
      <c r="P421" s="68" t="n">
        <f aca="false">VLOOKUP(A421,BD_ORDENES!A:BE,23,FALSE())</f>
        <v>0</v>
      </c>
      <c r="Q421" s="68" t="str">
        <f aca="false">VLOOKUP(A421,BD_ORDENES!A:BE,52,FALSE())</f>
        <v>Obtener Bajo Pedido (MTO)</v>
      </c>
      <c r="R421" s="68" t="str">
        <f aca="false">VLOOKUP(A421,BD_ORDENES!A:BE,25,FALSE())</f>
        <v>SORACA</v>
      </c>
      <c r="S421" s="68" t="str">
        <f aca="false">VLOOKUP(A421,BD_ORDENES!A:BE,22,FALSE())</f>
        <v>DIEGO ANDRES MORENO RIVERA</v>
      </c>
      <c r="T421" s="65" t="str">
        <f aca="false">VLOOKUP(A421,BD_ORDENES!A:BE,55,FALSE())</f>
        <v>BODEGA LISTO</v>
      </c>
      <c r="U421" s="68" t="str">
        <f aca="false">VLOOKUP(A421,BD_ORDENES!A:BE,57,FALSE())</f>
        <v>0 BODEGA</v>
      </c>
      <c r="V421" s="70"/>
      <c r="W421" s="71"/>
    </row>
    <row r="422" s="72" customFormat="true" ht="98.25" hidden="false" customHeight="true" outlineLevel="0" collapsed="false">
      <c r="A422" s="62" t="n">
        <f aca="false">A421+1</f>
        <v>415</v>
      </c>
      <c r="B422" s="63" t="str">
        <f aca="false">VLOOKUP(A422,BD_ORDENES!A:BG,12,FALSE())</f>
        <v>__export__.product_product_187099_4a580d03</v>
      </c>
      <c r="C422" s="64" t="n">
        <v>415</v>
      </c>
      <c r="D422" s="65" t="str">
        <f aca="false">VLOOKUP(A422,BD_ORDENES!A:BE,10,0)</f>
        <v>VF</v>
      </c>
      <c r="E422" s="66" t="str">
        <f aca="false">VLOOKUP(A422,BD_ORDENES!A:BG,4,FALSE())</f>
        <v>RP3230</v>
      </c>
      <c r="F422" s="66" t="str">
        <f aca="false">VLOOKUP(A422,BD_ORDENES!A:BE,56,FALSE())</f>
        <v>S263540</v>
      </c>
      <c r="G422" s="67" t="str">
        <f aca="false">VLOOKUP(A422,BD_ORDENES!A:BE,13,FALSE())</f>
        <v>MESA DE CENTRO NOVA BLANCO (MATIZ NATURAL)</v>
      </c>
      <c r="H422" s="68" t="str">
        <f aca="false">VLOOKUP(A422,BD_ORDENES!A:BE,17,FALSE())</f>
        <v>MESA-CENTRO</v>
      </c>
      <c r="I422" s="68" t="str">
        <f aca="false">VLOOKUP(A422,BD_ORDENES!A:BE,18,FALSE())</f>
        <v>NOVA</v>
      </c>
      <c r="J422" s="68" t="n">
        <f aca="false">VLOOKUP(A422,BD_ORDENES!A:BE,19,FALSE())</f>
        <v>0</v>
      </c>
      <c r="K422" s="68" t="str">
        <f aca="false">VLOOKUP(A422,BD_ORDENES!A:BE,20,FALSE())</f>
        <v>BLANCO</v>
      </c>
      <c r="L422" s="68" t="str">
        <f aca="false">VLOOKUP(A422,BD_ORDENES!A:BE,21,FALSE())</f>
        <v>MATIZ-NATURAL</v>
      </c>
      <c r="M422" s="69" t="n">
        <f aca="false">VLOOKUP(A422,BD_ORDENES!A:BE,14,FALSE())</f>
        <v>1</v>
      </c>
      <c r="N422" s="68" t="n">
        <f aca="false">VLOOKUP(A422,BD_ORDENES!A:BE,15,FALSE())</f>
        <v>0</v>
      </c>
      <c r="O422" s="68" t="str">
        <f aca="false">VLOOKUP(A422,BD_ORDENES!A:BE,33,FALSE())</f>
        <v>RECOGE EN FABRICA - SALDO CONTRAENTREGA</v>
      </c>
      <c r="P422" s="68" t="n">
        <f aca="false">VLOOKUP(A422,BD_ORDENES!A:BE,23,FALSE())</f>
        <v>0</v>
      </c>
      <c r="Q422" s="68" t="str">
        <f aca="false">VLOOKUP(A422,BD_ORDENES!A:BE,52,FALSE())</f>
        <v>Obtener Bajo Pedido (MTO)</v>
      </c>
      <c r="R422" s="68" t="str">
        <f aca="false">VLOOKUP(A422,BD_ORDENES!A:BE,25,FALSE())</f>
        <v>SORACA</v>
      </c>
      <c r="S422" s="68" t="str">
        <f aca="false">VLOOKUP(A422,BD_ORDENES!A:BE,22,FALSE())</f>
        <v>DIEGO ANDRES MORENO RIVERA</v>
      </c>
      <c r="T422" s="65" t="str">
        <f aca="false">VLOOKUP(A422,BD_ORDENES!A:BE,55,FALSE())</f>
        <v>BODEGA LISTO</v>
      </c>
      <c r="U422" s="68" t="str">
        <f aca="false">VLOOKUP(A422,BD_ORDENES!A:BE,57,FALSE())</f>
        <v>0 BODEGA</v>
      </c>
      <c r="V422" s="70"/>
      <c r="W422" s="71"/>
    </row>
    <row r="423" s="72" customFormat="true" ht="98.25" hidden="false" customHeight="true" outlineLevel="0" collapsed="false">
      <c r="A423" s="62" t="n">
        <f aca="false">A422+1</f>
        <v>416</v>
      </c>
      <c r="B423" s="63" t="str">
        <f aca="false">VLOOKUP(A423,BD_ORDENES!A:BG,12,FALSE())</f>
        <v>__export__.product_product_188079_19b614ff</v>
      </c>
      <c r="C423" s="64" t="n">
        <v>416</v>
      </c>
      <c r="D423" s="65" t="str">
        <f aca="false">VLOOKUP(A423,BD_ORDENES!A:BE,10,0)</f>
        <v>TIENDA CEDRITOS</v>
      </c>
      <c r="E423" s="66" t="str">
        <f aca="false">VLOOKUP(A423,BD_ORDENES!A:BG,4,FALSE())</f>
        <v>MP771-1</v>
      </c>
      <c r="F423" s="66" t="str">
        <f aca="false">VLOOKUP(A423,BD_ORDENES!A:BE,56,FALSE())</f>
        <v>S258734</v>
      </c>
      <c r="G423" s="67" t="str">
        <f aca="false">VLOOKUP(A423,BD_ORDENES!A:BE,13,FALSE())</f>
        <v>COJIN VENECIA DICOSTA TRIGO</v>
      </c>
      <c r="H423" s="68" t="str">
        <f aca="false">VLOOKUP(A423,BD_ORDENES!A:BE,17,FALSE())</f>
        <v>COJIN</v>
      </c>
      <c r="I423" s="68" t="str">
        <f aca="false">VLOOKUP(A423,BD_ORDENES!A:BE,18,FALSE())</f>
        <v>VENECIA</v>
      </c>
      <c r="J423" s="68" t="str">
        <f aca="false">VLOOKUP(A423,BD_ORDENES!A:BE,19,FALSE())</f>
        <v>DICOSTA</v>
      </c>
      <c r="K423" s="68" t="str">
        <f aca="false">VLOOKUP(A423,BD_ORDENES!A:BE,20,FALSE())</f>
        <v>TRIGO</v>
      </c>
      <c r="L423" s="68" t="n">
        <f aca="false">VLOOKUP(A423,BD_ORDENES!A:BE,21,FALSE())</f>
        <v>0</v>
      </c>
      <c r="M423" s="69" t="n">
        <f aca="false">VLOOKUP(A423,BD_ORDENES!A:BE,14,FALSE())</f>
        <v>2</v>
      </c>
      <c r="N423" s="68" t="n">
        <f aca="false">VLOOKUP(A423,BD_ORDENES!A:BE,15,FALSE())</f>
        <v>0</v>
      </c>
      <c r="O423" s="68" t="str">
        <f aca="false">VLOOKUP(A423,BD_ORDENES!A:BE,33,FALSE())</f>
        <v>TRANSPORTADORA</v>
      </c>
      <c r="P423" s="68" t="n">
        <f aca="false">VLOOKUP(A423,BD_ORDENES!A:BE,23,FALSE())</f>
        <v>0</v>
      </c>
      <c r="Q423" s="68" t="str">
        <f aca="false">VLOOKUP(A423,BD_ORDENES!A:BE,52,FALSE())</f>
        <v>Obtener Bajo Pedido (MTO)</v>
      </c>
      <c r="R423" s="68" t="str">
        <f aca="false">VLOOKUP(A423,BD_ORDENES!A:BE,25,FALSE())</f>
        <v>BOGOTÁ</v>
      </c>
      <c r="S423" s="68" t="str">
        <f aca="false">VLOOKUP(A423,BD_ORDENES!A:BE,22,FALSE())</f>
        <v>XIOMARA ARIAS HURTADO</v>
      </c>
      <c r="T423" s="65" t="str">
        <f aca="false">VLOOKUP(A423,BD_ORDENES!A:BE,55,FALSE())</f>
        <v>BODEGA LISTO</v>
      </c>
      <c r="U423" s="68" t="str">
        <f aca="false">VLOOKUP(A423,BD_ORDENES!A:BE,57,FALSE())</f>
        <v>1 ENVIA</v>
      </c>
      <c r="V423" s="70"/>
      <c r="W423" s="71"/>
    </row>
    <row r="424" s="72" customFormat="true" ht="98.25" hidden="false" customHeight="true" outlineLevel="0" collapsed="false">
      <c r="A424" s="62" t="n">
        <f aca="false">A423+1</f>
        <v>417</v>
      </c>
      <c r="B424" s="63" t="str">
        <f aca="false">VLOOKUP(A424,BD_ORDENES!A:BG,12,FALSE())</f>
        <v>__export__.product_product_324011_369d1a55</v>
      </c>
      <c r="C424" s="64" t="n">
        <v>417</v>
      </c>
      <c r="D424" s="65" t="str">
        <f aca="false">VLOOKUP(A424,BD_ORDENES!A:BE,10,0)</f>
        <v>TIENDA CEDRITOS</v>
      </c>
      <c r="E424" s="66" t="str">
        <f aca="false">VLOOKUP(A424,BD_ORDENES!A:BG,4,FALSE())</f>
        <v>MP771-1</v>
      </c>
      <c r="F424" s="66" t="str">
        <f aca="false">VLOOKUP(A424,BD_ORDENES!A:BE,56,FALSE())</f>
        <v>S258734</v>
      </c>
      <c r="G424" s="67" t="str">
        <f aca="false">VLOOKUP(A424,BD_ORDENES!A:BE,13,FALSE())</f>
        <v>POLTRONA CANNES DICOSTA TRIGO (MATIZ CAOBA)</v>
      </c>
      <c r="H424" s="68" t="str">
        <f aca="false">VLOOKUP(A424,BD_ORDENES!A:BE,17,FALSE())</f>
        <v>POLTRONA</v>
      </c>
      <c r="I424" s="68" t="str">
        <f aca="false">VLOOKUP(A424,BD_ORDENES!A:BE,18,FALSE())</f>
        <v>CANNES</v>
      </c>
      <c r="J424" s="68" t="str">
        <f aca="false">VLOOKUP(A424,BD_ORDENES!A:BE,19,FALSE())</f>
        <v>DICOSTA</v>
      </c>
      <c r="K424" s="68" t="str">
        <f aca="false">VLOOKUP(A424,BD_ORDENES!A:BE,20,FALSE())</f>
        <v>TRIGO</v>
      </c>
      <c r="L424" s="68" t="str">
        <f aca="false">VLOOKUP(A424,BD_ORDENES!A:BE,21,FALSE())</f>
        <v>MATIZ-CAOBA</v>
      </c>
      <c r="M424" s="69" t="n">
        <f aca="false">VLOOKUP(A424,BD_ORDENES!A:BE,14,FALSE())</f>
        <v>1</v>
      </c>
      <c r="N424" s="68" t="n">
        <f aca="false">VLOOKUP(A424,BD_ORDENES!A:BE,15,FALSE())</f>
        <v>0</v>
      </c>
      <c r="O424" s="68" t="str">
        <f aca="false">VLOOKUP(A424,BD_ORDENES!A:BE,33,FALSE())</f>
        <v>TRANSPORTADORA</v>
      </c>
      <c r="P424" s="68" t="n">
        <f aca="false">VLOOKUP(A424,BD_ORDENES!A:BE,23,FALSE())</f>
        <v>0</v>
      </c>
      <c r="Q424" s="68" t="str">
        <f aca="false">VLOOKUP(A424,BD_ORDENES!A:BE,52,FALSE())</f>
        <v>Obtener Bajo Pedido (MTO)</v>
      </c>
      <c r="R424" s="68" t="str">
        <f aca="false">VLOOKUP(A424,BD_ORDENES!A:BE,25,FALSE())</f>
        <v>BOGOTÁ</v>
      </c>
      <c r="S424" s="68" t="str">
        <f aca="false">VLOOKUP(A424,BD_ORDENES!A:BE,22,FALSE())</f>
        <v>XIOMARA ARIAS HURTADO</v>
      </c>
      <c r="T424" s="65" t="str">
        <f aca="false">VLOOKUP(A424,BD_ORDENES!A:BE,55,FALSE())</f>
        <v>BODEGA LISTO</v>
      </c>
      <c r="U424" s="68" t="str">
        <f aca="false">VLOOKUP(A424,BD_ORDENES!A:BE,57,FALSE())</f>
        <v>1 ENVIA</v>
      </c>
      <c r="V424" s="70"/>
      <c r="W424" s="71"/>
    </row>
    <row r="425" s="72" customFormat="true" ht="98.25" hidden="false" customHeight="true" outlineLevel="0" collapsed="false">
      <c r="A425" s="62" t="n">
        <f aca="false">A424+1</f>
        <v>418</v>
      </c>
      <c r="B425" s="63" t="str">
        <f aca="false">VLOOKUP(A425,BD_ORDENES!A:BG,12,FALSE())</f>
        <v>__export__.product_product_176906_2076c974</v>
      </c>
      <c r="C425" s="64" t="n">
        <v>418</v>
      </c>
      <c r="D425" s="65" t="str">
        <f aca="false">VLOOKUP(A425,BD_ORDENES!A:BE,10,0)</f>
        <v>FB</v>
      </c>
      <c r="E425" s="66" t="str">
        <f aca="false">VLOOKUP(A425,BD_ORDENES!A:BG,4,FALSE())</f>
        <v>EL091</v>
      </c>
      <c r="F425" s="66" t="str">
        <f aca="false">VLOOKUP(A425,BD_ORDENES!A:BE,56,FALSE())</f>
        <v>S258187</v>
      </c>
      <c r="G425" s="67" t="str">
        <f aca="false">VLOOKUP(A425,BD_ORDENES!A:BE,13,FALSE())</f>
        <v>SOFA PORTO DUSTER PLATA (MATIZ NATURAL)</v>
      </c>
      <c r="H425" s="68" t="str">
        <f aca="false">VLOOKUP(A425,BD_ORDENES!A:BE,17,FALSE())</f>
        <v>SOFA</v>
      </c>
      <c r="I425" s="68" t="str">
        <f aca="false">VLOOKUP(A425,BD_ORDENES!A:BE,18,FALSE())</f>
        <v>PORTO</v>
      </c>
      <c r="J425" s="68" t="str">
        <f aca="false">VLOOKUP(A425,BD_ORDENES!A:BE,19,FALSE())</f>
        <v>DUSTER</v>
      </c>
      <c r="K425" s="68" t="str">
        <f aca="false">VLOOKUP(A425,BD_ORDENES!A:BE,20,FALSE())</f>
        <v>PLATA</v>
      </c>
      <c r="L425" s="68" t="str">
        <f aca="false">VLOOKUP(A425,BD_ORDENES!A:BE,21,FALSE())</f>
        <v>MATIZ-NATURAL</v>
      </c>
      <c r="M425" s="69" t="n">
        <f aca="false">VLOOKUP(A425,BD_ORDENES!A:BE,14,FALSE())</f>
        <v>1</v>
      </c>
      <c r="N425" s="68" t="n">
        <f aca="false">VLOOKUP(A425,BD_ORDENES!A:BE,15,FALSE())</f>
        <v>0</v>
      </c>
      <c r="O425" s="68" t="str">
        <f aca="false">VLOOKUP(A425,BD_ORDENES!A:BE,33,FALSE())</f>
        <v>CONTRA ENTREGA SALDO</v>
      </c>
      <c r="P425" s="68" t="n">
        <f aca="false">VLOOKUP(A425,BD_ORDENES!A:BE,23,FALSE())</f>
        <v>0</v>
      </c>
      <c r="Q425" s="68" t="str">
        <f aca="false">VLOOKUP(A425,BD_ORDENES!A:BE,52,FALSE())</f>
        <v>Obtener Bajo Pedido (MTO)</v>
      </c>
      <c r="R425" s="68" t="str">
        <f aca="false">VLOOKUP(A425,BD_ORDENES!A:BE,25,FALSE())</f>
        <v>TUNJA</v>
      </c>
      <c r="S425" s="68" t="str">
        <f aca="false">VLOOKUP(A425,BD_ORDENES!A:BE,22,FALSE())</f>
        <v>ANA RUANO CARDENAS</v>
      </c>
      <c r="T425" s="65" t="str">
        <f aca="false">VLOOKUP(A425,BD_ORDENES!A:BE,55,FALSE())</f>
        <v>BODEGA LISTO</v>
      </c>
      <c r="U425" s="68" t="str">
        <f aca="false">VLOOKUP(A425,BD_ORDENES!A:BE,57,FALSE())</f>
        <v>0 BODEGA</v>
      </c>
      <c r="V425" s="70"/>
      <c r="W425" s="71"/>
    </row>
    <row r="426" s="72" customFormat="true" ht="98.25" hidden="false" customHeight="true" outlineLevel="0" collapsed="false">
      <c r="A426" s="62" t="n">
        <f aca="false">A425+1</f>
        <v>419</v>
      </c>
      <c r="B426" s="63" t="str">
        <f aca="false">VLOOKUP(A426,BD_ORDENES!A:BG,12,FALSE())</f>
        <v>__export__.product_product_326208_51f43e49</v>
      </c>
      <c r="C426" s="64" t="n">
        <v>419</v>
      </c>
      <c r="D426" s="65" t="str">
        <f aca="false">VLOOKUP(A426,BD_ORDENES!A:BE,10,0)</f>
        <v>FB</v>
      </c>
      <c r="E426" s="66" t="str">
        <f aca="false">VLOOKUP(A426,BD_ORDENES!A:BG,4,FALSE())</f>
        <v>EL091</v>
      </c>
      <c r="F426" s="66" t="str">
        <f aca="false">VLOOKUP(A426,BD_ORDENES!A:BE,56,FALSE())</f>
        <v>S258187</v>
      </c>
      <c r="G426" s="67" t="str">
        <f aca="false">VLOOKUP(A426,BD_ORDENES!A:BE,13,FALSE())</f>
        <v>PORCELANA ELEFANTE ORIGAMI L BLANCO AZUL</v>
      </c>
      <c r="H426" s="68" t="str">
        <f aca="false">VLOOKUP(A426,BD_ORDENES!A:BE,17,FALSE())</f>
        <v>PORCELANA</v>
      </c>
      <c r="I426" s="68" t="str">
        <f aca="false">VLOOKUP(A426,BD_ORDENES!A:BE,18,FALSE())</f>
        <v>ELEFANTE-ORIGAMI-L-BLANCO-AZUL</v>
      </c>
      <c r="J426" s="68" t="n">
        <f aca="false">VLOOKUP(A426,BD_ORDENES!A:BE,19,FALSE())</f>
        <v>0</v>
      </c>
      <c r="K426" s="68" t="n">
        <f aca="false">VLOOKUP(A426,BD_ORDENES!A:BE,20,FALSE())</f>
        <v>0</v>
      </c>
      <c r="L426" s="68" t="n">
        <f aca="false">VLOOKUP(A426,BD_ORDENES!A:BE,21,FALSE())</f>
        <v>0</v>
      </c>
      <c r="M426" s="69" t="n">
        <f aca="false">VLOOKUP(A426,BD_ORDENES!A:BE,14,FALSE())</f>
        <v>1</v>
      </c>
      <c r="N426" s="68" t="n">
        <f aca="false">VLOOKUP(A426,BD_ORDENES!A:BE,15,FALSE())</f>
        <v>0</v>
      </c>
      <c r="O426" s="68" t="str">
        <f aca="false">VLOOKUP(A426,BD_ORDENES!A:BE,33,FALSE())</f>
        <v>CONTRA ENTREGA SALDO</v>
      </c>
      <c r="P426" s="68" t="n">
        <f aca="false">VLOOKUP(A426,BD_ORDENES!A:BE,23,FALSE())</f>
        <v>0</v>
      </c>
      <c r="Q426" s="68" t="str">
        <f aca="false">VLOOKUP(A426,BD_ORDENES!A:BE,52,FALSE())</f>
        <v>Retiro DECORACION POR ENTREGAR</v>
      </c>
      <c r="R426" s="68" t="str">
        <f aca="false">VLOOKUP(A426,BD_ORDENES!A:BE,25,FALSE())</f>
        <v>TUNJA</v>
      </c>
      <c r="S426" s="68" t="str">
        <f aca="false">VLOOKUP(A426,BD_ORDENES!A:BE,22,FALSE())</f>
        <v>ANA RUANO CARDENAS</v>
      </c>
      <c r="T426" s="65" t="str">
        <f aca="false">VLOOKUP(A426,BD_ORDENES!A:BE,55,FALSE())</f>
        <v>BODEGA LISTO</v>
      </c>
      <c r="U426" s="68" t="str">
        <f aca="false">VLOOKUP(A426,BD_ORDENES!A:BE,57,FALSE())</f>
        <v>0 BODEGA</v>
      </c>
      <c r="V426" s="70"/>
      <c r="W426" s="71"/>
    </row>
    <row r="427" s="72" customFormat="true" ht="98.25" hidden="false" customHeight="true" outlineLevel="0" collapsed="false">
      <c r="A427" s="62" t="n">
        <f aca="false">A426+1</f>
        <v>420</v>
      </c>
      <c r="B427" s="63" t="str">
        <f aca="false">VLOOKUP(A427,BD_ORDENES!A:BG,12,FALSE())</f>
        <v>__export__.product_product_326209_64cd2371</v>
      </c>
      <c r="C427" s="64" t="n">
        <v>420</v>
      </c>
      <c r="D427" s="65" t="str">
        <f aca="false">VLOOKUP(A427,BD_ORDENES!A:BE,10,0)</f>
        <v>FB</v>
      </c>
      <c r="E427" s="66" t="str">
        <f aca="false">VLOOKUP(A427,BD_ORDENES!A:BG,4,FALSE())</f>
        <v>EL091</v>
      </c>
      <c r="F427" s="66" t="str">
        <f aca="false">VLOOKUP(A427,BD_ORDENES!A:BE,56,FALSE())</f>
        <v>S258187</v>
      </c>
      <c r="G427" s="67" t="str">
        <f aca="false">VLOOKUP(A427,BD_ORDENES!A:BE,13,FALSE())</f>
        <v>PORCELANA ELEFANTE ORIGAMI M BLANCO AZUL</v>
      </c>
      <c r="H427" s="68" t="str">
        <f aca="false">VLOOKUP(A427,BD_ORDENES!A:BE,17,FALSE())</f>
        <v>PORCELANA</v>
      </c>
      <c r="I427" s="68" t="str">
        <f aca="false">VLOOKUP(A427,BD_ORDENES!A:BE,18,FALSE())</f>
        <v>ELEFANTE-ORIGAMI-M-BLANCO-AZUL</v>
      </c>
      <c r="J427" s="68" t="n">
        <f aca="false">VLOOKUP(A427,BD_ORDENES!A:BE,19,FALSE())</f>
        <v>0</v>
      </c>
      <c r="K427" s="68" t="n">
        <f aca="false">VLOOKUP(A427,BD_ORDENES!A:BE,20,FALSE())</f>
        <v>0</v>
      </c>
      <c r="L427" s="68" t="n">
        <f aca="false">VLOOKUP(A427,BD_ORDENES!A:BE,21,FALSE())</f>
        <v>0</v>
      </c>
      <c r="M427" s="69" t="n">
        <f aca="false">VLOOKUP(A427,BD_ORDENES!A:BE,14,FALSE())</f>
        <v>1</v>
      </c>
      <c r="N427" s="68" t="n">
        <f aca="false">VLOOKUP(A427,BD_ORDENES!A:BE,15,FALSE())</f>
        <v>0</v>
      </c>
      <c r="O427" s="68" t="str">
        <f aca="false">VLOOKUP(A427,BD_ORDENES!A:BE,33,FALSE())</f>
        <v>CONTRA ENTREGA SALDO</v>
      </c>
      <c r="P427" s="68" t="n">
        <f aca="false">VLOOKUP(A427,BD_ORDENES!A:BE,23,FALSE())</f>
        <v>0</v>
      </c>
      <c r="Q427" s="68" t="str">
        <f aca="false">VLOOKUP(A427,BD_ORDENES!A:BE,52,FALSE())</f>
        <v>Retiro DECORACION POR ENTREGAR</v>
      </c>
      <c r="R427" s="68" t="str">
        <f aca="false">VLOOKUP(A427,BD_ORDENES!A:BE,25,FALSE())</f>
        <v>TUNJA</v>
      </c>
      <c r="S427" s="68" t="str">
        <f aca="false">VLOOKUP(A427,BD_ORDENES!A:BE,22,FALSE())</f>
        <v>ANA RUANO CARDENAS</v>
      </c>
      <c r="T427" s="65" t="str">
        <f aca="false">VLOOKUP(A427,BD_ORDENES!A:BE,55,FALSE())</f>
        <v>BODEGA LISTO</v>
      </c>
      <c r="U427" s="68" t="str">
        <f aca="false">VLOOKUP(A427,BD_ORDENES!A:BE,57,FALSE())</f>
        <v>0 BODEGA</v>
      </c>
      <c r="V427" s="70"/>
      <c r="W427" s="71"/>
    </row>
    <row r="428" s="72" customFormat="true" ht="98.25" hidden="false" customHeight="true" outlineLevel="0" collapsed="false">
      <c r="A428" s="62" t="n">
        <f aca="false">A427+1</f>
        <v>421</v>
      </c>
      <c r="B428" s="63" t="str">
        <f aca="false">VLOOKUP(A428,BD_ORDENES!A:BG,12,FALSE())</f>
        <v>__export__.product_product_326210_9686e823</v>
      </c>
      <c r="C428" s="64" t="n">
        <v>421</v>
      </c>
      <c r="D428" s="65" t="str">
        <f aca="false">VLOOKUP(A428,BD_ORDENES!A:BE,10,0)</f>
        <v>FB</v>
      </c>
      <c r="E428" s="66" t="str">
        <f aca="false">VLOOKUP(A428,BD_ORDENES!A:BG,4,FALSE())</f>
        <v>EL091</v>
      </c>
      <c r="F428" s="66" t="str">
        <f aca="false">VLOOKUP(A428,BD_ORDENES!A:BE,56,FALSE())</f>
        <v>S258187</v>
      </c>
      <c r="G428" s="67" t="str">
        <f aca="false">VLOOKUP(A428,BD_ORDENES!A:BE,13,FALSE())</f>
        <v>PORCELANA ELEFANTE ORIGAMI S BLANCO AZUL</v>
      </c>
      <c r="H428" s="68" t="str">
        <f aca="false">VLOOKUP(A428,BD_ORDENES!A:BE,17,FALSE())</f>
        <v>PORCELANA</v>
      </c>
      <c r="I428" s="68" t="str">
        <f aca="false">VLOOKUP(A428,BD_ORDENES!A:BE,18,FALSE())</f>
        <v>ELEFANTE-ORIGAMI-S-BLANCO-AZUL</v>
      </c>
      <c r="J428" s="68" t="n">
        <f aca="false">VLOOKUP(A428,BD_ORDENES!A:BE,19,FALSE())</f>
        <v>0</v>
      </c>
      <c r="K428" s="68" t="n">
        <f aca="false">VLOOKUP(A428,BD_ORDENES!A:BE,20,FALSE())</f>
        <v>0</v>
      </c>
      <c r="L428" s="68" t="n">
        <f aca="false">VLOOKUP(A428,BD_ORDENES!A:BE,21,FALSE())</f>
        <v>0</v>
      </c>
      <c r="M428" s="69" t="n">
        <f aca="false">VLOOKUP(A428,BD_ORDENES!A:BE,14,FALSE())</f>
        <v>1</v>
      </c>
      <c r="N428" s="68" t="n">
        <f aca="false">VLOOKUP(A428,BD_ORDENES!A:BE,15,FALSE())</f>
        <v>0</v>
      </c>
      <c r="O428" s="68" t="str">
        <f aca="false">VLOOKUP(A428,BD_ORDENES!A:BE,33,FALSE())</f>
        <v>CONTRA ENTREGA SALDO</v>
      </c>
      <c r="P428" s="68" t="n">
        <f aca="false">VLOOKUP(A428,BD_ORDENES!A:BE,23,FALSE())</f>
        <v>0</v>
      </c>
      <c r="Q428" s="68" t="str">
        <f aca="false">VLOOKUP(A428,BD_ORDENES!A:BE,52,FALSE())</f>
        <v>Retiro DECORACION POR ENTREGAR</v>
      </c>
      <c r="R428" s="68" t="str">
        <f aca="false">VLOOKUP(A428,BD_ORDENES!A:BE,25,FALSE())</f>
        <v>TUNJA</v>
      </c>
      <c r="S428" s="68" t="str">
        <f aca="false">VLOOKUP(A428,BD_ORDENES!A:BE,22,FALSE())</f>
        <v>ANA RUANO CARDENAS</v>
      </c>
      <c r="T428" s="65" t="str">
        <f aca="false">VLOOKUP(A428,BD_ORDENES!A:BE,55,FALSE())</f>
        <v>BODEGA LISTO</v>
      </c>
      <c r="U428" s="68" t="str">
        <f aca="false">VLOOKUP(A428,BD_ORDENES!A:BE,57,FALSE())</f>
        <v>0 BODEGA</v>
      </c>
      <c r="V428" s="70"/>
      <c r="W428" s="71"/>
    </row>
    <row r="429" s="72" customFormat="true" ht="98.25" hidden="false" customHeight="true" outlineLevel="0" collapsed="false">
      <c r="A429" s="62" t="n">
        <f aca="false">A428+1</f>
        <v>422</v>
      </c>
      <c r="B429" s="63" t="str">
        <f aca="false">VLOOKUP(A429,BD_ORDENES!A:BG,12,FALSE())</f>
        <v>__export__.product_product_180183_14a2b288</v>
      </c>
      <c r="C429" s="64" t="n">
        <v>422</v>
      </c>
      <c r="D429" s="65" t="str">
        <f aca="false">VLOOKUP(A429,BD_ORDENES!A:BE,10,0)</f>
        <v>FB</v>
      </c>
      <c r="E429" s="66" t="str">
        <f aca="false">VLOOKUP(A429,BD_ORDENES!A:BG,4,FALSE())</f>
        <v>EL091</v>
      </c>
      <c r="F429" s="66" t="str">
        <f aca="false">VLOOKUP(A429,BD_ORDENES!A:BE,56,FALSE())</f>
        <v>S258187</v>
      </c>
      <c r="G429" s="67" t="str">
        <f aca="false">VLOOKUP(A429,BD_ORDENES!A:BE,13,FALSE())</f>
        <v>POLTRONA PORTO DUSTER AZUL (MATIZ NATURAL)</v>
      </c>
      <c r="H429" s="68" t="str">
        <f aca="false">VLOOKUP(A429,BD_ORDENES!A:BE,17,FALSE())</f>
        <v>POLTRONA</v>
      </c>
      <c r="I429" s="68" t="str">
        <f aca="false">VLOOKUP(A429,BD_ORDENES!A:BE,18,FALSE())</f>
        <v>PORTO</v>
      </c>
      <c r="J429" s="68" t="str">
        <f aca="false">VLOOKUP(A429,BD_ORDENES!A:BE,19,FALSE())</f>
        <v>DUSTER</v>
      </c>
      <c r="K429" s="68" t="str">
        <f aca="false">VLOOKUP(A429,BD_ORDENES!A:BE,20,FALSE())</f>
        <v>AZUL</v>
      </c>
      <c r="L429" s="68" t="str">
        <f aca="false">VLOOKUP(A429,BD_ORDENES!A:BE,21,FALSE())</f>
        <v>MATIZ-NATURAL</v>
      </c>
      <c r="M429" s="69" t="n">
        <f aca="false">VLOOKUP(A429,BD_ORDENES!A:BE,14,FALSE())</f>
        <v>2</v>
      </c>
      <c r="N429" s="68" t="n">
        <f aca="false">VLOOKUP(A429,BD_ORDENES!A:BE,15,FALSE())</f>
        <v>0</v>
      </c>
      <c r="O429" s="68" t="str">
        <f aca="false">VLOOKUP(A429,BD_ORDENES!A:BE,33,FALSE())</f>
        <v>CONTRA ENTREGA SALDO</v>
      </c>
      <c r="P429" s="68" t="n">
        <f aca="false">VLOOKUP(A429,BD_ORDENES!A:BE,23,FALSE())</f>
        <v>0</v>
      </c>
      <c r="Q429" s="68" t="str">
        <f aca="false">VLOOKUP(A429,BD_ORDENES!A:BE,52,FALSE())</f>
        <v>Obtener Bajo Pedido (MTO)</v>
      </c>
      <c r="R429" s="68" t="str">
        <f aca="false">VLOOKUP(A429,BD_ORDENES!A:BE,25,FALSE())</f>
        <v>TUNJA</v>
      </c>
      <c r="S429" s="68" t="str">
        <f aca="false">VLOOKUP(A429,BD_ORDENES!A:BE,22,FALSE())</f>
        <v>ANA RUANO CARDENAS</v>
      </c>
      <c r="T429" s="65" t="str">
        <f aca="false">VLOOKUP(A429,BD_ORDENES!A:BE,55,FALSE())</f>
        <v>BODEGA LISTO</v>
      </c>
      <c r="U429" s="68" t="str">
        <f aca="false">VLOOKUP(A429,BD_ORDENES!A:BE,57,FALSE())</f>
        <v>0 BODEGA</v>
      </c>
      <c r="V429" s="70"/>
      <c r="W429" s="71"/>
    </row>
    <row r="430" s="72" customFormat="true" ht="98.25" hidden="false" customHeight="true" outlineLevel="0" collapsed="false">
      <c r="A430" s="62" t="n">
        <f aca="false">A429+1</f>
        <v>423</v>
      </c>
      <c r="B430" s="63" t="str">
        <f aca="false">VLOOKUP(A430,BD_ORDENES!A:BG,12,FALSE())</f>
        <v>__export__.product_product_185899_163ee261</v>
      </c>
      <c r="C430" s="64" t="n">
        <v>423</v>
      </c>
      <c r="D430" s="65" t="str">
        <f aca="false">VLOOKUP(A430,BD_ORDENES!A:BE,10,0)</f>
        <v>FB</v>
      </c>
      <c r="E430" s="66" t="str">
        <f aca="false">VLOOKUP(A430,BD_ORDENES!A:BG,4,FALSE())</f>
        <v>EL091</v>
      </c>
      <c r="F430" s="66" t="str">
        <f aca="false">VLOOKUP(A430,BD_ORDENES!A:BE,56,FALSE())</f>
        <v>S258187</v>
      </c>
      <c r="G430" s="67" t="str">
        <f aca="false">VLOOKUP(A430,BD_ORDENES!A:BE,13,FALSE())</f>
        <v>PUFF PORTO DUSTER PLATA (MATIZ NATURAL)</v>
      </c>
      <c r="H430" s="68" t="str">
        <f aca="false">VLOOKUP(A430,BD_ORDENES!A:BE,17,FALSE())</f>
        <v>PUFF</v>
      </c>
      <c r="I430" s="68" t="str">
        <f aca="false">VLOOKUP(A430,BD_ORDENES!A:BE,18,FALSE())</f>
        <v>PORTO</v>
      </c>
      <c r="J430" s="68" t="str">
        <f aca="false">VLOOKUP(A430,BD_ORDENES!A:BE,19,FALSE())</f>
        <v>DUSTER</v>
      </c>
      <c r="K430" s="68" t="str">
        <f aca="false">VLOOKUP(A430,BD_ORDENES!A:BE,20,FALSE())</f>
        <v>PLATA</v>
      </c>
      <c r="L430" s="68" t="str">
        <f aca="false">VLOOKUP(A430,BD_ORDENES!A:BE,21,FALSE())</f>
        <v>MATIZ-NATURAL</v>
      </c>
      <c r="M430" s="69" t="n">
        <f aca="false">VLOOKUP(A430,BD_ORDENES!A:BE,14,FALSE())</f>
        <v>1</v>
      </c>
      <c r="N430" s="68" t="n">
        <f aca="false">VLOOKUP(A430,BD_ORDENES!A:BE,15,FALSE())</f>
        <v>0</v>
      </c>
      <c r="O430" s="68" t="str">
        <f aca="false">VLOOKUP(A430,BD_ORDENES!A:BE,33,FALSE())</f>
        <v>CONTRA ENTREGA SALDO</v>
      </c>
      <c r="P430" s="68" t="n">
        <f aca="false">VLOOKUP(A430,BD_ORDENES!A:BE,23,FALSE())</f>
        <v>0</v>
      </c>
      <c r="Q430" s="68" t="str">
        <f aca="false">VLOOKUP(A430,BD_ORDENES!A:BE,52,FALSE())</f>
        <v>Obtener Bajo Pedido (MTO)</v>
      </c>
      <c r="R430" s="68" t="str">
        <f aca="false">VLOOKUP(A430,BD_ORDENES!A:BE,25,FALSE())</f>
        <v>TUNJA</v>
      </c>
      <c r="S430" s="68" t="str">
        <f aca="false">VLOOKUP(A430,BD_ORDENES!A:BE,22,FALSE())</f>
        <v>ANA RUANO CARDENAS</v>
      </c>
      <c r="T430" s="65" t="str">
        <f aca="false">VLOOKUP(A430,BD_ORDENES!A:BE,55,FALSE())</f>
        <v>BODEGA LISTO</v>
      </c>
      <c r="U430" s="68" t="str">
        <f aca="false">VLOOKUP(A430,BD_ORDENES!A:BE,57,FALSE())</f>
        <v>0 BODEGA</v>
      </c>
      <c r="V430" s="70"/>
      <c r="W430" s="71"/>
    </row>
    <row r="431" s="72" customFormat="true" ht="98.25" hidden="false" customHeight="true" outlineLevel="0" collapsed="false">
      <c r="A431" s="62" t="n">
        <f aca="false">A430+1</f>
        <v>424</v>
      </c>
      <c r="B431" s="63" t="str">
        <f aca="false">VLOOKUP(A431,BD_ORDENES!A:BG,12,FALSE())</f>
        <v>__export__.product_product_268446_3ad454b1</v>
      </c>
      <c r="C431" s="64" t="n">
        <v>424</v>
      </c>
      <c r="D431" s="65" t="str">
        <f aca="false">VLOOKUP(A431,BD_ORDENES!A:BE,10,0)</f>
        <v>FB</v>
      </c>
      <c r="E431" s="66" t="str">
        <f aca="false">VLOOKUP(A431,BD_ORDENES!A:BG,4,FALSE())</f>
        <v>EL091</v>
      </c>
      <c r="F431" s="66" t="str">
        <f aca="false">VLOOKUP(A431,BD_ORDENES!A:BE,56,FALSE())</f>
        <v>S258187</v>
      </c>
      <c r="G431" s="67" t="str">
        <f aca="false">VLOOKUP(A431,BD_ORDENES!A:BE,13,FALSE())</f>
        <v>MESA DE CENTRO DAYTONA BLANCO (MATIZ NATURAL)</v>
      </c>
      <c r="H431" s="68" t="str">
        <f aca="false">VLOOKUP(A431,BD_ORDENES!A:BE,17,FALSE())</f>
        <v>MESA-CENTRO</v>
      </c>
      <c r="I431" s="68" t="str">
        <f aca="false">VLOOKUP(A431,BD_ORDENES!A:BE,18,FALSE())</f>
        <v>DAYTONA</v>
      </c>
      <c r="J431" s="68" t="n">
        <f aca="false">VLOOKUP(A431,BD_ORDENES!A:BE,19,FALSE())</f>
        <v>0</v>
      </c>
      <c r="K431" s="68" t="str">
        <f aca="false">VLOOKUP(A431,BD_ORDENES!A:BE,20,FALSE())</f>
        <v>BLANCO</v>
      </c>
      <c r="L431" s="68" t="str">
        <f aca="false">VLOOKUP(A431,BD_ORDENES!A:BE,21,FALSE())</f>
        <v>MATIZ-NATURAL</v>
      </c>
      <c r="M431" s="69" t="n">
        <f aca="false">VLOOKUP(A431,BD_ORDENES!A:BE,14,FALSE())</f>
        <v>1</v>
      </c>
      <c r="N431" s="68" t="n">
        <f aca="false">VLOOKUP(A431,BD_ORDENES!A:BE,15,FALSE())</f>
        <v>0</v>
      </c>
      <c r="O431" s="68" t="str">
        <f aca="false">VLOOKUP(A431,BD_ORDENES!A:BE,33,FALSE())</f>
        <v>CONTRA ENTREGA SALDO</v>
      </c>
      <c r="P431" s="68" t="n">
        <f aca="false">VLOOKUP(A431,BD_ORDENES!A:BE,23,FALSE())</f>
        <v>0</v>
      </c>
      <c r="Q431" s="68" t="str">
        <f aca="false">VLOOKUP(A431,BD_ORDENES!A:BE,52,FALSE())</f>
        <v>Obtener Bajo Pedido (MTO)</v>
      </c>
      <c r="R431" s="68" t="str">
        <f aca="false">VLOOKUP(A431,BD_ORDENES!A:BE,25,FALSE())</f>
        <v>TUNJA</v>
      </c>
      <c r="S431" s="68" t="str">
        <f aca="false">VLOOKUP(A431,BD_ORDENES!A:BE,22,FALSE())</f>
        <v>ANA RUANO CARDENAS</v>
      </c>
      <c r="T431" s="65" t="str">
        <f aca="false">VLOOKUP(A431,BD_ORDENES!A:BE,55,FALSE())</f>
        <v>BODEGA LISTO</v>
      </c>
      <c r="U431" s="68" t="str">
        <f aca="false">VLOOKUP(A431,BD_ORDENES!A:BE,57,FALSE())</f>
        <v>0 BODEGA</v>
      </c>
      <c r="V431" s="70"/>
      <c r="W431" s="71"/>
    </row>
    <row r="432" s="72" customFormat="true" ht="98.25" hidden="false" customHeight="true" outlineLevel="0" collapsed="false">
      <c r="A432" s="62" t="n">
        <f aca="false">A431+1</f>
        <v>425</v>
      </c>
      <c r="B432" s="63" t="str">
        <f aca="false">VLOOKUP(A432,BD_ORDENES!A:BG,12,FALSE())</f>
        <v>__export__.product_product_188084_42fac5a8</v>
      </c>
      <c r="C432" s="64" t="n">
        <v>425</v>
      </c>
      <c r="D432" s="65" t="str">
        <f aca="false">VLOOKUP(A432,BD_ORDENES!A:BE,10,0)</f>
        <v>FB</v>
      </c>
      <c r="E432" s="66" t="str">
        <f aca="false">VLOOKUP(A432,BD_ORDENES!A:BG,4,FALSE())</f>
        <v>EL091</v>
      </c>
      <c r="F432" s="66" t="str">
        <f aca="false">VLOOKUP(A432,BD_ORDENES!A:BE,56,FALSE())</f>
        <v>S258187</v>
      </c>
      <c r="G432" s="67" t="str">
        <f aca="false">VLOOKUP(A432,BD_ORDENES!A:BE,13,FALSE())</f>
        <v>COJIN VENECIA DUSTER AZUL</v>
      </c>
      <c r="H432" s="68" t="str">
        <f aca="false">VLOOKUP(A432,BD_ORDENES!A:BE,17,FALSE())</f>
        <v>COJIN</v>
      </c>
      <c r="I432" s="68" t="str">
        <f aca="false">VLOOKUP(A432,BD_ORDENES!A:BE,18,FALSE())</f>
        <v>VENECIA</v>
      </c>
      <c r="J432" s="68" t="str">
        <f aca="false">VLOOKUP(A432,BD_ORDENES!A:BE,19,FALSE())</f>
        <v>DUSTER</v>
      </c>
      <c r="K432" s="68" t="str">
        <f aca="false">VLOOKUP(A432,BD_ORDENES!A:BE,20,FALSE())</f>
        <v>AZUL</v>
      </c>
      <c r="L432" s="68" t="n">
        <f aca="false">VLOOKUP(A432,BD_ORDENES!A:BE,21,FALSE())</f>
        <v>0</v>
      </c>
      <c r="M432" s="69" t="n">
        <f aca="false">VLOOKUP(A432,BD_ORDENES!A:BE,14,FALSE())</f>
        <v>2</v>
      </c>
      <c r="N432" s="68" t="n">
        <f aca="false">VLOOKUP(A432,BD_ORDENES!A:BE,15,FALSE())</f>
        <v>0</v>
      </c>
      <c r="O432" s="68" t="str">
        <f aca="false">VLOOKUP(A432,BD_ORDENES!A:BE,33,FALSE())</f>
        <v>CONTRA ENTREGA SALDO</v>
      </c>
      <c r="P432" s="68" t="n">
        <f aca="false">VLOOKUP(A432,BD_ORDENES!A:BE,23,FALSE())</f>
        <v>0</v>
      </c>
      <c r="Q432" s="68" t="str">
        <f aca="false">VLOOKUP(A432,BD_ORDENES!A:BE,52,FALSE())</f>
        <v>Obtener Bajo Pedido (MTO)</v>
      </c>
      <c r="R432" s="68" t="str">
        <f aca="false">VLOOKUP(A432,BD_ORDENES!A:BE,25,FALSE())</f>
        <v>TUNJA</v>
      </c>
      <c r="S432" s="68" t="str">
        <f aca="false">VLOOKUP(A432,BD_ORDENES!A:BE,22,FALSE())</f>
        <v>ANA RUANO CARDENAS</v>
      </c>
      <c r="T432" s="65" t="str">
        <f aca="false">VLOOKUP(A432,BD_ORDENES!A:BE,55,FALSE())</f>
        <v>BODEGA LISTO</v>
      </c>
      <c r="U432" s="68" t="str">
        <f aca="false">VLOOKUP(A432,BD_ORDENES!A:BE,57,FALSE())</f>
        <v>0 BODEGA</v>
      </c>
      <c r="V432" s="70"/>
      <c r="W432" s="71"/>
    </row>
    <row r="433" s="72" customFormat="true" ht="98.25" hidden="false" customHeight="true" outlineLevel="0" collapsed="false">
      <c r="A433" s="62" t="n">
        <f aca="false">A432+1</f>
        <v>426</v>
      </c>
      <c r="B433" s="63" t="str">
        <f aca="false">VLOOKUP(A433,BD_ORDENES!A:BG,12,FALSE())</f>
        <v>__export__.product_product_188087_bd864150</v>
      </c>
      <c r="C433" s="64" t="n">
        <v>426</v>
      </c>
      <c r="D433" s="65" t="str">
        <f aca="false">VLOOKUP(A433,BD_ORDENES!A:BE,10,0)</f>
        <v>FB</v>
      </c>
      <c r="E433" s="66" t="str">
        <f aca="false">VLOOKUP(A433,BD_ORDENES!A:BG,4,FALSE())</f>
        <v>EL091</v>
      </c>
      <c r="F433" s="66" t="str">
        <f aca="false">VLOOKUP(A433,BD_ORDENES!A:BE,56,FALSE())</f>
        <v>S258187</v>
      </c>
      <c r="G433" s="67" t="str">
        <f aca="false">VLOOKUP(A433,BD_ORDENES!A:BE,13,FALSE())</f>
        <v>COJIN VENECIA DUSTER PLATA</v>
      </c>
      <c r="H433" s="68" t="str">
        <f aca="false">VLOOKUP(A433,BD_ORDENES!A:BE,17,FALSE())</f>
        <v>COJIN</v>
      </c>
      <c r="I433" s="68" t="str">
        <f aca="false">VLOOKUP(A433,BD_ORDENES!A:BE,18,FALSE())</f>
        <v>VENECIA</v>
      </c>
      <c r="J433" s="68" t="str">
        <f aca="false">VLOOKUP(A433,BD_ORDENES!A:BE,19,FALSE())</f>
        <v>DUSTER</v>
      </c>
      <c r="K433" s="68" t="str">
        <f aca="false">VLOOKUP(A433,BD_ORDENES!A:BE,20,FALSE())</f>
        <v>PLATA</v>
      </c>
      <c r="L433" s="68" t="n">
        <f aca="false">VLOOKUP(A433,BD_ORDENES!A:BE,21,FALSE())</f>
        <v>0</v>
      </c>
      <c r="M433" s="69" t="n">
        <f aca="false">VLOOKUP(A433,BD_ORDENES!A:BE,14,FALSE())</f>
        <v>1</v>
      </c>
      <c r="N433" s="68" t="n">
        <f aca="false">VLOOKUP(A433,BD_ORDENES!A:BE,15,FALSE())</f>
        <v>0</v>
      </c>
      <c r="O433" s="68" t="str">
        <f aca="false">VLOOKUP(A433,BD_ORDENES!A:BE,33,FALSE())</f>
        <v>CONTRA ENTREGA SALDO</v>
      </c>
      <c r="P433" s="68" t="n">
        <f aca="false">VLOOKUP(A433,BD_ORDENES!A:BE,23,FALSE())</f>
        <v>0</v>
      </c>
      <c r="Q433" s="68" t="str">
        <f aca="false">VLOOKUP(A433,BD_ORDENES!A:BE,52,FALSE())</f>
        <v>Obtener Bajo Pedido (MTO)</v>
      </c>
      <c r="R433" s="68" t="str">
        <f aca="false">VLOOKUP(A433,BD_ORDENES!A:BE,25,FALSE())</f>
        <v>TUNJA</v>
      </c>
      <c r="S433" s="68" t="str">
        <f aca="false">VLOOKUP(A433,BD_ORDENES!A:BE,22,FALSE())</f>
        <v>ANA RUANO CARDENAS</v>
      </c>
      <c r="T433" s="65" t="str">
        <f aca="false">VLOOKUP(A433,BD_ORDENES!A:BE,55,FALSE())</f>
        <v>BODEGA LISTO</v>
      </c>
      <c r="U433" s="68" t="str">
        <f aca="false">VLOOKUP(A433,BD_ORDENES!A:BE,57,FALSE())</f>
        <v>0 BODEGA</v>
      </c>
      <c r="V433" s="70"/>
      <c r="W433" s="71"/>
    </row>
    <row r="434" s="72" customFormat="true" ht="98.25" hidden="false" customHeight="true" outlineLevel="0" collapsed="false">
      <c r="A434" s="62" t="n">
        <f aca="false">A433+1</f>
        <v>427</v>
      </c>
      <c r="B434" s="63" t="str">
        <f aca="false">VLOOKUP(A434,BD_ORDENES!A:BG,12,FALSE())</f>
        <v>__export__.product_product_333574_973595ce</v>
      </c>
      <c r="C434" s="64" t="n">
        <v>427</v>
      </c>
      <c r="D434" s="65" t="str">
        <f aca="false">VLOOKUP(A434,BD_ORDENES!A:BE,10,0)</f>
        <v>FB</v>
      </c>
      <c r="E434" s="66" t="str">
        <f aca="false">VLOOKUP(A434,BD_ORDENES!A:BG,4,FALSE())</f>
        <v>EL091</v>
      </c>
      <c r="F434" s="66" t="str">
        <f aca="false">VLOOKUP(A434,BD_ORDENES!A:BE,56,FALSE())</f>
        <v>S258187</v>
      </c>
      <c r="G434" s="67" t="str">
        <f aca="false">VLOOKUP(A434,BD_ORDENES!A:BE,13,FALSE())</f>
        <v>CAMA LENNON QUEEN SKY GRIS</v>
      </c>
      <c r="H434" s="68" t="str">
        <f aca="false">VLOOKUP(A434,BD_ORDENES!A:BE,17,FALSE())</f>
        <v>CAMA</v>
      </c>
      <c r="I434" s="68" t="str">
        <f aca="false">VLOOKUP(A434,BD_ORDENES!A:BE,18,FALSE())</f>
        <v>LENNON-QUEEN</v>
      </c>
      <c r="J434" s="68" t="str">
        <f aca="false">VLOOKUP(A434,BD_ORDENES!A:BE,19,FALSE())</f>
        <v>SKY</v>
      </c>
      <c r="K434" s="68" t="str">
        <f aca="false">VLOOKUP(A434,BD_ORDENES!A:BE,20,FALSE())</f>
        <v>GRIS</v>
      </c>
      <c r="L434" s="68" t="n">
        <f aca="false">VLOOKUP(A434,BD_ORDENES!A:BE,21,FALSE())</f>
        <v>0</v>
      </c>
      <c r="M434" s="69" t="n">
        <f aca="false">VLOOKUP(A434,BD_ORDENES!A:BE,14,FALSE())</f>
        <v>1</v>
      </c>
      <c r="N434" s="68" t="n">
        <f aca="false">VLOOKUP(A434,BD_ORDENES!A:BE,15,FALSE())</f>
        <v>0</v>
      </c>
      <c r="O434" s="68" t="str">
        <f aca="false">VLOOKUP(A434,BD_ORDENES!A:BE,33,FALSE())</f>
        <v>CONTRA ENTREGA SALDO</v>
      </c>
      <c r="P434" s="68" t="n">
        <f aca="false">VLOOKUP(A434,BD_ORDENES!A:BE,23,FALSE())</f>
        <v>0</v>
      </c>
      <c r="Q434" s="68" t="str">
        <f aca="false">VLOOKUP(A434,BD_ORDENES!A:BE,52,FALSE())</f>
        <v>Obtener Bajo Pedido (MTO)</v>
      </c>
      <c r="R434" s="68" t="str">
        <f aca="false">VLOOKUP(A434,BD_ORDENES!A:BE,25,FALSE())</f>
        <v>TUNJA</v>
      </c>
      <c r="S434" s="68" t="str">
        <f aca="false">VLOOKUP(A434,BD_ORDENES!A:BE,22,FALSE())</f>
        <v>ANA RUANO CARDENAS</v>
      </c>
      <c r="T434" s="65" t="str">
        <f aca="false">VLOOKUP(A434,BD_ORDENES!A:BE,55,FALSE())</f>
        <v>BODEGA LISTO</v>
      </c>
      <c r="U434" s="68" t="str">
        <f aca="false">VLOOKUP(A434,BD_ORDENES!A:BE,57,FALSE())</f>
        <v>0 BODEGA</v>
      </c>
      <c r="V434" s="70"/>
      <c r="W434" s="71"/>
    </row>
    <row r="435" s="72" customFormat="true" ht="98.25" hidden="false" customHeight="true" outlineLevel="0" collapsed="false">
      <c r="A435" s="62" t="n">
        <f aca="false">A434+1</f>
        <v>428</v>
      </c>
      <c r="B435" s="63" t="str">
        <f aca="false">VLOOKUP(A435,BD_ORDENES!A:BG,12,FALSE())</f>
        <v>__export__.product_product_163222_d03da989</v>
      </c>
      <c r="C435" s="64" t="n">
        <v>428</v>
      </c>
      <c r="D435" s="65" t="str">
        <f aca="false">VLOOKUP(A435,BD_ORDENES!A:BE,10,0)</f>
        <v>VF</v>
      </c>
      <c r="E435" s="66" t="str">
        <f aca="false">VLOOKUP(A435,BD_ORDENES!A:BG,4,FALSE())</f>
        <v>CM448</v>
      </c>
      <c r="F435" s="66" t="str">
        <f aca="false">VLOOKUP(A435,BD_ORDENES!A:BE,56,FALSE())</f>
        <v>S246353</v>
      </c>
      <c r="G435" s="67" t="str">
        <f aca="false">VLOOKUP(A435,BD_ORDENES!A:BE,13,FALSE())</f>
        <v>MESA LUGO MATIZ JG6 BLANCO (MATIZ CARAMELO)</v>
      </c>
      <c r="H435" s="68" t="str">
        <f aca="false">VLOOKUP(A435,BD_ORDENES!A:BE,17,FALSE())</f>
        <v>MESA</v>
      </c>
      <c r="I435" s="68" t="str">
        <f aca="false">VLOOKUP(A435,BD_ORDENES!A:BE,18,FALSE())</f>
        <v>LUGO-MATIZ-JG6</v>
      </c>
      <c r="J435" s="68" t="n">
        <f aca="false">VLOOKUP(A435,BD_ORDENES!A:BE,19,FALSE())</f>
        <v>0</v>
      </c>
      <c r="K435" s="68" t="str">
        <f aca="false">VLOOKUP(A435,BD_ORDENES!A:BE,20,FALSE())</f>
        <v>BLANCO</v>
      </c>
      <c r="L435" s="68" t="str">
        <f aca="false">VLOOKUP(A435,BD_ORDENES!A:BE,21,FALSE())</f>
        <v>MATIZ-CARAMELO</v>
      </c>
      <c r="M435" s="69" t="n">
        <f aca="false">VLOOKUP(A435,BD_ORDENES!A:BE,14,FALSE())</f>
        <v>1</v>
      </c>
      <c r="N435" s="68" t="n">
        <f aca="false">VLOOKUP(A435,BD_ORDENES!A:BE,15,FALSE())</f>
        <v>0</v>
      </c>
      <c r="O435" s="68" t="str">
        <f aca="false">VLOOKUP(A435,BD_ORDENES!A:BE,33,FALSE())</f>
        <v>ENVIO TUNJA - SIN SALDO</v>
      </c>
      <c r="P435" s="68" t="n">
        <f aca="false">VLOOKUP(A435,BD_ORDENES!A:BE,23,FALSE())</f>
        <v>0</v>
      </c>
      <c r="Q435" s="68" t="str">
        <f aca="false">VLOOKUP(A435,BD_ORDENES!A:BE,52,FALSE())</f>
        <v>Obtener Bajo Pedido (MTO)</v>
      </c>
      <c r="R435" s="68" t="str">
        <f aca="false">VLOOKUP(A435,BD_ORDENES!A:BE,25,FALSE())</f>
        <v>TUNJA</v>
      </c>
      <c r="S435" s="68" t="str">
        <f aca="false">VLOOKUP(A435,BD_ORDENES!A:BE,22,FALSE())</f>
        <v>YENY QUINTERO</v>
      </c>
      <c r="T435" s="65" t="str">
        <f aca="false">VLOOKUP(A435,BD_ORDENES!A:BE,55,FALSE())</f>
        <v>BODEGA LISTO</v>
      </c>
      <c r="U435" s="68" t="str">
        <f aca="false">VLOOKUP(A435,BD_ORDENES!A:BE,57,FALSE())</f>
        <v>0 BODEGA</v>
      </c>
      <c r="V435" s="70"/>
      <c r="W435" s="71"/>
    </row>
    <row r="436" s="72" customFormat="true" ht="98.25" hidden="false" customHeight="true" outlineLevel="0" collapsed="false">
      <c r="A436" s="62" t="n">
        <f aca="false">A435+1</f>
        <v>429</v>
      </c>
      <c r="B436" s="63" t="str">
        <f aca="false">VLOOKUP(A436,BD_ORDENES!A:BG,12,FALSE())</f>
        <v>__export__.product_product_162469_02db3b9a</v>
      </c>
      <c r="C436" s="64" t="n">
        <v>429</v>
      </c>
      <c r="D436" s="65" t="str">
        <f aca="false">VLOOKUP(A436,BD_ORDENES!A:BE,10,0)</f>
        <v>VF</v>
      </c>
      <c r="E436" s="66" t="str">
        <f aca="false">VLOOKUP(A436,BD_ORDENES!A:BG,4,FALSE())</f>
        <v>CM448</v>
      </c>
      <c r="F436" s="66" t="str">
        <f aca="false">VLOOKUP(A436,BD_ORDENES!A:BE,56,FALSE())</f>
        <v>S246353</v>
      </c>
      <c r="G436" s="67" t="str">
        <f aca="false">VLOOKUP(A436,BD_ORDENES!A:BE,13,FALSE())</f>
        <v>MESA DE NOCHE LIBIA BLANCO-MACULA (MATIZ CARAMELO)</v>
      </c>
      <c r="H436" s="68" t="str">
        <f aca="false">VLOOKUP(A436,BD_ORDENES!A:BE,17,FALSE())</f>
        <v>MESA-NOCHE</v>
      </c>
      <c r="I436" s="68" t="str">
        <f aca="false">VLOOKUP(A436,BD_ORDENES!A:BE,18,FALSE())</f>
        <v>LIBIA</v>
      </c>
      <c r="J436" s="68" t="n">
        <f aca="false">VLOOKUP(A436,BD_ORDENES!A:BE,19,FALSE())</f>
        <v>0</v>
      </c>
      <c r="K436" s="68" t="str">
        <f aca="false">VLOOKUP(A436,BD_ORDENES!A:BE,20,FALSE())</f>
        <v>BLANCO-MACULA</v>
      </c>
      <c r="L436" s="68" t="str">
        <f aca="false">VLOOKUP(A436,BD_ORDENES!A:BE,21,FALSE())</f>
        <v>MATIZ-CARAMELO</v>
      </c>
      <c r="M436" s="69" t="n">
        <f aca="false">VLOOKUP(A436,BD_ORDENES!A:BE,14,FALSE())</f>
        <v>2</v>
      </c>
      <c r="N436" s="68" t="n">
        <f aca="false">VLOOKUP(A436,BD_ORDENES!A:BE,15,FALSE())</f>
        <v>0</v>
      </c>
      <c r="O436" s="68" t="str">
        <f aca="false">VLOOKUP(A436,BD_ORDENES!A:BE,33,FALSE())</f>
        <v>ENVIO TUNJA - SIN SALDO</v>
      </c>
      <c r="P436" s="68" t="n">
        <f aca="false">VLOOKUP(A436,BD_ORDENES!A:BE,23,FALSE())</f>
        <v>0</v>
      </c>
      <c r="Q436" s="68" t="str">
        <f aca="false">VLOOKUP(A436,BD_ORDENES!A:BE,52,FALSE())</f>
        <v>Obtener Bajo Pedido (MTO)</v>
      </c>
      <c r="R436" s="68" t="str">
        <f aca="false">VLOOKUP(A436,BD_ORDENES!A:BE,25,FALSE())</f>
        <v>TUNJA</v>
      </c>
      <c r="S436" s="68" t="str">
        <f aca="false">VLOOKUP(A436,BD_ORDENES!A:BE,22,FALSE())</f>
        <v>YENY QUINTERO</v>
      </c>
      <c r="T436" s="65" t="str">
        <f aca="false">VLOOKUP(A436,BD_ORDENES!A:BE,55,FALSE())</f>
        <v>BODEGA LISTO</v>
      </c>
      <c r="U436" s="68" t="str">
        <f aca="false">VLOOKUP(A436,BD_ORDENES!A:BE,57,FALSE())</f>
        <v>0 BODEGA</v>
      </c>
      <c r="V436" s="70"/>
      <c r="W436" s="71"/>
    </row>
    <row r="437" s="72" customFormat="true" ht="98.25" hidden="false" customHeight="true" outlineLevel="0" collapsed="false">
      <c r="A437" s="62" t="n">
        <f aca="false">A436+1</f>
        <v>430</v>
      </c>
      <c r="B437" s="63" t="str">
        <f aca="false">VLOOKUP(A437,BD_ORDENES!A:BG,12,FALSE())</f>
        <v>__export__.product_product_330961_6a2a82df</v>
      </c>
      <c r="C437" s="64" t="n">
        <v>430</v>
      </c>
      <c r="D437" s="65" t="str">
        <f aca="false">VLOOKUP(A437,BD_ORDENES!A:BE,10,0)</f>
        <v>VF</v>
      </c>
      <c r="E437" s="66" t="str">
        <f aca="false">VLOOKUP(A437,BD_ORDENES!A:BG,4,FALSE())</f>
        <v>CM448</v>
      </c>
      <c r="F437" s="66" t="str">
        <f aca="false">VLOOKUP(A437,BD_ORDENES!A:BE,56,FALSE())</f>
        <v>S246353</v>
      </c>
      <c r="G437" s="67" t="str">
        <f aca="false">VLOOKUP(A437,BD_ORDENES!A:BE,13,FALSE())</f>
        <v>CAMA LENNON DOBLE DENVER PLATA</v>
      </c>
      <c r="H437" s="68" t="str">
        <f aca="false">VLOOKUP(A437,BD_ORDENES!A:BE,17,FALSE())</f>
        <v>CAMA</v>
      </c>
      <c r="I437" s="68" t="str">
        <f aca="false">VLOOKUP(A437,BD_ORDENES!A:BE,18,FALSE())</f>
        <v>LENNON-DOBLE</v>
      </c>
      <c r="J437" s="68" t="str">
        <f aca="false">VLOOKUP(A437,BD_ORDENES!A:BE,19,FALSE())</f>
        <v>DENVER</v>
      </c>
      <c r="K437" s="68" t="str">
        <f aca="false">VLOOKUP(A437,BD_ORDENES!A:BE,20,FALSE())</f>
        <v>PLATA</v>
      </c>
      <c r="L437" s="68" t="n">
        <f aca="false">VLOOKUP(A437,BD_ORDENES!A:BE,21,FALSE())</f>
        <v>0</v>
      </c>
      <c r="M437" s="69" t="n">
        <f aca="false">VLOOKUP(A437,BD_ORDENES!A:BE,14,FALSE())</f>
        <v>1</v>
      </c>
      <c r="N437" s="68" t="n">
        <f aca="false">VLOOKUP(A437,BD_ORDENES!A:BE,15,FALSE())</f>
        <v>0</v>
      </c>
      <c r="O437" s="68" t="str">
        <f aca="false">VLOOKUP(A437,BD_ORDENES!A:BE,33,FALSE())</f>
        <v>ENVIO TUNJA - SIN SALDO</v>
      </c>
      <c r="P437" s="68" t="n">
        <f aca="false">VLOOKUP(A437,BD_ORDENES!A:BE,23,FALSE())</f>
        <v>0</v>
      </c>
      <c r="Q437" s="68" t="str">
        <f aca="false">VLOOKUP(A437,BD_ORDENES!A:BE,52,FALSE())</f>
        <v>Obtener Bajo Pedido (MTO)</v>
      </c>
      <c r="R437" s="68" t="str">
        <f aca="false">VLOOKUP(A437,BD_ORDENES!A:BE,25,FALSE())</f>
        <v>TUNJA</v>
      </c>
      <c r="S437" s="68" t="str">
        <f aca="false">VLOOKUP(A437,BD_ORDENES!A:BE,22,FALSE())</f>
        <v>YENY QUINTERO</v>
      </c>
      <c r="T437" s="65" t="str">
        <f aca="false">VLOOKUP(A437,BD_ORDENES!A:BE,55,FALSE())</f>
        <v>BODEGA LISTO</v>
      </c>
      <c r="U437" s="68" t="str">
        <f aca="false">VLOOKUP(A437,BD_ORDENES!A:BE,57,FALSE())</f>
        <v>0 BODEGA</v>
      </c>
      <c r="V437" s="70"/>
      <c r="W437" s="71"/>
    </row>
    <row r="438" s="72" customFormat="true" ht="98.25" hidden="false" customHeight="true" outlineLevel="0" collapsed="false">
      <c r="A438" s="62" t="n">
        <f aca="false">A437+1</f>
        <v>431</v>
      </c>
      <c r="B438" s="63" t="str">
        <f aca="false">VLOOKUP(A438,BD_ORDENES!A:BG,12,FALSE())</f>
        <v>__export__.product_product_329194_a8be9d3f</v>
      </c>
      <c r="C438" s="64" t="n">
        <v>431</v>
      </c>
      <c r="D438" s="65" t="str">
        <f aca="false">VLOOKUP(A438,BD_ORDENES!A:BE,10,0)</f>
        <v>VF</v>
      </c>
      <c r="E438" s="66" t="str">
        <f aca="false">VLOOKUP(A438,BD_ORDENES!A:BG,4,FALSE())</f>
        <v>CM448</v>
      </c>
      <c r="F438" s="66" t="str">
        <f aca="false">VLOOKUP(A438,BD_ORDENES!A:BE,56,FALSE())</f>
        <v>S246353</v>
      </c>
      <c r="G438" s="67" t="str">
        <f aca="false">VLOOKUP(A438,BD_ORDENES!A:BE,13,FALSE())</f>
        <v>COJIN VENECIA SKY MOSTAZA</v>
      </c>
      <c r="H438" s="68" t="str">
        <f aca="false">VLOOKUP(A438,BD_ORDENES!A:BE,17,FALSE())</f>
        <v>COJIN</v>
      </c>
      <c r="I438" s="68" t="str">
        <f aca="false">VLOOKUP(A438,BD_ORDENES!A:BE,18,FALSE())</f>
        <v>VENECIA</v>
      </c>
      <c r="J438" s="68" t="str">
        <f aca="false">VLOOKUP(A438,BD_ORDENES!A:BE,19,FALSE())</f>
        <v>SKY</v>
      </c>
      <c r="K438" s="68" t="str">
        <f aca="false">VLOOKUP(A438,BD_ORDENES!A:BE,20,FALSE())</f>
        <v>MOSTAZA</v>
      </c>
      <c r="L438" s="68" t="n">
        <f aca="false">VLOOKUP(A438,BD_ORDENES!A:BE,21,FALSE())</f>
        <v>0</v>
      </c>
      <c r="M438" s="69" t="n">
        <f aca="false">VLOOKUP(A438,BD_ORDENES!A:BE,14,FALSE())</f>
        <v>2</v>
      </c>
      <c r="N438" s="68" t="n">
        <f aca="false">VLOOKUP(A438,BD_ORDENES!A:BE,15,FALSE())</f>
        <v>0</v>
      </c>
      <c r="O438" s="68" t="str">
        <f aca="false">VLOOKUP(A438,BD_ORDENES!A:BE,33,FALSE())</f>
        <v>ENVIO TUNJA - SIN SALDO</v>
      </c>
      <c r="P438" s="68" t="n">
        <f aca="false">VLOOKUP(A438,BD_ORDENES!A:BE,23,FALSE())</f>
        <v>0</v>
      </c>
      <c r="Q438" s="68" t="str">
        <f aca="false">VLOOKUP(A438,BD_ORDENES!A:BE,52,FALSE())</f>
        <v>Obtener Bajo Pedido (MTO)</v>
      </c>
      <c r="R438" s="68" t="str">
        <f aca="false">VLOOKUP(A438,BD_ORDENES!A:BE,25,FALSE())</f>
        <v>TUNJA</v>
      </c>
      <c r="S438" s="68" t="str">
        <f aca="false">VLOOKUP(A438,BD_ORDENES!A:BE,22,FALSE())</f>
        <v>YENY QUINTERO</v>
      </c>
      <c r="T438" s="65" t="str">
        <f aca="false">VLOOKUP(A438,BD_ORDENES!A:BE,55,FALSE())</f>
        <v>BODEGA LISTO</v>
      </c>
      <c r="U438" s="68" t="str">
        <f aca="false">VLOOKUP(A438,BD_ORDENES!A:BE,57,FALSE())</f>
        <v>0 BODEGA</v>
      </c>
      <c r="V438" s="70"/>
      <c r="W438" s="71"/>
    </row>
    <row r="439" s="72" customFormat="true" ht="98.25" hidden="false" customHeight="true" outlineLevel="0" collapsed="false">
      <c r="A439" s="62" t="n">
        <f aca="false">A438+1</f>
        <v>432</v>
      </c>
      <c r="B439" s="63" t="str">
        <f aca="false">VLOOKUP(A439,BD_ORDENES!A:BG,12,FALSE())</f>
        <v>__export__.product_product_331519_33c0204b</v>
      </c>
      <c r="C439" s="64" t="n">
        <v>432</v>
      </c>
      <c r="D439" s="65" t="str">
        <f aca="false">VLOOKUP(A439,BD_ORDENES!A:BE,10,0)</f>
        <v>VF</v>
      </c>
      <c r="E439" s="66" t="str">
        <f aca="false">VLOOKUP(A439,BD_ORDENES!A:BG,4,FALSE())</f>
        <v>CM448</v>
      </c>
      <c r="F439" s="66" t="str">
        <f aca="false">VLOOKUP(A439,BD_ORDENES!A:BE,56,FALSE())</f>
        <v>S246353</v>
      </c>
      <c r="G439" s="67" t="str">
        <f aca="false">VLOOKUP(A439,BD_ORDENES!A:BE,13,FALSE())</f>
        <v>SILLA SABINA SKY MOSTAZA (MATIZ CARAMELO)</v>
      </c>
      <c r="H439" s="68" t="str">
        <f aca="false">VLOOKUP(A439,BD_ORDENES!A:BE,17,FALSE())</f>
        <v>SILLA</v>
      </c>
      <c r="I439" s="68" t="str">
        <f aca="false">VLOOKUP(A439,BD_ORDENES!A:BE,18,FALSE())</f>
        <v>SABINA</v>
      </c>
      <c r="J439" s="68" t="str">
        <f aca="false">VLOOKUP(A439,BD_ORDENES!A:BE,19,FALSE())</f>
        <v>SKY</v>
      </c>
      <c r="K439" s="68" t="str">
        <f aca="false">VLOOKUP(A439,BD_ORDENES!A:BE,20,FALSE())</f>
        <v>MOSTAZA</v>
      </c>
      <c r="L439" s="68" t="str">
        <f aca="false">VLOOKUP(A439,BD_ORDENES!A:BE,21,FALSE())</f>
        <v>MATIZ-CARAMELO</v>
      </c>
      <c r="M439" s="69" t="n">
        <f aca="false">VLOOKUP(A439,BD_ORDENES!A:BE,14,FALSE())</f>
        <v>4</v>
      </c>
      <c r="N439" s="68" t="n">
        <f aca="false">VLOOKUP(A439,BD_ORDENES!A:BE,15,FALSE())</f>
        <v>0</v>
      </c>
      <c r="O439" s="68" t="str">
        <f aca="false">VLOOKUP(A439,BD_ORDENES!A:BE,33,FALSE())</f>
        <v>ENVIO TUNJA - SIN SALDO</v>
      </c>
      <c r="P439" s="68" t="n">
        <f aca="false">VLOOKUP(A439,BD_ORDENES!A:BE,23,FALSE())</f>
        <v>0</v>
      </c>
      <c r="Q439" s="68" t="str">
        <f aca="false">VLOOKUP(A439,BD_ORDENES!A:BE,52,FALSE())</f>
        <v>Obtener Bajo Pedido (MTO)</v>
      </c>
      <c r="R439" s="68" t="str">
        <f aca="false">VLOOKUP(A439,BD_ORDENES!A:BE,25,FALSE())</f>
        <v>TUNJA</v>
      </c>
      <c r="S439" s="68" t="str">
        <f aca="false">VLOOKUP(A439,BD_ORDENES!A:BE,22,FALSE())</f>
        <v>YENY QUINTERO</v>
      </c>
      <c r="T439" s="65" t="str">
        <f aca="false">VLOOKUP(A439,BD_ORDENES!A:BE,55,FALSE())</f>
        <v>BODEGA LISTO</v>
      </c>
      <c r="U439" s="68" t="str">
        <f aca="false">VLOOKUP(A439,BD_ORDENES!A:BE,57,FALSE())</f>
        <v>0 BODEGA</v>
      </c>
      <c r="V439" s="70"/>
      <c r="W439" s="71"/>
    </row>
    <row r="440" s="72" customFormat="true" ht="98.25" hidden="false" customHeight="true" outlineLevel="0" collapsed="false">
      <c r="A440" s="62" t="n">
        <f aca="false">A439+1</f>
        <v>433</v>
      </c>
      <c r="B440" s="63" t="str">
        <f aca="false">VLOOKUP(A440,BD_ORDENES!A:BG,12,FALSE())</f>
        <v>__export__.product_product_331516_58e5b372</v>
      </c>
      <c r="C440" s="64" t="n">
        <v>433</v>
      </c>
      <c r="D440" s="65" t="str">
        <f aca="false">VLOOKUP(A440,BD_ORDENES!A:BE,10,0)</f>
        <v>VF</v>
      </c>
      <c r="E440" s="66" t="str">
        <f aca="false">VLOOKUP(A440,BD_ORDENES!A:BG,4,FALSE())</f>
        <v>CM448</v>
      </c>
      <c r="F440" s="66" t="str">
        <f aca="false">VLOOKUP(A440,BD_ORDENES!A:BE,56,FALSE())</f>
        <v>S246353</v>
      </c>
      <c r="G440" s="67" t="str">
        <f aca="false">VLOOKUP(A440,BD_ORDENES!A:BE,13,FALSE())</f>
        <v>SILLA NOTO SKY TAUPE (MATIZ CARAMELO)</v>
      </c>
      <c r="H440" s="68" t="str">
        <f aca="false">VLOOKUP(A440,BD_ORDENES!A:BE,17,FALSE())</f>
        <v>SILLA</v>
      </c>
      <c r="I440" s="68" t="str">
        <f aca="false">VLOOKUP(A440,BD_ORDENES!A:BE,18,FALSE())</f>
        <v>NOTO</v>
      </c>
      <c r="J440" s="68" t="str">
        <f aca="false">VLOOKUP(A440,BD_ORDENES!A:BE,19,FALSE())</f>
        <v>SKY</v>
      </c>
      <c r="K440" s="68" t="str">
        <f aca="false">VLOOKUP(A440,BD_ORDENES!A:BE,20,FALSE())</f>
        <v>TAUPE</v>
      </c>
      <c r="L440" s="68" t="str">
        <f aca="false">VLOOKUP(A440,BD_ORDENES!A:BE,21,FALSE())</f>
        <v>MATIZ-CARAMELO</v>
      </c>
      <c r="M440" s="69" t="n">
        <f aca="false">VLOOKUP(A440,BD_ORDENES!A:BE,14,FALSE())</f>
        <v>2</v>
      </c>
      <c r="N440" s="68" t="n">
        <f aca="false">VLOOKUP(A440,BD_ORDENES!A:BE,15,FALSE())</f>
        <v>0</v>
      </c>
      <c r="O440" s="68" t="str">
        <f aca="false">VLOOKUP(A440,BD_ORDENES!A:BE,33,FALSE())</f>
        <v>ENVIO TUNJA - SIN SALDO</v>
      </c>
      <c r="P440" s="68" t="n">
        <f aca="false">VLOOKUP(A440,BD_ORDENES!A:BE,23,FALSE())</f>
        <v>0</v>
      </c>
      <c r="Q440" s="68" t="str">
        <f aca="false">VLOOKUP(A440,BD_ORDENES!A:BE,52,FALSE())</f>
        <v>Obtener Bajo Pedido (MTO)</v>
      </c>
      <c r="R440" s="68" t="str">
        <f aca="false">VLOOKUP(A440,BD_ORDENES!A:BE,25,FALSE())</f>
        <v>TUNJA</v>
      </c>
      <c r="S440" s="68" t="str">
        <f aca="false">VLOOKUP(A440,BD_ORDENES!A:BE,22,FALSE())</f>
        <v>YENY QUINTERO</v>
      </c>
      <c r="T440" s="65" t="str">
        <f aca="false">VLOOKUP(A440,BD_ORDENES!A:BE,55,FALSE())</f>
        <v>BODEGA LISTO</v>
      </c>
      <c r="U440" s="68" t="str">
        <f aca="false">VLOOKUP(A440,BD_ORDENES!A:BE,57,FALSE())</f>
        <v>0 BODEGA</v>
      </c>
      <c r="V440" s="70"/>
      <c r="W440" s="71"/>
    </row>
    <row r="441" s="72" customFormat="true" ht="98.25" hidden="false" customHeight="true" outlineLevel="0" collapsed="false">
      <c r="A441" s="62" t="n">
        <f aca="false">A440+1</f>
        <v>434</v>
      </c>
      <c r="B441" s="63" t="str">
        <f aca="false">VLOOKUP(A441,BD_ORDENES!A:BG,12,FALSE())</f>
        <v>__export__.product_product_331522_90ffae14</v>
      </c>
      <c r="C441" s="64" t="n">
        <v>434</v>
      </c>
      <c r="D441" s="65" t="str">
        <f aca="false">VLOOKUP(A441,BD_ORDENES!A:BE,10,0)</f>
        <v>VF</v>
      </c>
      <c r="E441" s="66" t="str">
        <f aca="false">VLOOKUP(A441,BD_ORDENES!A:BG,4,FALSE())</f>
        <v>CM448</v>
      </c>
      <c r="F441" s="66" t="str">
        <f aca="false">VLOOKUP(A441,BD_ORDENES!A:BE,56,FALSE())</f>
        <v>S246353</v>
      </c>
      <c r="G441" s="67" t="str">
        <f aca="false">VLOOKUP(A441,BD_ORDENES!A:BE,13,FALSE())</f>
        <v>SOFA LISBOA 3P SKY TAUPE (MATIZ CARAMELO)</v>
      </c>
      <c r="H441" s="68" t="str">
        <f aca="false">VLOOKUP(A441,BD_ORDENES!A:BE,17,FALSE())</f>
        <v>SOFA</v>
      </c>
      <c r="I441" s="68" t="str">
        <f aca="false">VLOOKUP(A441,BD_ORDENES!A:BE,18,FALSE())</f>
        <v>LISBOA-3P</v>
      </c>
      <c r="J441" s="68" t="str">
        <f aca="false">VLOOKUP(A441,BD_ORDENES!A:BE,19,FALSE())</f>
        <v>SKY</v>
      </c>
      <c r="K441" s="68" t="str">
        <f aca="false">VLOOKUP(A441,BD_ORDENES!A:BE,20,FALSE())</f>
        <v>TAUPE</v>
      </c>
      <c r="L441" s="68" t="str">
        <f aca="false">VLOOKUP(A441,BD_ORDENES!A:BE,21,FALSE())</f>
        <v>MATIZ-CARAMELO</v>
      </c>
      <c r="M441" s="69" t="n">
        <f aca="false">VLOOKUP(A441,BD_ORDENES!A:BE,14,FALSE())</f>
        <v>1</v>
      </c>
      <c r="N441" s="68" t="n">
        <f aca="false">VLOOKUP(A441,BD_ORDENES!A:BE,15,FALSE())</f>
        <v>0</v>
      </c>
      <c r="O441" s="68" t="str">
        <f aca="false">VLOOKUP(A441,BD_ORDENES!A:BE,33,FALSE())</f>
        <v>ENVIO TUNJA - SIN SALDO</v>
      </c>
      <c r="P441" s="68" t="n">
        <f aca="false">VLOOKUP(A441,BD_ORDENES!A:BE,23,FALSE())</f>
        <v>0</v>
      </c>
      <c r="Q441" s="68" t="str">
        <f aca="false">VLOOKUP(A441,BD_ORDENES!A:BE,52,FALSE())</f>
        <v>Obtener Bajo Pedido (MTO)</v>
      </c>
      <c r="R441" s="68" t="str">
        <f aca="false">VLOOKUP(A441,BD_ORDENES!A:BE,25,FALSE())</f>
        <v>TUNJA</v>
      </c>
      <c r="S441" s="68" t="str">
        <f aca="false">VLOOKUP(A441,BD_ORDENES!A:BE,22,FALSE())</f>
        <v>YENY QUINTERO</v>
      </c>
      <c r="T441" s="65" t="str">
        <f aca="false">VLOOKUP(A441,BD_ORDENES!A:BE,55,FALSE())</f>
        <v>BODEGA LISTO</v>
      </c>
      <c r="U441" s="68" t="str">
        <f aca="false">VLOOKUP(A441,BD_ORDENES!A:BE,57,FALSE())</f>
        <v>0 BODEGA</v>
      </c>
      <c r="V441" s="70"/>
      <c r="W441" s="71"/>
    </row>
    <row r="442" s="72" customFormat="true" ht="98.25" hidden="false" customHeight="true" outlineLevel="0" collapsed="false">
      <c r="A442" s="62" t="n">
        <f aca="false">A441+1</f>
        <v>435</v>
      </c>
      <c r="B442" s="63" t="str">
        <f aca="false">VLOOKUP(A442,BD_ORDENES!A:BG,12,FALSE())</f>
        <v>__export__.product_product_331523_720256ca</v>
      </c>
      <c r="C442" s="64" t="n">
        <v>435</v>
      </c>
      <c r="D442" s="65" t="str">
        <f aca="false">VLOOKUP(A442,BD_ORDENES!A:BE,10,0)</f>
        <v>VF</v>
      </c>
      <c r="E442" s="66" t="str">
        <f aca="false">VLOOKUP(A442,BD_ORDENES!A:BG,4,FALSE())</f>
        <v>CM448</v>
      </c>
      <c r="F442" s="66" t="str">
        <f aca="false">VLOOKUP(A442,BD_ORDENES!A:BE,56,FALSE())</f>
        <v>S246353</v>
      </c>
      <c r="G442" s="67" t="str">
        <f aca="false">VLOOKUP(A442,BD_ORDENES!A:BE,13,FALSE())</f>
        <v>CAMA LIBIA SEMIDOBLE MACULA (MATIZ CARAMELO)</v>
      </c>
      <c r="H442" s="68" t="str">
        <f aca="false">VLOOKUP(A442,BD_ORDENES!A:BE,17,FALSE())</f>
        <v>CAMA</v>
      </c>
      <c r="I442" s="68" t="str">
        <f aca="false">VLOOKUP(A442,BD_ORDENES!A:BE,18,FALSE())</f>
        <v>LIBIA-SEMIDOBLE</v>
      </c>
      <c r="J442" s="68" t="n">
        <f aca="false">VLOOKUP(A442,BD_ORDENES!A:BE,19,FALSE())</f>
        <v>0</v>
      </c>
      <c r="K442" s="68" t="str">
        <f aca="false">VLOOKUP(A442,BD_ORDENES!A:BE,20,FALSE())</f>
        <v>MACULA</v>
      </c>
      <c r="L442" s="68" t="str">
        <f aca="false">VLOOKUP(A442,BD_ORDENES!A:BE,21,FALSE())</f>
        <v>MATIZ-CARAMELO</v>
      </c>
      <c r="M442" s="69" t="n">
        <f aca="false">VLOOKUP(A442,BD_ORDENES!A:BE,14,FALSE())</f>
        <v>1</v>
      </c>
      <c r="N442" s="68" t="n">
        <f aca="false">VLOOKUP(A442,BD_ORDENES!A:BE,15,FALSE())</f>
        <v>0</v>
      </c>
      <c r="O442" s="68" t="str">
        <f aca="false">VLOOKUP(A442,BD_ORDENES!A:BE,33,FALSE())</f>
        <v>ENVIO TUNJA - SIN SALDO</v>
      </c>
      <c r="P442" s="68" t="n">
        <f aca="false">VLOOKUP(A442,BD_ORDENES!A:BE,23,FALSE())</f>
        <v>0</v>
      </c>
      <c r="Q442" s="68" t="str">
        <f aca="false">VLOOKUP(A442,BD_ORDENES!A:BE,52,FALSE())</f>
        <v>Obtener Bajo Pedido (MTO)</v>
      </c>
      <c r="R442" s="68" t="str">
        <f aca="false">VLOOKUP(A442,BD_ORDENES!A:BE,25,FALSE())</f>
        <v>TUNJA</v>
      </c>
      <c r="S442" s="68" t="str">
        <f aca="false">VLOOKUP(A442,BD_ORDENES!A:BE,22,FALSE())</f>
        <v>YENY QUINTERO</v>
      </c>
      <c r="T442" s="65" t="str">
        <f aca="false">VLOOKUP(A442,BD_ORDENES!A:BE,55,FALSE())</f>
        <v>BODEGA LISTO</v>
      </c>
      <c r="U442" s="68" t="str">
        <f aca="false">VLOOKUP(A442,BD_ORDENES!A:BE,57,FALSE())</f>
        <v>0 BODEGA</v>
      </c>
      <c r="V442" s="70"/>
      <c r="W442" s="71"/>
    </row>
    <row r="443" s="72" customFormat="true" ht="98.25" hidden="false" customHeight="true" outlineLevel="0" collapsed="false">
      <c r="A443" s="62" t="n">
        <f aca="false">A442+1</f>
        <v>436</v>
      </c>
      <c r="B443" s="63" t="str">
        <f aca="false">VLOOKUP(A443,BD_ORDENES!A:BG,12,FALSE())</f>
        <v>__export__.product_product_327509_8b774d83</v>
      </c>
      <c r="C443" s="64" t="n">
        <v>436</v>
      </c>
      <c r="D443" s="65" t="str">
        <f aca="false">VLOOKUP(A443,BD_ORDENES!A:BE,10,0)</f>
        <v>VF</v>
      </c>
      <c r="E443" s="66" t="str">
        <f aca="false">VLOOKUP(A443,BD_ORDENES!A:BG,4,FALSE())</f>
        <v>CM448</v>
      </c>
      <c r="F443" s="66" t="str">
        <f aca="false">VLOOKUP(A443,BD_ORDENES!A:BE,56,FALSE())</f>
        <v>S246353</v>
      </c>
      <c r="G443" s="67" t="str">
        <f aca="false">VLOOKUP(A443,BD_ORDENES!A:BE,13,FALSE())</f>
        <v>POLTRONA TOULOUSE SKY MOSTAZA (MATIZ CARAMELO)</v>
      </c>
      <c r="H443" s="68" t="str">
        <f aca="false">VLOOKUP(A443,BD_ORDENES!A:BE,17,FALSE())</f>
        <v>POLTRONA</v>
      </c>
      <c r="I443" s="68" t="str">
        <f aca="false">VLOOKUP(A443,BD_ORDENES!A:BE,18,FALSE())</f>
        <v>TOULOUSE</v>
      </c>
      <c r="J443" s="68" t="str">
        <f aca="false">VLOOKUP(A443,BD_ORDENES!A:BE,19,FALSE())</f>
        <v>SKY</v>
      </c>
      <c r="K443" s="68" t="str">
        <f aca="false">VLOOKUP(A443,BD_ORDENES!A:BE,20,FALSE())</f>
        <v>MOSTAZA</v>
      </c>
      <c r="L443" s="68" t="str">
        <f aca="false">VLOOKUP(A443,BD_ORDENES!A:BE,21,FALSE())</f>
        <v>MATIZ-CARAMELO</v>
      </c>
      <c r="M443" s="69" t="n">
        <f aca="false">VLOOKUP(A443,BD_ORDENES!A:BE,14,FALSE())</f>
        <v>2</v>
      </c>
      <c r="N443" s="68" t="n">
        <f aca="false">VLOOKUP(A443,BD_ORDENES!A:BE,15,FALSE())</f>
        <v>0</v>
      </c>
      <c r="O443" s="68" t="str">
        <f aca="false">VLOOKUP(A443,BD_ORDENES!A:BE,33,FALSE())</f>
        <v>ENVIO TUNJA - SIN SALDO</v>
      </c>
      <c r="P443" s="68" t="n">
        <f aca="false">VLOOKUP(A443,BD_ORDENES!A:BE,23,FALSE())</f>
        <v>0</v>
      </c>
      <c r="Q443" s="68" t="str">
        <f aca="false">VLOOKUP(A443,BD_ORDENES!A:BE,52,FALSE())</f>
        <v>Obtener Bajo Pedido (MTO)</v>
      </c>
      <c r="R443" s="68" t="str">
        <f aca="false">VLOOKUP(A443,BD_ORDENES!A:BE,25,FALSE())</f>
        <v>TUNJA</v>
      </c>
      <c r="S443" s="68" t="str">
        <f aca="false">VLOOKUP(A443,BD_ORDENES!A:BE,22,FALSE())</f>
        <v>YENY QUINTERO</v>
      </c>
      <c r="T443" s="65" t="str">
        <f aca="false">VLOOKUP(A443,BD_ORDENES!A:BE,55,FALSE())</f>
        <v>BODEGA LISTO</v>
      </c>
      <c r="U443" s="68" t="str">
        <f aca="false">VLOOKUP(A443,BD_ORDENES!A:BE,57,FALSE())</f>
        <v>0 BODEGA</v>
      </c>
      <c r="V443" s="70"/>
      <c r="W443" s="71"/>
    </row>
    <row r="444" s="72" customFormat="true" ht="98.25" hidden="false" customHeight="true" outlineLevel="0" collapsed="false">
      <c r="A444" s="62" t="n">
        <f aca="false">A443+1</f>
        <v>437</v>
      </c>
      <c r="B444" s="63" t="str">
        <f aca="false">VLOOKUP(A444,BD_ORDENES!A:BG,12,FALSE())</f>
        <v>__export__.product_product_187344_b619ade6</v>
      </c>
      <c r="C444" s="64" t="n">
        <v>437</v>
      </c>
      <c r="D444" s="65" t="str">
        <f aca="false">VLOOKUP(A444,BD_ORDENES!A:BE,10,0)</f>
        <v>VF</v>
      </c>
      <c r="E444" s="66" t="str">
        <f aca="false">VLOOKUP(A444,BD_ORDENES!A:BG,4,FALSE())</f>
        <v>CM448</v>
      </c>
      <c r="F444" s="66" t="str">
        <f aca="false">VLOOKUP(A444,BD_ORDENES!A:BE,56,FALSE())</f>
        <v>S246353</v>
      </c>
      <c r="G444" s="67" t="str">
        <f aca="false">VLOOKUP(A444,BD_ORDENES!A:BE,13,FALSE())</f>
        <v>MESA DE CENTRO SION BLANCO-DUNA (MATIZ CARAMELO)</v>
      </c>
      <c r="H444" s="68" t="str">
        <f aca="false">VLOOKUP(A444,BD_ORDENES!A:BE,17,FALSE())</f>
        <v>MESA-CENTRO</v>
      </c>
      <c r="I444" s="68" t="str">
        <f aca="false">VLOOKUP(A444,BD_ORDENES!A:BE,18,FALSE())</f>
        <v>SION</v>
      </c>
      <c r="J444" s="68" t="n">
        <f aca="false">VLOOKUP(A444,BD_ORDENES!A:BE,19,FALSE())</f>
        <v>0</v>
      </c>
      <c r="K444" s="68" t="str">
        <f aca="false">VLOOKUP(A444,BD_ORDENES!A:BE,20,FALSE())</f>
        <v>BLANCO-DUNA</v>
      </c>
      <c r="L444" s="68" t="str">
        <f aca="false">VLOOKUP(A444,BD_ORDENES!A:BE,21,FALSE())</f>
        <v>MATIZ-CARAMELO</v>
      </c>
      <c r="M444" s="69" t="n">
        <f aca="false">VLOOKUP(A444,BD_ORDENES!A:BE,14,FALSE())</f>
        <v>1</v>
      </c>
      <c r="N444" s="68" t="n">
        <f aca="false">VLOOKUP(A444,BD_ORDENES!A:BE,15,FALSE())</f>
        <v>0</v>
      </c>
      <c r="O444" s="68" t="str">
        <f aca="false">VLOOKUP(A444,BD_ORDENES!A:BE,33,FALSE())</f>
        <v>ENVIO TUNJA - SIN SALDO</v>
      </c>
      <c r="P444" s="68" t="n">
        <f aca="false">VLOOKUP(A444,BD_ORDENES!A:BE,23,FALSE())</f>
        <v>0</v>
      </c>
      <c r="Q444" s="68" t="str">
        <f aca="false">VLOOKUP(A444,BD_ORDENES!A:BE,52,FALSE())</f>
        <v>Obtener Bajo Pedido (MTO)</v>
      </c>
      <c r="R444" s="68" t="str">
        <f aca="false">VLOOKUP(A444,BD_ORDENES!A:BE,25,FALSE())</f>
        <v>TUNJA</v>
      </c>
      <c r="S444" s="68" t="str">
        <f aca="false">VLOOKUP(A444,BD_ORDENES!A:BE,22,FALSE())</f>
        <v>YENY QUINTERO</v>
      </c>
      <c r="T444" s="65" t="str">
        <f aca="false">VLOOKUP(A444,BD_ORDENES!A:BE,55,FALSE())</f>
        <v>BODEGA LISTO</v>
      </c>
      <c r="U444" s="68" t="str">
        <f aca="false">VLOOKUP(A444,BD_ORDENES!A:BE,57,FALSE())</f>
        <v>0 BODEGA</v>
      </c>
      <c r="V444" s="70"/>
      <c r="W444" s="71"/>
    </row>
    <row r="445" s="72" customFormat="true" ht="98.25" hidden="false" customHeight="true" outlineLevel="0" collapsed="false">
      <c r="A445" s="62" t="n">
        <f aca="false">A444+1</f>
        <v>438</v>
      </c>
      <c r="B445" s="63" t="str">
        <f aca="false">VLOOKUP(A445,BD_ORDENES!A:BG,12,FALSE())</f>
        <v>__export__.product_product_327417_439a39c6</v>
      </c>
      <c r="C445" s="64" t="n">
        <v>438</v>
      </c>
      <c r="D445" s="65" t="str">
        <f aca="false">VLOOKUP(A445,BD_ORDENES!A:BE,10,0)</f>
        <v>GARANTIA</v>
      </c>
      <c r="E445" s="66" t="str">
        <f aca="false">VLOOKUP(A445,BD_ORDENES!A:BG,4,FALSE())</f>
        <v>CM069-FB-2</v>
      </c>
      <c r="F445" s="66" t="str">
        <f aca="false">VLOOKUP(A445,BD_ORDENES!A:BE,56,FALSE())</f>
        <v>S230657</v>
      </c>
      <c r="G445" s="67" t="str">
        <f aca="false">VLOOKUP(A445,BD_ORDENES!A:BE,13,FALSE())</f>
        <v>SOFA ARTEMISA ESPALDAR TAPIZADO DENVER PLATA (MATIZ CAOBA)</v>
      </c>
      <c r="H445" s="68" t="str">
        <f aca="false">VLOOKUP(A445,BD_ORDENES!A:BE,17,FALSE())</f>
        <v>SOFA</v>
      </c>
      <c r="I445" s="68" t="str">
        <f aca="false">VLOOKUP(A445,BD_ORDENES!A:BE,18,FALSE())</f>
        <v>ARTEMISA-ESPALDAR-TAPIZADO</v>
      </c>
      <c r="J445" s="68" t="str">
        <f aca="false">VLOOKUP(A445,BD_ORDENES!A:BE,19,FALSE())</f>
        <v>DENVER</v>
      </c>
      <c r="K445" s="68" t="str">
        <f aca="false">VLOOKUP(A445,BD_ORDENES!A:BE,20,FALSE())</f>
        <v>PLATA</v>
      </c>
      <c r="L445" s="68" t="str">
        <f aca="false">VLOOKUP(A445,BD_ORDENES!A:BE,21,FALSE())</f>
        <v>MATIZ-CAOBA</v>
      </c>
      <c r="M445" s="69" t="n">
        <f aca="false">VLOOKUP(A445,BD_ORDENES!A:BE,14,FALSE())</f>
        <v>1</v>
      </c>
      <c r="N445" s="68" t="n">
        <f aca="false">VLOOKUP(A445,BD_ORDENES!A:BE,15,FALSE())</f>
        <v>0</v>
      </c>
      <c r="O445" s="68" t="str">
        <f aca="false">VLOOKUP(A445,BD_ORDENES!A:BE,33,FALSE())</f>
        <v>TRANSPORTADORA HVM BGT</v>
      </c>
      <c r="P445" s="68" t="str">
        <f aca="false">VLOOKUP(A445,BD_ORDENES!A:BE,23,FALSE())</f>
        <v>SERVICIO DE ENSAMBLE</v>
      </c>
      <c r="Q445" s="68" t="str">
        <f aca="false">VLOOKUP(A445,BD_ORDENES!A:BE,52,FALSE())</f>
        <v>Obtener Bajo Pedido (MTO)</v>
      </c>
      <c r="R445" s="68" t="str">
        <f aca="false">VLOOKUP(A445,BD_ORDENES!A:BE,25,FALSE())</f>
        <v>TOCANCIPA</v>
      </c>
      <c r="S445" s="68" t="str">
        <f aca="false">VLOOKUP(A445,BD_ORDENES!A:BE,22,FALSE())</f>
        <v>LINA MARIA MURCIA PIÑEROS</v>
      </c>
      <c r="T445" s="65" t="str">
        <f aca="false">VLOOKUP(A445,BD_ORDENES!A:BE,55,FALSE())</f>
        <v>BODEGA LISTO</v>
      </c>
      <c r="U445" s="68" t="str">
        <f aca="false">VLOOKUP(A445,BD_ORDENES!A:BE,57,FALSE())</f>
        <v>8 VENECIA</v>
      </c>
      <c r="V445" s="70"/>
      <c r="W445" s="71"/>
    </row>
    <row r="446" s="72" customFormat="true" ht="98.25" hidden="false" customHeight="true" outlineLevel="0" collapsed="false">
      <c r="A446" s="62" t="n">
        <f aca="false">A445+1</f>
        <v>439</v>
      </c>
      <c r="B446" s="63" t="e">
        <f aca="false">VLOOKUP(A446,BD_ORDENES!A:BG,12,FALSE())</f>
        <v>#N/A</v>
      </c>
      <c r="C446" s="64" t="n">
        <v>439</v>
      </c>
      <c r="D446" s="65" t="e">
        <f aca="false">VLOOKUP(A446,BD_ORDENES!A:BE,10,0)</f>
        <v>#N/A</v>
      </c>
      <c r="E446" s="66" t="e">
        <f aca="false">VLOOKUP(A446,BD_ORDENES!A:BG,4,FALSE())</f>
        <v>#N/A</v>
      </c>
      <c r="F446" s="66" t="e">
        <f aca="false">VLOOKUP(A446,BD_ORDENES!A:BE,56,FALSE())</f>
        <v>#N/A</v>
      </c>
      <c r="G446" s="67" t="e">
        <f aca="false">VLOOKUP(A446,BD_ORDENES!A:BE,13,FALSE())</f>
        <v>#N/A</v>
      </c>
      <c r="H446" s="68" t="e">
        <f aca="false">VLOOKUP(A446,BD_ORDENES!A:BE,17,FALSE())</f>
        <v>#N/A</v>
      </c>
      <c r="I446" s="68" t="e">
        <f aca="false">VLOOKUP(A446,BD_ORDENES!A:BE,18,FALSE())</f>
        <v>#N/A</v>
      </c>
      <c r="J446" s="68" t="e">
        <f aca="false">VLOOKUP(A446,BD_ORDENES!A:BE,19,FALSE())</f>
        <v>#N/A</v>
      </c>
      <c r="K446" s="68" t="e">
        <f aca="false">VLOOKUP(A446,BD_ORDENES!A:BE,20,FALSE())</f>
        <v>#N/A</v>
      </c>
      <c r="L446" s="68" t="e">
        <f aca="false">VLOOKUP(A446,BD_ORDENES!A:BE,21,FALSE())</f>
        <v>#N/A</v>
      </c>
      <c r="M446" s="69" t="e">
        <f aca="false">VLOOKUP(A446,BD_ORDENES!A:BE,14,FALSE())</f>
        <v>#N/A</v>
      </c>
      <c r="N446" s="68" t="e">
        <f aca="false">VLOOKUP(A446,BD_ORDENES!A:BE,15,FALSE())</f>
        <v>#N/A</v>
      </c>
      <c r="O446" s="68" t="e">
        <f aca="false">VLOOKUP(A446,BD_ORDENES!A:BE,33,FALSE())</f>
        <v>#N/A</v>
      </c>
      <c r="P446" s="68" t="e">
        <f aca="false">VLOOKUP(A446,BD_ORDENES!A:BE,23,FALSE())</f>
        <v>#N/A</v>
      </c>
      <c r="Q446" s="68" t="e">
        <f aca="false">VLOOKUP(A446,BD_ORDENES!A:BE,52,FALSE())</f>
        <v>#N/A</v>
      </c>
      <c r="R446" s="68" t="e">
        <f aca="false">VLOOKUP(A446,BD_ORDENES!A:BE,25,FALSE())</f>
        <v>#N/A</v>
      </c>
      <c r="S446" s="68" t="e">
        <f aca="false">VLOOKUP(A446,BD_ORDENES!A:BE,22,FALSE())</f>
        <v>#N/A</v>
      </c>
      <c r="T446" s="65" t="e">
        <f aca="false">VLOOKUP(A446,BD_ORDENES!A:BE,55,FALSE())</f>
        <v>#N/A</v>
      </c>
      <c r="U446" s="68" t="e">
        <f aca="false">VLOOKUP(A446,BD_ORDENES!A:BE,57,FALSE())</f>
        <v>#N/A</v>
      </c>
      <c r="V446" s="70"/>
      <c r="W446" s="71"/>
    </row>
    <row r="447" s="72" customFormat="true" ht="98.25" hidden="false" customHeight="true" outlineLevel="0" collapsed="false">
      <c r="A447" s="62" t="n">
        <f aca="false">A446+1</f>
        <v>440</v>
      </c>
      <c r="B447" s="63" t="e">
        <f aca="false">VLOOKUP(A447,BD_ORDENES!A:BG,12,FALSE())</f>
        <v>#N/A</v>
      </c>
      <c r="C447" s="64" t="n">
        <v>440</v>
      </c>
      <c r="D447" s="65" t="e">
        <f aca="false">VLOOKUP(A447,BD_ORDENES!A:BE,10,0)</f>
        <v>#N/A</v>
      </c>
      <c r="E447" s="66" t="e">
        <f aca="false">VLOOKUP(A447,BD_ORDENES!A:BG,4,FALSE())</f>
        <v>#N/A</v>
      </c>
      <c r="F447" s="66" t="e">
        <f aca="false">VLOOKUP(A447,BD_ORDENES!A:BE,56,FALSE())</f>
        <v>#N/A</v>
      </c>
      <c r="G447" s="67" t="e">
        <f aca="false">VLOOKUP(A447,BD_ORDENES!A:BE,13,FALSE())</f>
        <v>#N/A</v>
      </c>
      <c r="H447" s="68" t="e">
        <f aca="false">VLOOKUP(A447,BD_ORDENES!A:BE,17,FALSE())</f>
        <v>#N/A</v>
      </c>
      <c r="I447" s="68" t="e">
        <f aca="false">VLOOKUP(A447,BD_ORDENES!A:BE,18,FALSE())</f>
        <v>#N/A</v>
      </c>
      <c r="J447" s="68" t="e">
        <f aca="false">VLOOKUP(A447,BD_ORDENES!A:BE,19,FALSE())</f>
        <v>#N/A</v>
      </c>
      <c r="K447" s="68" t="e">
        <f aca="false">VLOOKUP(A447,BD_ORDENES!A:BE,20,FALSE())</f>
        <v>#N/A</v>
      </c>
      <c r="L447" s="68" t="e">
        <f aca="false">VLOOKUP(A447,BD_ORDENES!A:BE,21,FALSE())</f>
        <v>#N/A</v>
      </c>
      <c r="M447" s="69" t="e">
        <f aca="false">VLOOKUP(A447,BD_ORDENES!A:BE,14,FALSE())</f>
        <v>#N/A</v>
      </c>
      <c r="N447" s="68" t="e">
        <f aca="false">VLOOKUP(A447,BD_ORDENES!A:BE,15,FALSE())</f>
        <v>#N/A</v>
      </c>
      <c r="O447" s="68" t="e">
        <f aca="false">VLOOKUP(A447,BD_ORDENES!A:BE,33,FALSE())</f>
        <v>#N/A</v>
      </c>
      <c r="P447" s="68" t="e">
        <f aca="false">VLOOKUP(A447,BD_ORDENES!A:BE,23,FALSE())</f>
        <v>#N/A</v>
      </c>
      <c r="Q447" s="68" t="e">
        <f aca="false">VLOOKUP(A447,BD_ORDENES!A:BE,52,FALSE())</f>
        <v>#N/A</v>
      </c>
      <c r="R447" s="68" t="e">
        <f aca="false">VLOOKUP(A447,BD_ORDENES!A:BE,25,FALSE())</f>
        <v>#N/A</v>
      </c>
      <c r="S447" s="68" t="e">
        <f aca="false">VLOOKUP(A447,BD_ORDENES!A:BE,22,FALSE())</f>
        <v>#N/A</v>
      </c>
      <c r="T447" s="65" t="e">
        <f aca="false">VLOOKUP(A447,BD_ORDENES!A:BE,55,FALSE())</f>
        <v>#N/A</v>
      </c>
      <c r="U447" s="68" t="e">
        <f aca="false">VLOOKUP(A447,BD_ORDENES!A:BE,57,FALSE())</f>
        <v>#N/A</v>
      </c>
      <c r="V447" s="70"/>
      <c r="W447" s="71"/>
    </row>
    <row r="448" s="72" customFormat="true" ht="98.25" hidden="false" customHeight="true" outlineLevel="0" collapsed="false">
      <c r="A448" s="62" t="n">
        <f aca="false">A447+1</f>
        <v>441</v>
      </c>
      <c r="B448" s="63" t="e">
        <f aca="false">VLOOKUP(A448,BD_ORDENES!A:BG,12,FALSE())</f>
        <v>#N/A</v>
      </c>
      <c r="C448" s="64" t="n">
        <v>441</v>
      </c>
      <c r="D448" s="65" t="e">
        <f aca="false">VLOOKUP(A448,BD_ORDENES!A:BE,10,0)</f>
        <v>#N/A</v>
      </c>
      <c r="E448" s="66" t="e">
        <f aca="false">VLOOKUP(A448,BD_ORDENES!A:BG,4,FALSE())</f>
        <v>#N/A</v>
      </c>
      <c r="F448" s="66" t="e">
        <f aca="false">VLOOKUP(A448,BD_ORDENES!A:BE,56,FALSE())</f>
        <v>#N/A</v>
      </c>
      <c r="G448" s="67" t="e">
        <f aca="false">VLOOKUP(A448,BD_ORDENES!A:BE,13,FALSE())</f>
        <v>#N/A</v>
      </c>
      <c r="H448" s="68" t="e">
        <f aca="false">VLOOKUP(A448,BD_ORDENES!A:BE,17,FALSE())</f>
        <v>#N/A</v>
      </c>
      <c r="I448" s="68" t="e">
        <f aca="false">VLOOKUP(A448,BD_ORDENES!A:BE,18,FALSE())</f>
        <v>#N/A</v>
      </c>
      <c r="J448" s="68" t="e">
        <f aca="false">VLOOKUP(A448,BD_ORDENES!A:BE,19,FALSE())</f>
        <v>#N/A</v>
      </c>
      <c r="K448" s="68" t="e">
        <f aca="false">VLOOKUP(A448,BD_ORDENES!A:BE,20,FALSE())</f>
        <v>#N/A</v>
      </c>
      <c r="L448" s="68" t="e">
        <f aca="false">VLOOKUP(A448,BD_ORDENES!A:BE,21,FALSE())</f>
        <v>#N/A</v>
      </c>
      <c r="M448" s="69" t="e">
        <f aca="false">VLOOKUP(A448,BD_ORDENES!A:BE,14,FALSE())</f>
        <v>#N/A</v>
      </c>
      <c r="N448" s="68" t="e">
        <f aca="false">VLOOKUP(A448,BD_ORDENES!A:BE,15,FALSE())</f>
        <v>#N/A</v>
      </c>
      <c r="O448" s="68" t="e">
        <f aca="false">VLOOKUP(A448,BD_ORDENES!A:BE,33,FALSE())</f>
        <v>#N/A</v>
      </c>
      <c r="P448" s="68" t="e">
        <f aca="false">VLOOKUP(A448,BD_ORDENES!A:BE,23,FALSE())</f>
        <v>#N/A</v>
      </c>
      <c r="Q448" s="68" t="e">
        <f aca="false">VLOOKUP(A448,BD_ORDENES!A:BE,52,FALSE())</f>
        <v>#N/A</v>
      </c>
      <c r="R448" s="68" t="e">
        <f aca="false">VLOOKUP(A448,BD_ORDENES!A:BE,25,FALSE())</f>
        <v>#N/A</v>
      </c>
      <c r="S448" s="68" t="e">
        <f aca="false">VLOOKUP(A448,BD_ORDENES!A:BE,22,FALSE())</f>
        <v>#N/A</v>
      </c>
      <c r="T448" s="65" t="e">
        <f aca="false">VLOOKUP(A448,BD_ORDENES!A:BE,55,FALSE())</f>
        <v>#N/A</v>
      </c>
      <c r="U448" s="68" t="e">
        <f aca="false">VLOOKUP(A448,BD_ORDENES!A:BE,57,FALSE())</f>
        <v>#N/A</v>
      </c>
      <c r="V448" s="70"/>
      <c r="W448" s="71"/>
    </row>
    <row r="449" s="72" customFormat="true" ht="98.25" hidden="false" customHeight="true" outlineLevel="0" collapsed="false">
      <c r="A449" s="62" t="n">
        <f aca="false">A448+1</f>
        <v>442</v>
      </c>
      <c r="B449" s="63" t="e">
        <f aca="false">VLOOKUP(A449,BD_ORDENES!A:BG,12,FALSE())</f>
        <v>#N/A</v>
      </c>
      <c r="C449" s="64" t="n">
        <v>442</v>
      </c>
      <c r="D449" s="65" t="e">
        <f aca="false">VLOOKUP(A449,BD_ORDENES!A:BE,10,0)</f>
        <v>#N/A</v>
      </c>
      <c r="E449" s="66" t="e">
        <f aca="false">VLOOKUP(A449,BD_ORDENES!A:BG,4,FALSE())</f>
        <v>#N/A</v>
      </c>
      <c r="F449" s="66" t="e">
        <f aca="false">VLOOKUP(A449,BD_ORDENES!A:BE,56,FALSE())</f>
        <v>#N/A</v>
      </c>
      <c r="G449" s="67" t="e">
        <f aca="false">VLOOKUP(A449,BD_ORDENES!A:BE,13,FALSE())</f>
        <v>#N/A</v>
      </c>
      <c r="H449" s="68" t="e">
        <f aca="false">VLOOKUP(A449,BD_ORDENES!A:BE,17,FALSE())</f>
        <v>#N/A</v>
      </c>
      <c r="I449" s="68" t="e">
        <f aca="false">VLOOKUP(A449,BD_ORDENES!A:BE,18,FALSE())</f>
        <v>#N/A</v>
      </c>
      <c r="J449" s="68" t="e">
        <f aca="false">VLOOKUP(A449,BD_ORDENES!A:BE,19,FALSE())</f>
        <v>#N/A</v>
      </c>
      <c r="K449" s="68" t="e">
        <f aca="false">VLOOKUP(A449,BD_ORDENES!A:BE,20,FALSE())</f>
        <v>#N/A</v>
      </c>
      <c r="L449" s="68" t="e">
        <f aca="false">VLOOKUP(A449,BD_ORDENES!A:BE,21,FALSE())</f>
        <v>#N/A</v>
      </c>
      <c r="M449" s="69" t="e">
        <f aca="false">VLOOKUP(A449,BD_ORDENES!A:BE,14,FALSE())</f>
        <v>#N/A</v>
      </c>
      <c r="N449" s="68" t="e">
        <f aca="false">VLOOKUP(A449,BD_ORDENES!A:BE,15,FALSE())</f>
        <v>#N/A</v>
      </c>
      <c r="O449" s="68" t="e">
        <f aca="false">VLOOKUP(A449,BD_ORDENES!A:BE,33,FALSE())</f>
        <v>#N/A</v>
      </c>
      <c r="P449" s="68" t="e">
        <f aca="false">VLOOKUP(A449,BD_ORDENES!A:BE,23,FALSE())</f>
        <v>#N/A</v>
      </c>
      <c r="Q449" s="68" t="e">
        <f aca="false">VLOOKUP(A449,BD_ORDENES!A:BE,52,FALSE())</f>
        <v>#N/A</v>
      </c>
      <c r="R449" s="68" t="e">
        <f aca="false">VLOOKUP(A449,BD_ORDENES!A:BE,25,FALSE())</f>
        <v>#N/A</v>
      </c>
      <c r="S449" s="68" t="e">
        <f aca="false">VLOOKUP(A449,BD_ORDENES!A:BE,22,FALSE())</f>
        <v>#N/A</v>
      </c>
      <c r="T449" s="65" t="e">
        <f aca="false">VLOOKUP(A449,BD_ORDENES!A:BE,55,FALSE())</f>
        <v>#N/A</v>
      </c>
      <c r="U449" s="68" t="e">
        <f aca="false">VLOOKUP(A449,BD_ORDENES!A:BE,57,FALSE())</f>
        <v>#N/A</v>
      </c>
      <c r="V449" s="70"/>
      <c r="W449" s="71"/>
    </row>
    <row r="450" s="72" customFormat="true" ht="98.25" hidden="false" customHeight="true" outlineLevel="0" collapsed="false">
      <c r="A450" s="62" t="n">
        <f aca="false">A449+1</f>
        <v>443</v>
      </c>
      <c r="B450" s="63" t="e">
        <f aca="false">VLOOKUP(A450,BD_ORDENES!A:BG,12,FALSE())</f>
        <v>#N/A</v>
      </c>
      <c r="C450" s="64" t="n">
        <v>443</v>
      </c>
      <c r="D450" s="65" t="e">
        <f aca="false">VLOOKUP(A450,BD_ORDENES!A:BE,10,0)</f>
        <v>#N/A</v>
      </c>
      <c r="E450" s="66" t="e">
        <f aca="false">VLOOKUP(A450,BD_ORDENES!A:BG,4,FALSE())</f>
        <v>#N/A</v>
      </c>
      <c r="F450" s="66" t="e">
        <f aca="false">VLOOKUP(A450,BD_ORDENES!A:BE,56,FALSE())</f>
        <v>#N/A</v>
      </c>
      <c r="G450" s="67" t="e">
        <f aca="false">VLOOKUP(A450,BD_ORDENES!A:BE,13,FALSE())</f>
        <v>#N/A</v>
      </c>
      <c r="H450" s="68" t="e">
        <f aca="false">VLOOKUP(A450,BD_ORDENES!A:BE,17,FALSE())</f>
        <v>#N/A</v>
      </c>
      <c r="I450" s="68" t="e">
        <f aca="false">VLOOKUP(A450,BD_ORDENES!A:BE,18,FALSE())</f>
        <v>#N/A</v>
      </c>
      <c r="J450" s="68" t="e">
        <f aca="false">VLOOKUP(A450,BD_ORDENES!A:BE,19,FALSE())</f>
        <v>#N/A</v>
      </c>
      <c r="K450" s="68" t="e">
        <f aca="false">VLOOKUP(A450,BD_ORDENES!A:BE,20,FALSE())</f>
        <v>#N/A</v>
      </c>
      <c r="L450" s="68" t="e">
        <f aca="false">VLOOKUP(A450,BD_ORDENES!A:BE,21,FALSE())</f>
        <v>#N/A</v>
      </c>
      <c r="M450" s="69" t="e">
        <f aca="false">VLOOKUP(A450,BD_ORDENES!A:BE,14,FALSE())</f>
        <v>#N/A</v>
      </c>
      <c r="N450" s="68" t="e">
        <f aca="false">VLOOKUP(A450,BD_ORDENES!A:BE,15,FALSE())</f>
        <v>#N/A</v>
      </c>
      <c r="O450" s="68" t="e">
        <f aca="false">VLOOKUP(A450,BD_ORDENES!A:BE,33,FALSE())</f>
        <v>#N/A</v>
      </c>
      <c r="P450" s="68" t="e">
        <f aca="false">VLOOKUP(A450,BD_ORDENES!A:BE,23,FALSE())</f>
        <v>#N/A</v>
      </c>
      <c r="Q450" s="68" t="e">
        <f aca="false">VLOOKUP(A450,BD_ORDENES!A:BE,52,FALSE())</f>
        <v>#N/A</v>
      </c>
      <c r="R450" s="68" t="e">
        <f aca="false">VLOOKUP(A450,BD_ORDENES!A:BE,25,FALSE())</f>
        <v>#N/A</v>
      </c>
      <c r="S450" s="68" t="e">
        <f aca="false">VLOOKUP(A450,BD_ORDENES!A:BE,22,FALSE())</f>
        <v>#N/A</v>
      </c>
      <c r="T450" s="65" t="e">
        <f aca="false">VLOOKUP(A450,BD_ORDENES!A:BE,55,FALSE())</f>
        <v>#N/A</v>
      </c>
      <c r="U450" s="68" t="e">
        <f aca="false">VLOOKUP(A450,BD_ORDENES!A:BE,57,FALSE())</f>
        <v>#N/A</v>
      </c>
      <c r="V450" s="70"/>
      <c r="W450" s="71"/>
    </row>
    <row r="451" s="72" customFormat="true" ht="98.25" hidden="false" customHeight="true" outlineLevel="0" collapsed="false">
      <c r="A451" s="62" t="n">
        <f aca="false">A450+1</f>
        <v>444</v>
      </c>
      <c r="B451" s="63" t="e">
        <f aca="false">VLOOKUP(A451,BD_ORDENES!A:BG,12,FALSE())</f>
        <v>#N/A</v>
      </c>
      <c r="C451" s="64" t="n">
        <v>444</v>
      </c>
      <c r="D451" s="65" t="e">
        <f aca="false">VLOOKUP(A451,BD_ORDENES!A:BE,10,0)</f>
        <v>#N/A</v>
      </c>
      <c r="E451" s="66" t="e">
        <f aca="false">VLOOKUP(A451,BD_ORDENES!A:BG,4,FALSE())</f>
        <v>#N/A</v>
      </c>
      <c r="F451" s="66" t="e">
        <f aca="false">VLOOKUP(A451,BD_ORDENES!A:BE,56,FALSE())</f>
        <v>#N/A</v>
      </c>
      <c r="G451" s="67" t="e">
        <f aca="false">VLOOKUP(A451,BD_ORDENES!A:BE,13,FALSE())</f>
        <v>#N/A</v>
      </c>
      <c r="H451" s="68" t="e">
        <f aca="false">VLOOKUP(A451,BD_ORDENES!A:BE,17,FALSE())</f>
        <v>#N/A</v>
      </c>
      <c r="I451" s="68" t="e">
        <f aca="false">VLOOKUP(A451,BD_ORDENES!A:BE,18,FALSE())</f>
        <v>#N/A</v>
      </c>
      <c r="J451" s="68" t="e">
        <f aca="false">VLOOKUP(A451,BD_ORDENES!A:BE,19,FALSE())</f>
        <v>#N/A</v>
      </c>
      <c r="K451" s="68" t="e">
        <f aca="false">VLOOKUP(A451,BD_ORDENES!A:BE,20,FALSE())</f>
        <v>#N/A</v>
      </c>
      <c r="L451" s="68" t="e">
        <f aca="false">VLOOKUP(A451,BD_ORDENES!A:BE,21,FALSE())</f>
        <v>#N/A</v>
      </c>
      <c r="M451" s="69" t="e">
        <f aca="false">VLOOKUP(A451,BD_ORDENES!A:BE,14,FALSE())</f>
        <v>#N/A</v>
      </c>
      <c r="N451" s="68" t="e">
        <f aca="false">VLOOKUP(A451,BD_ORDENES!A:BE,15,FALSE())</f>
        <v>#N/A</v>
      </c>
      <c r="O451" s="68" t="e">
        <f aca="false">VLOOKUP(A451,BD_ORDENES!A:BE,33,FALSE())</f>
        <v>#N/A</v>
      </c>
      <c r="P451" s="68" t="e">
        <f aca="false">VLOOKUP(A451,BD_ORDENES!A:BE,23,FALSE())</f>
        <v>#N/A</v>
      </c>
      <c r="Q451" s="68" t="e">
        <f aca="false">VLOOKUP(A451,BD_ORDENES!A:BE,52,FALSE())</f>
        <v>#N/A</v>
      </c>
      <c r="R451" s="68" t="e">
        <f aca="false">VLOOKUP(A451,BD_ORDENES!A:BE,25,FALSE())</f>
        <v>#N/A</v>
      </c>
      <c r="S451" s="68" t="e">
        <f aca="false">VLOOKUP(A451,BD_ORDENES!A:BE,22,FALSE())</f>
        <v>#N/A</v>
      </c>
      <c r="T451" s="65" t="e">
        <f aca="false">VLOOKUP(A451,BD_ORDENES!A:BE,55,FALSE())</f>
        <v>#N/A</v>
      </c>
      <c r="U451" s="68" t="e">
        <f aca="false">VLOOKUP(A451,BD_ORDENES!A:BE,57,FALSE())</f>
        <v>#N/A</v>
      </c>
      <c r="V451" s="70"/>
      <c r="W451" s="71"/>
    </row>
    <row r="452" s="72" customFormat="true" ht="98.25" hidden="false" customHeight="true" outlineLevel="0" collapsed="false">
      <c r="A452" s="62" t="n">
        <f aca="false">A451+1</f>
        <v>445</v>
      </c>
      <c r="B452" s="63" t="e">
        <f aca="false">VLOOKUP(A452,BD_ORDENES!A:BG,12,FALSE())</f>
        <v>#N/A</v>
      </c>
      <c r="C452" s="64" t="n">
        <v>445</v>
      </c>
      <c r="D452" s="65" t="e">
        <f aca="false">VLOOKUP(A452,BD_ORDENES!A:BE,10,0)</f>
        <v>#N/A</v>
      </c>
      <c r="E452" s="66" t="e">
        <f aca="false">VLOOKUP(A452,BD_ORDENES!A:BG,4,FALSE())</f>
        <v>#N/A</v>
      </c>
      <c r="F452" s="66" t="e">
        <f aca="false">VLOOKUP(A452,BD_ORDENES!A:BE,56,FALSE())</f>
        <v>#N/A</v>
      </c>
      <c r="G452" s="67" t="e">
        <f aca="false">VLOOKUP(A452,BD_ORDENES!A:BE,13,FALSE())</f>
        <v>#N/A</v>
      </c>
      <c r="H452" s="68" t="e">
        <f aca="false">VLOOKUP(A452,BD_ORDENES!A:BE,17,FALSE())</f>
        <v>#N/A</v>
      </c>
      <c r="I452" s="68" t="e">
        <f aca="false">VLOOKUP(A452,BD_ORDENES!A:BE,18,FALSE())</f>
        <v>#N/A</v>
      </c>
      <c r="J452" s="68" t="e">
        <f aca="false">VLOOKUP(A452,BD_ORDENES!A:BE,19,FALSE())</f>
        <v>#N/A</v>
      </c>
      <c r="K452" s="68" t="e">
        <f aca="false">VLOOKUP(A452,BD_ORDENES!A:BE,20,FALSE())</f>
        <v>#N/A</v>
      </c>
      <c r="L452" s="68" t="e">
        <f aca="false">VLOOKUP(A452,BD_ORDENES!A:BE,21,FALSE())</f>
        <v>#N/A</v>
      </c>
      <c r="M452" s="69" t="e">
        <f aca="false">VLOOKUP(A452,BD_ORDENES!A:BE,14,FALSE())</f>
        <v>#N/A</v>
      </c>
      <c r="N452" s="68" t="e">
        <f aca="false">VLOOKUP(A452,BD_ORDENES!A:BE,15,FALSE())</f>
        <v>#N/A</v>
      </c>
      <c r="O452" s="68" t="e">
        <f aca="false">VLOOKUP(A452,BD_ORDENES!A:BE,33,FALSE())</f>
        <v>#N/A</v>
      </c>
      <c r="P452" s="68" t="e">
        <f aca="false">VLOOKUP(A452,BD_ORDENES!A:BE,23,FALSE())</f>
        <v>#N/A</v>
      </c>
      <c r="Q452" s="68" t="e">
        <f aca="false">VLOOKUP(A452,BD_ORDENES!A:BE,52,FALSE())</f>
        <v>#N/A</v>
      </c>
      <c r="R452" s="68" t="e">
        <f aca="false">VLOOKUP(A452,BD_ORDENES!A:BE,25,FALSE())</f>
        <v>#N/A</v>
      </c>
      <c r="S452" s="68" t="e">
        <f aca="false">VLOOKUP(A452,BD_ORDENES!A:BE,22,FALSE())</f>
        <v>#N/A</v>
      </c>
      <c r="T452" s="65" t="e">
        <f aca="false">VLOOKUP(A452,BD_ORDENES!A:BE,55,FALSE())</f>
        <v>#N/A</v>
      </c>
      <c r="U452" s="68" t="e">
        <f aca="false">VLOOKUP(A452,BD_ORDENES!A:BE,57,FALSE())</f>
        <v>#N/A</v>
      </c>
      <c r="V452" s="70"/>
      <c r="W452" s="71"/>
    </row>
    <row r="453" s="72" customFormat="true" ht="98.25" hidden="false" customHeight="true" outlineLevel="0" collapsed="false">
      <c r="A453" s="62" t="n">
        <f aca="false">A452+1</f>
        <v>446</v>
      </c>
      <c r="B453" s="63" t="e">
        <f aca="false">VLOOKUP(A453,BD_ORDENES!A:BG,12,FALSE())</f>
        <v>#N/A</v>
      </c>
      <c r="C453" s="64" t="n">
        <v>446</v>
      </c>
      <c r="D453" s="65" t="e">
        <f aca="false">VLOOKUP(A453,BD_ORDENES!A:BE,10,0)</f>
        <v>#N/A</v>
      </c>
      <c r="E453" s="66" t="e">
        <f aca="false">VLOOKUP(A453,BD_ORDENES!A:BG,4,FALSE())</f>
        <v>#N/A</v>
      </c>
      <c r="F453" s="66" t="e">
        <f aca="false">VLOOKUP(A453,BD_ORDENES!A:BE,56,FALSE())</f>
        <v>#N/A</v>
      </c>
      <c r="G453" s="67" t="e">
        <f aca="false">VLOOKUP(A453,BD_ORDENES!A:BE,13,FALSE())</f>
        <v>#N/A</v>
      </c>
      <c r="H453" s="68" t="e">
        <f aca="false">VLOOKUP(A453,BD_ORDENES!A:BE,17,FALSE())</f>
        <v>#N/A</v>
      </c>
      <c r="I453" s="68" t="e">
        <f aca="false">VLOOKUP(A453,BD_ORDENES!A:BE,18,FALSE())</f>
        <v>#N/A</v>
      </c>
      <c r="J453" s="68" t="e">
        <f aca="false">VLOOKUP(A453,BD_ORDENES!A:BE,19,FALSE())</f>
        <v>#N/A</v>
      </c>
      <c r="K453" s="68" t="e">
        <f aca="false">VLOOKUP(A453,BD_ORDENES!A:BE,20,FALSE())</f>
        <v>#N/A</v>
      </c>
      <c r="L453" s="68" t="e">
        <f aca="false">VLOOKUP(A453,BD_ORDENES!A:BE,21,FALSE())</f>
        <v>#N/A</v>
      </c>
      <c r="M453" s="69" t="e">
        <f aca="false">VLOOKUP(A453,BD_ORDENES!A:BE,14,FALSE())</f>
        <v>#N/A</v>
      </c>
      <c r="N453" s="68" t="e">
        <f aca="false">VLOOKUP(A453,BD_ORDENES!A:BE,15,FALSE())</f>
        <v>#N/A</v>
      </c>
      <c r="O453" s="68" t="e">
        <f aca="false">VLOOKUP(A453,BD_ORDENES!A:BE,33,FALSE())</f>
        <v>#N/A</v>
      </c>
      <c r="P453" s="68" t="e">
        <f aca="false">VLOOKUP(A453,BD_ORDENES!A:BE,23,FALSE())</f>
        <v>#N/A</v>
      </c>
      <c r="Q453" s="68" t="e">
        <f aca="false">VLOOKUP(A453,BD_ORDENES!A:BE,52,FALSE())</f>
        <v>#N/A</v>
      </c>
      <c r="R453" s="68" t="e">
        <f aca="false">VLOOKUP(A453,BD_ORDENES!A:BE,25,FALSE())</f>
        <v>#N/A</v>
      </c>
      <c r="S453" s="68" t="e">
        <f aca="false">VLOOKUP(A453,BD_ORDENES!A:BE,22,FALSE())</f>
        <v>#N/A</v>
      </c>
      <c r="T453" s="65" t="e">
        <f aca="false">VLOOKUP(A453,BD_ORDENES!A:BE,55,FALSE())</f>
        <v>#N/A</v>
      </c>
      <c r="U453" s="68" t="e">
        <f aca="false">VLOOKUP(A453,BD_ORDENES!A:BE,57,FALSE())</f>
        <v>#N/A</v>
      </c>
      <c r="V453" s="70"/>
      <c r="W453" s="71"/>
    </row>
    <row r="454" s="72" customFormat="true" ht="98.25" hidden="false" customHeight="true" outlineLevel="0" collapsed="false">
      <c r="A454" s="62" t="n">
        <f aca="false">A453+1</f>
        <v>447</v>
      </c>
      <c r="B454" s="63" t="e">
        <f aca="false">VLOOKUP(A454,BD_ORDENES!A:BG,12,FALSE())</f>
        <v>#N/A</v>
      </c>
      <c r="C454" s="64" t="n">
        <v>447</v>
      </c>
      <c r="D454" s="65" t="e">
        <f aca="false">VLOOKUP(A454,BD_ORDENES!A:BE,10,0)</f>
        <v>#N/A</v>
      </c>
      <c r="E454" s="66" t="e">
        <f aca="false">VLOOKUP(A454,BD_ORDENES!A:BG,4,FALSE())</f>
        <v>#N/A</v>
      </c>
      <c r="F454" s="66" t="e">
        <f aca="false">VLOOKUP(A454,BD_ORDENES!A:BE,56,FALSE())</f>
        <v>#N/A</v>
      </c>
      <c r="G454" s="67" t="e">
        <f aca="false">VLOOKUP(A454,BD_ORDENES!A:BE,13,FALSE())</f>
        <v>#N/A</v>
      </c>
      <c r="H454" s="68" t="e">
        <f aca="false">VLOOKUP(A454,BD_ORDENES!A:BE,17,FALSE())</f>
        <v>#N/A</v>
      </c>
      <c r="I454" s="68" t="e">
        <f aca="false">VLOOKUP(A454,BD_ORDENES!A:BE,18,FALSE())</f>
        <v>#N/A</v>
      </c>
      <c r="J454" s="68" t="e">
        <f aca="false">VLOOKUP(A454,BD_ORDENES!A:BE,19,FALSE())</f>
        <v>#N/A</v>
      </c>
      <c r="K454" s="68" t="e">
        <f aca="false">VLOOKUP(A454,BD_ORDENES!A:BE,20,FALSE())</f>
        <v>#N/A</v>
      </c>
      <c r="L454" s="68" t="e">
        <f aca="false">VLOOKUP(A454,BD_ORDENES!A:BE,21,FALSE())</f>
        <v>#N/A</v>
      </c>
      <c r="M454" s="69" t="e">
        <f aca="false">VLOOKUP(A454,BD_ORDENES!A:BE,14,FALSE())</f>
        <v>#N/A</v>
      </c>
      <c r="N454" s="68" t="e">
        <f aca="false">VLOOKUP(A454,BD_ORDENES!A:BE,15,FALSE())</f>
        <v>#N/A</v>
      </c>
      <c r="O454" s="68" t="e">
        <f aca="false">VLOOKUP(A454,BD_ORDENES!A:BE,33,FALSE())</f>
        <v>#N/A</v>
      </c>
      <c r="P454" s="68" t="e">
        <f aca="false">VLOOKUP(A454,BD_ORDENES!A:BE,23,FALSE())</f>
        <v>#N/A</v>
      </c>
      <c r="Q454" s="68" t="e">
        <f aca="false">VLOOKUP(A454,BD_ORDENES!A:BE,52,FALSE())</f>
        <v>#N/A</v>
      </c>
      <c r="R454" s="68" t="e">
        <f aca="false">VLOOKUP(A454,BD_ORDENES!A:BE,25,FALSE())</f>
        <v>#N/A</v>
      </c>
      <c r="S454" s="68" t="e">
        <f aca="false">VLOOKUP(A454,BD_ORDENES!A:BE,22,FALSE())</f>
        <v>#N/A</v>
      </c>
      <c r="T454" s="65" t="e">
        <f aca="false">VLOOKUP(A454,BD_ORDENES!A:BE,55,FALSE())</f>
        <v>#N/A</v>
      </c>
      <c r="U454" s="68" t="e">
        <f aca="false">VLOOKUP(A454,BD_ORDENES!A:BE,57,FALSE())</f>
        <v>#N/A</v>
      </c>
      <c r="V454" s="70"/>
      <c r="W454" s="71"/>
    </row>
    <row r="455" s="72" customFormat="true" ht="98.25" hidden="false" customHeight="true" outlineLevel="0" collapsed="false">
      <c r="A455" s="62" t="n">
        <f aca="false">A454+1</f>
        <v>448</v>
      </c>
      <c r="B455" s="63" t="e">
        <f aca="false">VLOOKUP(A455,BD_ORDENES!A:BG,12,FALSE())</f>
        <v>#N/A</v>
      </c>
      <c r="C455" s="64" t="n">
        <v>448</v>
      </c>
      <c r="D455" s="65" t="e">
        <f aca="false">VLOOKUP(A455,BD_ORDENES!A:BE,10,0)</f>
        <v>#N/A</v>
      </c>
      <c r="E455" s="66" t="e">
        <f aca="false">VLOOKUP(A455,BD_ORDENES!A:BG,4,FALSE())</f>
        <v>#N/A</v>
      </c>
      <c r="F455" s="66" t="e">
        <f aca="false">VLOOKUP(A455,BD_ORDENES!A:BE,56,FALSE())</f>
        <v>#N/A</v>
      </c>
      <c r="G455" s="67" t="e">
        <f aca="false">VLOOKUP(A455,BD_ORDENES!A:BE,13,FALSE())</f>
        <v>#N/A</v>
      </c>
      <c r="H455" s="68" t="e">
        <f aca="false">VLOOKUP(A455,BD_ORDENES!A:BE,17,FALSE())</f>
        <v>#N/A</v>
      </c>
      <c r="I455" s="68" t="e">
        <f aca="false">VLOOKUP(A455,BD_ORDENES!A:BE,18,FALSE())</f>
        <v>#N/A</v>
      </c>
      <c r="J455" s="68" t="e">
        <f aca="false">VLOOKUP(A455,BD_ORDENES!A:BE,19,FALSE())</f>
        <v>#N/A</v>
      </c>
      <c r="K455" s="68" t="e">
        <f aca="false">VLOOKUP(A455,BD_ORDENES!A:BE,20,FALSE())</f>
        <v>#N/A</v>
      </c>
      <c r="L455" s="68" t="e">
        <f aca="false">VLOOKUP(A455,BD_ORDENES!A:BE,21,FALSE())</f>
        <v>#N/A</v>
      </c>
      <c r="M455" s="69" t="e">
        <f aca="false">VLOOKUP(A455,BD_ORDENES!A:BE,14,FALSE())</f>
        <v>#N/A</v>
      </c>
      <c r="N455" s="68" t="e">
        <f aca="false">VLOOKUP(A455,BD_ORDENES!A:BE,15,FALSE())</f>
        <v>#N/A</v>
      </c>
      <c r="O455" s="68" t="e">
        <f aca="false">VLOOKUP(A455,BD_ORDENES!A:BE,33,FALSE())</f>
        <v>#N/A</v>
      </c>
      <c r="P455" s="68" t="e">
        <f aca="false">VLOOKUP(A455,BD_ORDENES!A:BE,23,FALSE())</f>
        <v>#N/A</v>
      </c>
      <c r="Q455" s="68" t="e">
        <f aca="false">VLOOKUP(A455,BD_ORDENES!A:BE,52,FALSE())</f>
        <v>#N/A</v>
      </c>
      <c r="R455" s="68" t="e">
        <f aca="false">VLOOKUP(A455,BD_ORDENES!A:BE,25,FALSE())</f>
        <v>#N/A</v>
      </c>
      <c r="S455" s="68" t="e">
        <f aca="false">VLOOKUP(A455,BD_ORDENES!A:BE,22,FALSE())</f>
        <v>#N/A</v>
      </c>
      <c r="T455" s="65" t="e">
        <f aca="false">VLOOKUP(A455,BD_ORDENES!A:BE,55,FALSE())</f>
        <v>#N/A</v>
      </c>
      <c r="U455" s="68" t="e">
        <f aca="false">VLOOKUP(A455,BD_ORDENES!A:BE,57,FALSE())</f>
        <v>#N/A</v>
      </c>
      <c r="V455" s="70"/>
      <c r="W455" s="71"/>
    </row>
    <row r="456" s="72" customFormat="true" ht="98.25" hidden="false" customHeight="true" outlineLevel="0" collapsed="false">
      <c r="A456" s="62" t="n">
        <f aca="false">A455+1</f>
        <v>449</v>
      </c>
      <c r="B456" s="63" t="e">
        <f aca="false">VLOOKUP(A456,BD_ORDENES!A:BG,12,FALSE())</f>
        <v>#N/A</v>
      </c>
      <c r="C456" s="64" t="n">
        <v>449</v>
      </c>
      <c r="D456" s="65" t="e">
        <f aca="false">VLOOKUP(A456,BD_ORDENES!A:BE,10,0)</f>
        <v>#N/A</v>
      </c>
      <c r="E456" s="66" t="e">
        <f aca="false">VLOOKUP(A456,BD_ORDENES!A:BG,4,FALSE())</f>
        <v>#N/A</v>
      </c>
      <c r="F456" s="66" t="e">
        <f aca="false">VLOOKUP(A456,BD_ORDENES!A:BE,56,FALSE())</f>
        <v>#N/A</v>
      </c>
      <c r="G456" s="67" t="e">
        <f aca="false">VLOOKUP(A456,BD_ORDENES!A:BE,13,FALSE())</f>
        <v>#N/A</v>
      </c>
      <c r="H456" s="68" t="e">
        <f aca="false">VLOOKUP(A456,BD_ORDENES!A:BE,17,FALSE())</f>
        <v>#N/A</v>
      </c>
      <c r="I456" s="68" t="e">
        <f aca="false">VLOOKUP(A456,BD_ORDENES!A:BE,18,FALSE())</f>
        <v>#N/A</v>
      </c>
      <c r="J456" s="68" t="e">
        <f aca="false">VLOOKUP(A456,BD_ORDENES!A:BE,19,FALSE())</f>
        <v>#N/A</v>
      </c>
      <c r="K456" s="68" t="e">
        <f aca="false">VLOOKUP(A456,BD_ORDENES!A:BE,20,FALSE())</f>
        <v>#N/A</v>
      </c>
      <c r="L456" s="68" t="e">
        <f aca="false">VLOOKUP(A456,BD_ORDENES!A:BE,21,FALSE())</f>
        <v>#N/A</v>
      </c>
      <c r="M456" s="69" t="e">
        <f aca="false">VLOOKUP(A456,BD_ORDENES!A:BE,14,FALSE())</f>
        <v>#N/A</v>
      </c>
      <c r="N456" s="68" t="e">
        <f aca="false">VLOOKUP(A456,BD_ORDENES!A:BE,15,FALSE())</f>
        <v>#N/A</v>
      </c>
      <c r="O456" s="68" t="e">
        <f aca="false">VLOOKUP(A456,BD_ORDENES!A:BE,33,FALSE())</f>
        <v>#N/A</v>
      </c>
      <c r="P456" s="68" t="e">
        <f aca="false">VLOOKUP(A456,BD_ORDENES!A:BE,23,FALSE())</f>
        <v>#N/A</v>
      </c>
      <c r="Q456" s="68" t="e">
        <f aca="false">VLOOKUP(A456,BD_ORDENES!A:BE,52,FALSE())</f>
        <v>#N/A</v>
      </c>
      <c r="R456" s="68" t="e">
        <f aca="false">VLOOKUP(A456,BD_ORDENES!A:BE,25,FALSE())</f>
        <v>#N/A</v>
      </c>
      <c r="S456" s="68" t="e">
        <f aca="false">VLOOKUP(A456,BD_ORDENES!A:BE,22,FALSE())</f>
        <v>#N/A</v>
      </c>
      <c r="T456" s="65" t="e">
        <f aca="false">VLOOKUP(A456,BD_ORDENES!A:BE,55,FALSE())</f>
        <v>#N/A</v>
      </c>
      <c r="U456" s="68" t="e">
        <f aca="false">VLOOKUP(A456,BD_ORDENES!A:BE,57,FALSE())</f>
        <v>#N/A</v>
      </c>
      <c r="V456" s="70"/>
      <c r="W456" s="71"/>
    </row>
    <row r="457" s="72" customFormat="true" ht="98.25" hidden="false" customHeight="true" outlineLevel="0" collapsed="false">
      <c r="A457" s="62" t="n">
        <f aca="false">A456+1</f>
        <v>450</v>
      </c>
      <c r="B457" s="63" t="e">
        <f aca="false">VLOOKUP(A457,BD_ORDENES!A:BG,12,FALSE())</f>
        <v>#N/A</v>
      </c>
      <c r="C457" s="64" t="n">
        <v>450</v>
      </c>
      <c r="D457" s="65" t="e">
        <f aca="false">VLOOKUP(A457,BD_ORDENES!A:BE,10,0)</f>
        <v>#N/A</v>
      </c>
      <c r="E457" s="66" t="e">
        <f aca="false">VLOOKUP(A457,BD_ORDENES!A:BG,4,FALSE())</f>
        <v>#N/A</v>
      </c>
      <c r="F457" s="66" t="e">
        <f aca="false">VLOOKUP(A457,BD_ORDENES!A:BE,56,FALSE())</f>
        <v>#N/A</v>
      </c>
      <c r="G457" s="67" t="e">
        <f aca="false">VLOOKUP(A457,BD_ORDENES!A:BE,13,FALSE())</f>
        <v>#N/A</v>
      </c>
      <c r="H457" s="68" t="e">
        <f aca="false">VLOOKUP(A457,BD_ORDENES!A:BE,17,FALSE())</f>
        <v>#N/A</v>
      </c>
      <c r="I457" s="68" t="e">
        <f aca="false">VLOOKUP(A457,BD_ORDENES!A:BE,18,FALSE())</f>
        <v>#N/A</v>
      </c>
      <c r="J457" s="68" t="e">
        <f aca="false">VLOOKUP(A457,BD_ORDENES!A:BE,19,FALSE())</f>
        <v>#N/A</v>
      </c>
      <c r="K457" s="68" t="e">
        <f aca="false">VLOOKUP(A457,BD_ORDENES!A:BE,20,FALSE())</f>
        <v>#N/A</v>
      </c>
      <c r="L457" s="68" t="e">
        <f aca="false">VLOOKUP(A457,BD_ORDENES!A:BE,21,FALSE())</f>
        <v>#N/A</v>
      </c>
      <c r="M457" s="69" t="e">
        <f aca="false">VLOOKUP(A457,BD_ORDENES!A:BE,14,FALSE())</f>
        <v>#N/A</v>
      </c>
      <c r="N457" s="68" t="e">
        <f aca="false">VLOOKUP(A457,BD_ORDENES!A:BE,15,FALSE())</f>
        <v>#N/A</v>
      </c>
      <c r="O457" s="68" t="e">
        <f aca="false">VLOOKUP(A457,BD_ORDENES!A:BE,33,FALSE())</f>
        <v>#N/A</v>
      </c>
      <c r="P457" s="68" t="e">
        <f aca="false">VLOOKUP(A457,BD_ORDENES!A:BE,23,FALSE())</f>
        <v>#N/A</v>
      </c>
      <c r="Q457" s="68" t="e">
        <f aca="false">VLOOKUP(A457,BD_ORDENES!A:BE,52,FALSE())</f>
        <v>#N/A</v>
      </c>
      <c r="R457" s="68" t="e">
        <f aca="false">VLOOKUP(A457,BD_ORDENES!A:BE,25,FALSE())</f>
        <v>#N/A</v>
      </c>
      <c r="S457" s="68" t="e">
        <f aca="false">VLOOKUP(A457,BD_ORDENES!A:BE,22,FALSE())</f>
        <v>#N/A</v>
      </c>
      <c r="T457" s="65" t="e">
        <f aca="false">VLOOKUP(A457,BD_ORDENES!A:BE,55,FALSE())</f>
        <v>#N/A</v>
      </c>
      <c r="U457" s="68" t="e">
        <f aca="false">VLOOKUP(A457,BD_ORDENES!A:BE,57,FALSE())</f>
        <v>#N/A</v>
      </c>
      <c r="V457" s="70"/>
      <c r="W457" s="71"/>
    </row>
    <row r="458" s="72" customFormat="true" ht="98.25" hidden="false" customHeight="true" outlineLevel="0" collapsed="false">
      <c r="A458" s="62" t="n">
        <f aca="false">A457+1</f>
        <v>451</v>
      </c>
      <c r="B458" s="63" t="e">
        <f aca="false">VLOOKUP(A458,BD_ORDENES!A:BG,12,FALSE())</f>
        <v>#N/A</v>
      </c>
      <c r="C458" s="64" t="n">
        <v>451</v>
      </c>
      <c r="D458" s="65" t="e">
        <f aca="false">VLOOKUP(A458,BD_ORDENES!A:BE,10,0)</f>
        <v>#N/A</v>
      </c>
      <c r="E458" s="66" t="e">
        <f aca="false">VLOOKUP(A458,BD_ORDENES!A:BG,4,FALSE())</f>
        <v>#N/A</v>
      </c>
      <c r="F458" s="66" t="e">
        <f aca="false">VLOOKUP(A458,BD_ORDENES!A:BE,56,FALSE())</f>
        <v>#N/A</v>
      </c>
      <c r="G458" s="67" t="e">
        <f aca="false">VLOOKUP(A458,BD_ORDENES!A:BE,13,FALSE())</f>
        <v>#N/A</v>
      </c>
      <c r="H458" s="68" t="e">
        <f aca="false">VLOOKUP(A458,BD_ORDENES!A:BE,17,FALSE())</f>
        <v>#N/A</v>
      </c>
      <c r="I458" s="68" t="e">
        <f aca="false">VLOOKUP(A458,BD_ORDENES!A:BE,18,FALSE())</f>
        <v>#N/A</v>
      </c>
      <c r="J458" s="68" t="e">
        <f aca="false">VLOOKUP(A458,BD_ORDENES!A:BE,19,FALSE())</f>
        <v>#N/A</v>
      </c>
      <c r="K458" s="68" t="e">
        <f aca="false">VLOOKUP(A458,BD_ORDENES!A:BE,20,FALSE())</f>
        <v>#N/A</v>
      </c>
      <c r="L458" s="68" t="e">
        <f aca="false">VLOOKUP(A458,BD_ORDENES!A:BE,21,FALSE())</f>
        <v>#N/A</v>
      </c>
      <c r="M458" s="69" t="e">
        <f aca="false">VLOOKUP(A458,BD_ORDENES!A:BE,14,FALSE())</f>
        <v>#N/A</v>
      </c>
      <c r="N458" s="68" t="e">
        <f aca="false">VLOOKUP(A458,BD_ORDENES!A:BE,15,FALSE())</f>
        <v>#N/A</v>
      </c>
      <c r="O458" s="68" t="e">
        <f aca="false">VLOOKUP(A458,BD_ORDENES!A:BE,33,FALSE())</f>
        <v>#N/A</v>
      </c>
      <c r="P458" s="68" t="e">
        <f aca="false">VLOOKUP(A458,BD_ORDENES!A:BE,23,FALSE())</f>
        <v>#N/A</v>
      </c>
      <c r="Q458" s="68" t="e">
        <f aca="false">VLOOKUP(A458,BD_ORDENES!A:BE,52,FALSE())</f>
        <v>#N/A</v>
      </c>
      <c r="R458" s="68" t="e">
        <f aca="false">VLOOKUP(A458,BD_ORDENES!A:BE,25,FALSE())</f>
        <v>#N/A</v>
      </c>
      <c r="S458" s="68" t="e">
        <f aca="false">VLOOKUP(A458,BD_ORDENES!A:BE,22,FALSE())</f>
        <v>#N/A</v>
      </c>
      <c r="T458" s="65" t="e">
        <f aca="false">VLOOKUP(A458,BD_ORDENES!A:BE,55,FALSE())</f>
        <v>#N/A</v>
      </c>
      <c r="U458" s="68" t="e">
        <f aca="false">VLOOKUP(A458,BD_ORDENES!A:BE,57,FALSE())</f>
        <v>#N/A</v>
      </c>
      <c r="V458" s="70"/>
      <c r="W458" s="71"/>
    </row>
    <row r="459" s="72" customFormat="true" ht="98.25" hidden="false" customHeight="true" outlineLevel="0" collapsed="false">
      <c r="A459" s="62" t="n">
        <f aca="false">A458+1</f>
        <v>452</v>
      </c>
      <c r="B459" s="63" t="e">
        <f aca="false">VLOOKUP(A459,BD_ORDENES!A:BG,12,FALSE())</f>
        <v>#N/A</v>
      </c>
      <c r="C459" s="64" t="n">
        <v>452</v>
      </c>
      <c r="D459" s="65" t="e">
        <f aca="false">VLOOKUP(A459,BD_ORDENES!A:BE,10,0)</f>
        <v>#N/A</v>
      </c>
      <c r="E459" s="66" t="e">
        <f aca="false">VLOOKUP(A459,BD_ORDENES!A:BG,4,FALSE())</f>
        <v>#N/A</v>
      </c>
      <c r="F459" s="66" t="e">
        <f aca="false">VLOOKUP(A459,BD_ORDENES!A:BE,56,FALSE())</f>
        <v>#N/A</v>
      </c>
      <c r="G459" s="67" t="e">
        <f aca="false">VLOOKUP(A459,BD_ORDENES!A:BE,13,FALSE())</f>
        <v>#N/A</v>
      </c>
      <c r="H459" s="68" t="e">
        <f aca="false">VLOOKUP(A459,BD_ORDENES!A:BE,17,FALSE())</f>
        <v>#N/A</v>
      </c>
      <c r="I459" s="68" t="e">
        <f aca="false">VLOOKUP(A459,BD_ORDENES!A:BE,18,FALSE())</f>
        <v>#N/A</v>
      </c>
      <c r="J459" s="68" t="e">
        <f aca="false">VLOOKUP(A459,BD_ORDENES!A:BE,19,FALSE())</f>
        <v>#N/A</v>
      </c>
      <c r="K459" s="68" t="e">
        <f aca="false">VLOOKUP(A459,BD_ORDENES!A:BE,20,FALSE())</f>
        <v>#N/A</v>
      </c>
      <c r="L459" s="68" t="e">
        <f aca="false">VLOOKUP(A459,BD_ORDENES!A:BE,21,FALSE())</f>
        <v>#N/A</v>
      </c>
      <c r="M459" s="69" t="e">
        <f aca="false">VLOOKUP(A459,BD_ORDENES!A:BE,14,FALSE())</f>
        <v>#N/A</v>
      </c>
      <c r="N459" s="68" t="e">
        <f aca="false">VLOOKUP(A459,BD_ORDENES!A:BE,15,FALSE())</f>
        <v>#N/A</v>
      </c>
      <c r="O459" s="68" t="e">
        <f aca="false">VLOOKUP(A459,BD_ORDENES!A:BE,33,FALSE())</f>
        <v>#N/A</v>
      </c>
      <c r="P459" s="68" t="e">
        <f aca="false">VLOOKUP(A459,BD_ORDENES!A:BE,23,FALSE())</f>
        <v>#N/A</v>
      </c>
      <c r="Q459" s="68" t="e">
        <f aca="false">VLOOKUP(A459,BD_ORDENES!A:BE,52,FALSE())</f>
        <v>#N/A</v>
      </c>
      <c r="R459" s="68" t="e">
        <f aca="false">VLOOKUP(A459,BD_ORDENES!A:BE,25,FALSE())</f>
        <v>#N/A</v>
      </c>
      <c r="S459" s="68" t="e">
        <f aca="false">VLOOKUP(A459,BD_ORDENES!A:BE,22,FALSE())</f>
        <v>#N/A</v>
      </c>
      <c r="T459" s="65" t="e">
        <f aca="false">VLOOKUP(A459,BD_ORDENES!A:BE,55,FALSE())</f>
        <v>#N/A</v>
      </c>
      <c r="U459" s="68" t="e">
        <f aca="false">VLOOKUP(A459,BD_ORDENES!A:BE,57,FALSE())</f>
        <v>#N/A</v>
      </c>
      <c r="V459" s="70"/>
      <c r="W459" s="71"/>
    </row>
    <row r="460" s="72" customFormat="true" ht="98.25" hidden="false" customHeight="true" outlineLevel="0" collapsed="false">
      <c r="A460" s="62" t="n">
        <f aca="false">A459+1</f>
        <v>453</v>
      </c>
      <c r="B460" s="63" t="e">
        <f aca="false">VLOOKUP(A460,BD_ORDENES!A:BG,12,FALSE())</f>
        <v>#N/A</v>
      </c>
      <c r="C460" s="64" t="n">
        <v>453</v>
      </c>
      <c r="D460" s="65" t="e">
        <f aca="false">VLOOKUP(A460,BD_ORDENES!A:BE,10,0)</f>
        <v>#N/A</v>
      </c>
      <c r="E460" s="66" t="e">
        <f aca="false">VLOOKUP(A460,BD_ORDENES!A:BG,4,FALSE())</f>
        <v>#N/A</v>
      </c>
      <c r="F460" s="66" t="e">
        <f aca="false">VLOOKUP(A460,BD_ORDENES!A:BE,56,FALSE())</f>
        <v>#N/A</v>
      </c>
      <c r="G460" s="67" t="e">
        <f aca="false">VLOOKUP(A460,BD_ORDENES!A:BE,13,FALSE())</f>
        <v>#N/A</v>
      </c>
      <c r="H460" s="68" t="e">
        <f aca="false">VLOOKUP(A460,BD_ORDENES!A:BE,17,FALSE())</f>
        <v>#N/A</v>
      </c>
      <c r="I460" s="68" t="e">
        <f aca="false">VLOOKUP(A460,BD_ORDENES!A:BE,18,FALSE())</f>
        <v>#N/A</v>
      </c>
      <c r="J460" s="68" t="e">
        <f aca="false">VLOOKUP(A460,BD_ORDENES!A:BE,19,FALSE())</f>
        <v>#N/A</v>
      </c>
      <c r="K460" s="68" t="e">
        <f aca="false">VLOOKUP(A460,BD_ORDENES!A:BE,20,FALSE())</f>
        <v>#N/A</v>
      </c>
      <c r="L460" s="68" t="e">
        <f aca="false">VLOOKUP(A460,BD_ORDENES!A:BE,21,FALSE())</f>
        <v>#N/A</v>
      </c>
      <c r="M460" s="69" t="e">
        <f aca="false">VLOOKUP(A460,BD_ORDENES!A:BE,14,FALSE())</f>
        <v>#N/A</v>
      </c>
      <c r="N460" s="68" t="e">
        <f aca="false">VLOOKUP(A460,BD_ORDENES!A:BE,15,FALSE())</f>
        <v>#N/A</v>
      </c>
      <c r="O460" s="68" t="e">
        <f aca="false">VLOOKUP(A460,BD_ORDENES!A:BE,33,FALSE())</f>
        <v>#N/A</v>
      </c>
      <c r="P460" s="68" t="e">
        <f aca="false">VLOOKUP(A460,BD_ORDENES!A:BE,23,FALSE())</f>
        <v>#N/A</v>
      </c>
      <c r="Q460" s="68" t="e">
        <f aca="false">VLOOKUP(A460,BD_ORDENES!A:BE,52,FALSE())</f>
        <v>#N/A</v>
      </c>
      <c r="R460" s="68" t="e">
        <f aca="false">VLOOKUP(A460,BD_ORDENES!A:BE,25,FALSE())</f>
        <v>#N/A</v>
      </c>
      <c r="S460" s="68" t="e">
        <f aca="false">VLOOKUP(A460,BD_ORDENES!A:BE,22,FALSE())</f>
        <v>#N/A</v>
      </c>
      <c r="T460" s="65" t="e">
        <f aca="false">VLOOKUP(A460,BD_ORDENES!A:BE,55,FALSE())</f>
        <v>#N/A</v>
      </c>
      <c r="U460" s="68" t="e">
        <f aca="false">VLOOKUP(A460,BD_ORDENES!A:BE,57,FALSE())</f>
        <v>#N/A</v>
      </c>
      <c r="V460" s="70"/>
      <c r="W460" s="71"/>
    </row>
    <row r="461" s="72" customFormat="true" ht="98.25" hidden="false" customHeight="true" outlineLevel="0" collapsed="false">
      <c r="A461" s="62" t="n">
        <f aca="false">A460+1</f>
        <v>454</v>
      </c>
      <c r="B461" s="63" t="e">
        <f aca="false">VLOOKUP(A461,BD_ORDENES!A:BG,12,FALSE())</f>
        <v>#N/A</v>
      </c>
      <c r="C461" s="64" t="n">
        <v>454</v>
      </c>
      <c r="D461" s="65" t="e">
        <f aca="false">VLOOKUP(A461,BD_ORDENES!A:BE,10,0)</f>
        <v>#N/A</v>
      </c>
      <c r="E461" s="66" t="e">
        <f aca="false">VLOOKUP(A461,BD_ORDENES!A:BG,4,FALSE())</f>
        <v>#N/A</v>
      </c>
      <c r="F461" s="66" t="e">
        <f aca="false">VLOOKUP(A461,BD_ORDENES!A:BE,56,FALSE())</f>
        <v>#N/A</v>
      </c>
      <c r="G461" s="67" t="e">
        <f aca="false">VLOOKUP(A461,BD_ORDENES!A:BE,13,FALSE())</f>
        <v>#N/A</v>
      </c>
      <c r="H461" s="68" t="e">
        <f aca="false">VLOOKUP(A461,BD_ORDENES!A:BE,17,FALSE())</f>
        <v>#N/A</v>
      </c>
      <c r="I461" s="68" t="e">
        <f aca="false">VLOOKUP(A461,BD_ORDENES!A:BE,18,FALSE())</f>
        <v>#N/A</v>
      </c>
      <c r="J461" s="68" t="e">
        <f aca="false">VLOOKUP(A461,BD_ORDENES!A:BE,19,FALSE())</f>
        <v>#N/A</v>
      </c>
      <c r="K461" s="68" t="e">
        <f aca="false">VLOOKUP(A461,BD_ORDENES!A:BE,20,FALSE())</f>
        <v>#N/A</v>
      </c>
      <c r="L461" s="68" t="e">
        <f aca="false">VLOOKUP(A461,BD_ORDENES!A:BE,21,FALSE())</f>
        <v>#N/A</v>
      </c>
      <c r="M461" s="69" t="e">
        <f aca="false">VLOOKUP(A461,BD_ORDENES!A:BE,14,FALSE())</f>
        <v>#N/A</v>
      </c>
      <c r="N461" s="68" t="e">
        <f aca="false">VLOOKUP(A461,BD_ORDENES!A:BE,15,FALSE())</f>
        <v>#N/A</v>
      </c>
      <c r="O461" s="68" t="e">
        <f aca="false">VLOOKUP(A461,BD_ORDENES!A:BE,33,FALSE())</f>
        <v>#N/A</v>
      </c>
      <c r="P461" s="68" t="e">
        <f aca="false">VLOOKUP(A461,BD_ORDENES!A:BE,23,FALSE())</f>
        <v>#N/A</v>
      </c>
      <c r="Q461" s="68" t="e">
        <f aca="false">VLOOKUP(A461,BD_ORDENES!A:BE,52,FALSE())</f>
        <v>#N/A</v>
      </c>
      <c r="R461" s="68" t="e">
        <f aca="false">VLOOKUP(A461,BD_ORDENES!A:BE,25,FALSE())</f>
        <v>#N/A</v>
      </c>
      <c r="S461" s="68" t="e">
        <f aca="false">VLOOKUP(A461,BD_ORDENES!A:BE,22,FALSE())</f>
        <v>#N/A</v>
      </c>
      <c r="T461" s="65" t="e">
        <f aca="false">VLOOKUP(A461,BD_ORDENES!A:BE,55,FALSE())</f>
        <v>#N/A</v>
      </c>
      <c r="U461" s="68" t="e">
        <f aca="false">VLOOKUP(A461,BD_ORDENES!A:BE,57,FALSE())</f>
        <v>#N/A</v>
      </c>
      <c r="V461" s="70"/>
      <c r="W461" s="71"/>
    </row>
    <row r="462" s="72" customFormat="true" ht="98.25" hidden="false" customHeight="true" outlineLevel="0" collapsed="false">
      <c r="A462" s="62" t="n">
        <f aca="false">A461+1</f>
        <v>455</v>
      </c>
      <c r="B462" s="63" t="e">
        <f aca="false">VLOOKUP(A462,BD_ORDENES!A:BG,12,FALSE())</f>
        <v>#N/A</v>
      </c>
      <c r="C462" s="64" t="n">
        <v>455</v>
      </c>
      <c r="D462" s="65" t="e">
        <f aca="false">VLOOKUP(A462,BD_ORDENES!A:BE,10,0)</f>
        <v>#N/A</v>
      </c>
      <c r="E462" s="66" t="e">
        <f aca="false">VLOOKUP(A462,BD_ORDENES!A:BG,4,FALSE())</f>
        <v>#N/A</v>
      </c>
      <c r="F462" s="66" t="e">
        <f aca="false">VLOOKUP(A462,BD_ORDENES!A:BE,56,FALSE())</f>
        <v>#N/A</v>
      </c>
      <c r="G462" s="67" t="e">
        <f aca="false">VLOOKUP(A462,BD_ORDENES!A:BE,13,FALSE())</f>
        <v>#N/A</v>
      </c>
      <c r="H462" s="68" t="e">
        <f aca="false">VLOOKUP(A462,BD_ORDENES!A:BE,17,FALSE())</f>
        <v>#N/A</v>
      </c>
      <c r="I462" s="68" t="e">
        <f aca="false">VLOOKUP(A462,BD_ORDENES!A:BE,18,FALSE())</f>
        <v>#N/A</v>
      </c>
      <c r="J462" s="68" t="e">
        <f aca="false">VLOOKUP(A462,BD_ORDENES!A:BE,19,FALSE())</f>
        <v>#N/A</v>
      </c>
      <c r="K462" s="68" t="e">
        <f aca="false">VLOOKUP(A462,BD_ORDENES!A:BE,20,FALSE())</f>
        <v>#N/A</v>
      </c>
      <c r="L462" s="68" t="e">
        <f aca="false">VLOOKUP(A462,BD_ORDENES!A:BE,21,FALSE())</f>
        <v>#N/A</v>
      </c>
      <c r="M462" s="69" t="e">
        <f aca="false">VLOOKUP(A462,BD_ORDENES!A:BE,14,FALSE())</f>
        <v>#N/A</v>
      </c>
      <c r="N462" s="68" t="e">
        <f aca="false">VLOOKUP(A462,BD_ORDENES!A:BE,15,FALSE())</f>
        <v>#N/A</v>
      </c>
      <c r="O462" s="68" t="e">
        <f aca="false">VLOOKUP(A462,BD_ORDENES!A:BE,33,FALSE())</f>
        <v>#N/A</v>
      </c>
      <c r="P462" s="68" t="e">
        <f aca="false">VLOOKUP(A462,BD_ORDENES!A:BE,23,FALSE())</f>
        <v>#N/A</v>
      </c>
      <c r="Q462" s="68" t="e">
        <f aca="false">VLOOKUP(A462,BD_ORDENES!A:BE,52,FALSE())</f>
        <v>#N/A</v>
      </c>
      <c r="R462" s="68" t="e">
        <f aca="false">VLOOKUP(A462,BD_ORDENES!A:BE,25,FALSE())</f>
        <v>#N/A</v>
      </c>
      <c r="S462" s="68" t="e">
        <f aca="false">VLOOKUP(A462,BD_ORDENES!A:BE,22,FALSE())</f>
        <v>#N/A</v>
      </c>
      <c r="T462" s="65" t="e">
        <f aca="false">VLOOKUP(A462,BD_ORDENES!A:BE,55,FALSE())</f>
        <v>#N/A</v>
      </c>
      <c r="U462" s="68" t="e">
        <f aca="false">VLOOKUP(A462,BD_ORDENES!A:BE,57,FALSE())</f>
        <v>#N/A</v>
      </c>
      <c r="V462" s="70"/>
      <c r="W462" s="71"/>
    </row>
    <row r="463" s="72" customFormat="true" ht="98.25" hidden="false" customHeight="true" outlineLevel="0" collapsed="false">
      <c r="A463" s="62" t="n">
        <f aca="false">A462+1</f>
        <v>456</v>
      </c>
      <c r="B463" s="63" t="e">
        <f aca="false">VLOOKUP(A463,BD_ORDENES!A:BG,12,FALSE())</f>
        <v>#N/A</v>
      </c>
      <c r="C463" s="64" t="n">
        <v>456</v>
      </c>
      <c r="D463" s="65" t="e">
        <f aca="false">VLOOKUP(A463,BD_ORDENES!A:BE,10,0)</f>
        <v>#N/A</v>
      </c>
      <c r="E463" s="66" t="e">
        <f aca="false">VLOOKUP(A463,BD_ORDENES!A:BG,4,FALSE())</f>
        <v>#N/A</v>
      </c>
      <c r="F463" s="66" t="e">
        <f aca="false">VLOOKUP(A463,BD_ORDENES!A:BE,56,FALSE())</f>
        <v>#N/A</v>
      </c>
      <c r="G463" s="67" t="e">
        <f aca="false">VLOOKUP(A463,BD_ORDENES!A:BE,13,FALSE())</f>
        <v>#N/A</v>
      </c>
      <c r="H463" s="68" t="e">
        <f aca="false">VLOOKUP(A463,BD_ORDENES!A:BE,17,FALSE())</f>
        <v>#N/A</v>
      </c>
      <c r="I463" s="68" t="e">
        <f aca="false">VLOOKUP(A463,BD_ORDENES!A:BE,18,FALSE())</f>
        <v>#N/A</v>
      </c>
      <c r="J463" s="68" t="e">
        <f aca="false">VLOOKUP(A463,BD_ORDENES!A:BE,19,FALSE())</f>
        <v>#N/A</v>
      </c>
      <c r="K463" s="68" t="e">
        <f aca="false">VLOOKUP(A463,BD_ORDENES!A:BE,20,FALSE())</f>
        <v>#N/A</v>
      </c>
      <c r="L463" s="68" t="e">
        <f aca="false">VLOOKUP(A463,BD_ORDENES!A:BE,21,FALSE())</f>
        <v>#N/A</v>
      </c>
      <c r="M463" s="69" t="e">
        <f aca="false">VLOOKUP(A463,BD_ORDENES!A:BE,14,FALSE())</f>
        <v>#N/A</v>
      </c>
      <c r="N463" s="68" t="e">
        <f aca="false">VLOOKUP(A463,BD_ORDENES!A:BE,15,FALSE())</f>
        <v>#N/A</v>
      </c>
      <c r="O463" s="68" t="e">
        <f aca="false">VLOOKUP(A463,BD_ORDENES!A:BE,33,FALSE())</f>
        <v>#N/A</v>
      </c>
      <c r="P463" s="68" t="e">
        <f aca="false">VLOOKUP(A463,BD_ORDENES!A:BE,23,FALSE())</f>
        <v>#N/A</v>
      </c>
      <c r="Q463" s="68" t="e">
        <f aca="false">VLOOKUP(A463,BD_ORDENES!A:BE,52,FALSE())</f>
        <v>#N/A</v>
      </c>
      <c r="R463" s="68" t="e">
        <f aca="false">VLOOKUP(A463,BD_ORDENES!A:BE,25,FALSE())</f>
        <v>#N/A</v>
      </c>
      <c r="S463" s="68" t="e">
        <f aca="false">VLOOKUP(A463,BD_ORDENES!A:BE,22,FALSE())</f>
        <v>#N/A</v>
      </c>
      <c r="T463" s="65" t="e">
        <f aca="false">VLOOKUP(A463,BD_ORDENES!A:BE,55,FALSE())</f>
        <v>#N/A</v>
      </c>
      <c r="U463" s="68" t="e">
        <f aca="false">VLOOKUP(A463,BD_ORDENES!A:BE,57,FALSE())</f>
        <v>#N/A</v>
      </c>
      <c r="V463" s="70"/>
      <c r="W463" s="71"/>
    </row>
    <row r="464" s="72" customFormat="true" ht="98.25" hidden="false" customHeight="true" outlineLevel="0" collapsed="false">
      <c r="A464" s="62" t="n">
        <f aca="false">A463+1</f>
        <v>457</v>
      </c>
      <c r="B464" s="63" t="e">
        <f aca="false">VLOOKUP(A464,BD_ORDENES!A:BG,12,FALSE())</f>
        <v>#N/A</v>
      </c>
      <c r="C464" s="64" t="n">
        <v>457</v>
      </c>
      <c r="D464" s="65" t="e">
        <f aca="false">VLOOKUP(A464,BD_ORDENES!A:BE,10,0)</f>
        <v>#N/A</v>
      </c>
      <c r="E464" s="66" t="e">
        <f aca="false">VLOOKUP(A464,BD_ORDENES!A:BG,4,FALSE())</f>
        <v>#N/A</v>
      </c>
      <c r="F464" s="66" t="e">
        <f aca="false">VLOOKUP(A464,BD_ORDENES!A:BE,56,FALSE())</f>
        <v>#N/A</v>
      </c>
      <c r="G464" s="67" t="e">
        <f aca="false">VLOOKUP(A464,BD_ORDENES!A:BE,13,FALSE())</f>
        <v>#N/A</v>
      </c>
      <c r="H464" s="68" t="e">
        <f aca="false">VLOOKUP(A464,BD_ORDENES!A:BE,17,FALSE())</f>
        <v>#N/A</v>
      </c>
      <c r="I464" s="68" t="e">
        <f aca="false">VLOOKUP(A464,BD_ORDENES!A:BE,18,FALSE())</f>
        <v>#N/A</v>
      </c>
      <c r="J464" s="68" t="e">
        <f aca="false">VLOOKUP(A464,BD_ORDENES!A:BE,19,FALSE())</f>
        <v>#N/A</v>
      </c>
      <c r="K464" s="68" t="e">
        <f aca="false">VLOOKUP(A464,BD_ORDENES!A:BE,20,FALSE())</f>
        <v>#N/A</v>
      </c>
      <c r="L464" s="68" t="e">
        <f aca="false">VLOOKUP(A464,BD_ORDENES!A:BE,21,FALSE())</f>
        <v>#N/A</v>
      </c>
      <c r="M464" s="69" t="e">
        <f aca="false">VLOOKUP(A464,BD_ORDENES!A:BE,14,FALSE())</f>
        <v>#N/A</v>
      </c>
      <c r="N464" s="68" t="e">
        <f aca="false">VLOOKUP(A464,BD_ORDENES!A:BE,15,FALSE())</f>
        <v>#N/A</v>
      </c>
      <c r="O464" s="68" t="e">
        <f aca="false">VLOOKUP(A464,BD_ORDENES!A:BE,33,FALSE())</f>
        <v>#N/A</v>
      </c>
      <c r="P464" s="68" t="e">
        <f aca="false">VLOOKUP(A464,BD_ORDENES!A:BE,23,FALSE())</f>
        <v>#N/A</v>
      </c>
      <c r="Q464" s="68" t="e">
        <f aca="false">VLOOKUP(A464,BD_ORDENES!A:BE,52,FALSE())</f>
        <v>#N/A</v>
      </c>
      <c r="R464" s="68" t="e">
        <f aca="false">VLOOKUP(A464,BD_ORDENES!A:BE,25,FALSE())</f>
        <v>#N/A</v>
      </c>
      <c r="S464" s="68" t="e">
        <f aca="false">VLOOKUP(A464,BD_ORDENES!A:BE,22,FALSE())</f>
        <v>#N/A</v>
      </c>
      <c r="T464" s="65" t="e">
        <f aca="false">VLOOKUP(A464,BD_ORDENES!A:BE,55,FALSE())</f>
        <v>#N/A</v>
      </c>
      <c r="U464" s="68" t="e">
        <f aca="false">VLOOKUP(A464,BD_ORDENES!A:BE,57,FALSE())</f>
        <v>#N/A</v>
      </c>
      <c r="V464" s="70"/>
      <c r="W464" s="71"/>
    </row>
    <row r="465" s="72" customFormat="true" ht="98.25" hidden="false" customHeight="true" outlineLevel="0" collapsed="false">
      <c r="A465" s="62" t="n">
        <f aca="false">A464+1</f>
        <v>458</v>
      </c>
      <c r="B465" s="63" t="e">
        <f aca="false">VLOOKUP(A465,BD_ORDENES!A:BG,12,FALSE())</f>
        <v>#N/A</v>
      </c>
      <c r="C465" s="64" t="n">
        <v>458</v>
      </c>
      <c r="D465" s="65" t="e">
        <f aca="false">VLOOKUP(A465,BD_ORDENES!A:BE,10,0)</f>
        <v>#N/A</v>
      </c>
      <c r="E465" s="66" t="e">
        <f aca="false">VLOOKUP(A465,BD_ORDENES!A:BG,4,FALSE())</f>
        <v>#N/A</v>
      </c>
      <c r="F465" s="66" t="e">
        <f aca="false">VLOOKUP(A465,BD_ORDENES!A:BE,56,FALSE())</f>
        <v>#N/A</v>
      </c>
      <c r="G465" s="67" t="e">
        <f aca="false">VLOOKUP(A465,BD_ORDENES!A:BE,13,FALSE())</f>
        <v>#N/A</v>
      </c>
      <c r="H465" s="68" t="e">
        <f aca="false">VLOOKUP(A465,BD_ORDENES!A:BE,17,FALSE())</f>
        <v>#N/A</v>
      </c>
      <c r="I465" s="68" t="e">
        <f aca="false">VLOOKUP(A465,BD_ORDENES!A:BE,18,FALSE())</f>
        <v>#N/A</v>
      </c>
      <c r="J465" s="68" t="e">
        <f aca="false">VLOOKUP(A465,BD_ORDENES!A:BE,19,FALSE())</f>
        <v>#N/A</v>
      </c>
      <c r="K465" s="68" t="e">
        <f aca="false">VLOOKUP(A465,BD_ORDENES!A:BE,20,FALSE())</f>
        <v>#N/A</v>
      </c>
      <c r="L465" s="68" t="e">
        <f aca="false">VLOOKUP(A465,BD_ORDENES!A:BE,21,FALSE())</f>
        <v>#N/A</v>
      </c>
      <c r="M465" s="69" t="e">
        <f aca="false">VLOOKUP(A465,BD_ORDENES!A:BE,14,FALSE())</f>
        <v>#N/A</v>
      </c>
      <c r="N465" s="68" t="e">
        <f aca="false">VLOOKUP(A465,BD_ORDENES!A:BE,15,FALSE())</f>
        <v>#N/A</v>
      </c>
      <c r="O465" s="68" t="e">
        <f aca="false">VLOOKUP(A465,BD_ORDENES!A:BE,33,FALSE())</f>
        <v>#N/A</v>
      </c>
      <c r="P465" s="68" t="e">
        <f aca="false">VLOOKUP(A465,BD_ORDENES!A:BE,23,FALSE())</f>
        <v>#N/A</v>
      </c>
      <c r="Q465" s="68" t="e">
        <f aca="false">VLOOKUP(A465,BD_ORDENES!A:BE,52,FALSE())</f>
        <v>#N/A</v>
      </c>
      <c r="R465" s="68" t="e">
        <f aca="false">VLOOKUP(A465,BD_ORDENES!A:BE,25,FALSE())</f>
        <v>#N/A</v>
      </c>
      <c r="S465" s="68" t="e">
        <f aca="false">VLOOKUP(A465,BD_ORDENES!A:BE,22,FALSE())</f>
        <v>#N/A</v>
      </c>
      <c r="T465" s="65" t="e">
        <f aca="false">VLOOKUP(A465,BD_ORDENES!A:BE,55,FALSE())</f>
        <v>#N/A</v>
      </c>
      <c r="U465" s="68" t="e">
        <f aca="false">VLOOKUP(A465,BD_ORDENES!A:BE,57,FALSE())</f>
        <v>#N/A</v>
      </c>
      <c r="V465" s="70"/>
      <c r="W465" s="71"/>
    </row>
    <row r="466" s="72" customFormat="true" ht="98.25" hidden="false" customHeight="true" outlineLevel="0" collapsed="false">
      <c r="A466" s="62" t="n">
        <f aca="false">A465+1</f>
        <v>459</v>
      </c>
      <c r="B466" s="63" t="e">
        <f aca="false">VLOOKUP(A466,BD_ORDENES!A:BG,12,FALSE())</f>
        <v>#N/A</v>
      </c>
      <c r="C466" s="64" t="n">
        <v>459</v>
      </c>
      <c r="D466" s="65" t="e">
        <f aca="false">VLOOKUP(A466,BD_ORDENES!A:BE,10,0)</f>
        <v>#N/A</v>
      </c>
      <c r="E466" s="66" t="e">
        <f aca="false">VLOOKUP(A466,BD_ORDENES!A:BG,4,FALSE())</f>
        <v>#N/A</v>
      </c>
      <c r="F466" s="66" t="e">
        <f aca="false">VLOOKUP(A466,BD_ORDENES!A:BE,56,FALSE())</f>
        <v>#N/A</v>
      </c>
      <c r="G466" s="67" t="e">
        <f aca="false">VLOOKUP(A466,BD_ORDENES!A:BE,13,FALSE())</f>
        <v>#N/A</v>
      </c>
      <c r="H466" s="68" t="e">
        <f aca="false">VLOOKUP(A466,BD_ORDENES!A:BE,17,FALSE())</f>
        <v>#N/A</v>
      </c>
      <c r="I466" s="68" t="e">
        <f aca="false">VLOOKUP(A466,BD_ORDENES!A:BE,18,FALSE())</f>
        <v>#N/A</v>
      </c>
      <c r="J466" s="68" t="e">
        <f aca="false">VLOOKUP(A466,BD_ORDENES!A:BE,19,FALSE())</f>
        <v>#N/A</v>
      </c>
      <c r="K466" s="68" t="e">
        <f aca="false">VLOOKUP(A466,BD_ORDENES!A:BE,20,FALSE())</f>
        <v>#N/A</v>
      </c>
      <c r="L466" s="68" t="e">
        <f aca="false">VLOOKUP(A466,BD_ORDENES!A:BE,21,FALSE())</f>
        <v>#N/A</v>
      </c>
      <c r="M466" s="69" t="e">
        <f aca="false">VLOOKUP(A466,BD_ORDENES!A:BE,14,FALSE())</f>
        <v>#N/A</v>
      </c>
      <c r="N466" s="68" t="e">
        <f aca="false">VLOOKUP(A466,BD_ORDENES!A:BE,15,FALSE())</f>
        <v>#N/A</v>
      </c>
      <c r="O466" s="68" t="e">
        <f aca="false">VLOOKUP(A466,BD_ORDENES!A:BE,33,FALSE())</f>
        <v>#N/A</v>
      </c>
      <c r="P466" s="68" t="e">
        <f aca="false">VLOOKUP(A466,BD_ORDENES!A:BE,23,FALSE())</f>
        <v>#N/A</v>
      </c>
      <c r="Q466" s="68" t="e">
        <f aca="false">VLOOKUP(A466,BD_ORDENES!A:BE,52,FALSE())</f>
        <v>#N/A</v>
      </c>
      <c r="R466" s="68" t="e">
        <f aca="false">VLOOKUP(A466,BD_ORDENES!A:BE,25,FALSE())</f>
        <v>#N/A</v>
      </c>
      <c r="S466" s="68" t="e">
        <f aca="false">VLOOKUP(A466,BD_ORDENES!A:BE,22,FALSE())</f>
        <v>#N/A</v>
      </c>
      <c r="T466" s="65" t="e">
        <f aca="false">VLOOKUP(A466,BD_ORDENES!A:BE,55,FALSE())</f>
        <v>#N/A</v>
      </c>
      <c r="U466" s="68" t="e">
        <f aca="false">VLOOKUP(A466,BD_ORDENES!A:BE,57,FALSE())</f>
        <v>#N/A</v>
      </c>
      <c r="V466" s="70"/>
      <c r="W466" s="71"/>
    </row>
    <row r="467" s="72" customFormat="true" ht="98.25" hidden="false" customHeight="true" outlineLevel="0" collapsed="false">
      <c r="A467" s="62" t="n">
        <f aca="false">A466+1</f>
        <v>460</v>
      </c>
      <c r="B467" s="63" t="e">
        <f aca="false">VLOOKUP(A467,BD_ORDENES!A:BG,12,FALSE())</f>
        <v>#N/A</v>
      </c>
      <c r="C467" s="64" t="n">
        <v>460</v>
      </c>
      <c r="D467" s="65" t="e">
        <f aca="false">VLOOKUP(A467,BD_ORDENES!A:BE,10,0)</f>
        <v>#N/A</v>
      </c>
      <c r="E467" s="66" t="e">
        <f aca="false">VLOOKUP(A467,BD_ORDENES!A:BG,4,FALSE())</f>
        <v>#N/A</v>
      </c>
      <c r="F467" s="66" t="e">
        <f aca="false">VLOOKUP(A467,BD_ORDENES!A:BE,56,FALSE())</f>
        <v>#N/A</v>
      </c>
      <c r="G467" s="67" t="e">
        <f aca="false">VLOOKUP(A467,BD_ORDENES!A:BE,13,FALSE())</f>
        <v>#N/A</v>
      </c>
      <c r="H467" s="68" t="e">
        <f aca="false">VLOOKUP(A467,BD_ORDENES!A:BE,17,FALSE())</f>
        <v>#N/A</v>
      </c>
      <c r="I467" s="68" t="e">
        <f aca="false">VLOOKUP(A467,BD_ORDENES!A:BE,18,FALSE())</f>
        <v>#N/A</v>
      </c>
      <c r="J467" s="68" t="e">
        <f aca="false">VLOOKUP(A467,BD_ORDENES!A:BE,19,FALSE())</f>
        <v>#N/A</v>
      </c>
      <c r="K467" s="68" t="e">
        <f aca="false">VLOOKUP(A467,BD_ORDENES!A:BE,20,FALSE())</f>
        <v>#N/A</v>
      </c>
      <c r="L467" s="68" t="e">
        <f aca="false">VLOOKUP(A467,BD_ORDENES!A:BE,21,FALSE())</f>
        <v>#N/A</v>
      </c>
      <c r="M467" s="69" t="e">
        <f aca="false">VLOOKUP(A467,BD_ORDENES!A:BE,14,FALSE())</f>
        <v>#N/A</v>
      </c>
      <c r="N467" s="68" t="e">
        <f aca="false">VLOOKUP(A467,BD_ORDENES!A:BE,15,FALSE())</f>
        <v>#N/A</v>
      </c>
      <c r="O467" s="68" t="e">
        <f aca="false">VLOOKUP(A467,BD_ORDENES!A:BE,33,FALSE())</f>
        <v>#N/A</v>
      </c>
      <c r="P467" s="68" t="e">
        <f aca="false">VLOOKUP(A467,BD_ORDENES!A:BE,23,FALSE())</f>
        <v>#N/A</v>
      </c>
      <c r="Q467" s="68" t="e">
        <f aca="false">VLOOKUP(A467,BD_ORDENES!A:BE,52,FALSE())</f>
        <v>#N/A</v>
      </c>
      <c r="R467" s="68" t="e">
        <f aca="false">VLOOKUP(A467,BD_ORDENES!A:BE,25,FALSE())</f>
        <v>#N/A</v>
      </c>
      <c r="S467" s="68" t="e">
        <f aca="false">VLOOKUP(A467,BD_ORDENES!A:BE,22,FALSE())</f>
        <v>#N/A</v>
      </c>
      <c r="T467" s="65" t="e">
        <f aca="false">VLOOKUP(A467,BD_ORDENES!A:BE,55,FALSE())</f>
        <v>#N/A</v>
      </c>
      <c r="U467" s="68" t="e">
        <f aca="false">VLOOKUP(A467,BD_ORDENES!A:BE,57,FALSE())</f>
        <v>#N/A</v>
      </c>
      <c r="V467" s="70"/>
      <c r="W467" s="71"/>
    </row>
    <row r="468" s="72" customFormat="true" ht="98.25" hidden="false" customHeight="true" outlineLevel="0" collapsed="false">
      <c r="A468" s="62" t="n">
        <f aca="false">A467+1</f>
        <v>461</v>
      </c>
      <c r="B468" s="63" t="e">
        <f aca="false">VLOOKUP(A468,BD_ORDENES!A:BG,12,FALSE())</f>
        <v>#N/A</v>
      </c>
      <c r="C468" s="64" t="n">
        <v>461</v>
      </c>
      <c r="D468" s="65" t="e">
        <f aca="false">VLOOKUP(A468,BD_ORDENES!A:BE,10,0)</f>
        <v>#N/A</v>
      </c>
      <c r="E468" s="66" t="e">
        <f aca="false">VLOOKUP(A468,BD_ORDENES!A:BG,4,FALSE())</f>
        <v>#N/A</v>
      </c>
      <c r="F468" s="66" t="e">
        <f aca="false">VLOOKUP(A468,BD_ORDENES!A:BE,56,FALSE())</f>
        <v>#N/A</v>
      </c>
      <c r="G468" s="67" t="e">
        <f aca="false">VLOOKUP(A468,BD_ORDENES!A:BE,13,FALSE())</f>
        <v>#N/A</v>
      </c>
      <c r="H468" s="68" t="e">
        <f aca="false">VLOOKUP(A468,BD_ORDENES!A:BE,17,FALSE())</f>
        <v>#N/A</v>
      </c>
      <c r="I468" s="68" t="e">
        <f aca="false">VLOOKUP(A468,BD_ORDENES!A:BE,18,FALSE())</f>
        <v>#N/A</v>
      </c>
      <c r="J468" s="68" t="e">
        <f aca="false">VLOOKUP(A468,BD_ORDENES!A:BE,19,FALSE())</f>
        <v>#N/A</v>
      </c>
      <c r="K468" s="68" t="e">
        <f aca="false">VLOOKUP(A468,BD_ORDENES!A:BE,20,FALSE())</f>
        <v>#N/A</v>
      </c>
      <c r="L468" s="68" t="e">
        <f aca="false">VLOOKUP(A468,BD_ORDENES!A:BE,21,FALSE())</f>
        <v>#N/A</v>
      </c>
      <c r="M468" s="69" t="e">
        <f aca="false">VLOOKUP(A468,BD_ORDENES!A:BE,14,FALSE())</f>
        <v>#N/A</v>
      </c>
      <c r="N468" s="68" t="e">
        <f aca="false">VLOOKUP(A468,BD_ORDENES!A:BE,15,FALSE())</f>
        <v>#N/A</v>
      </c>
      <c r="O468" s="68" t="e">
        <f aca="false">VLOOKUP(A468,BD_ORDENES!A:BE,33,FALSE())</f>
        <v>#N/A</v>
      </c>
      <c r="P468" s="68" t="e">
        <f aca="false">VLOOKUP(A468,BD_ORDENES!A:BE,23,FALSE())</f>
        <v>#N/A</v>
      </c>
      <c r="Q468" s="68" t="e">
        <f aca="false">VLOOKUP(A468,BD_ORDENES!A:BE,52,FALSE())</f>
        <v>#N/A</v>
      </c>
      <c r="R468" s="68" t="e">
        <f aca="false">VLOOKUP(A468,BD_ORDENES!A:BE,25,FALSE())</f>
        <v>#N/A</v>
      </c>
      <c r="S468" s="68" t="e">
        <f aca="false">VLOOKUP(A468,BD_ORDENES!A:BE,22,FALSE())</f>
        <v>#N/A</v>
      </c>
      <c r="T468" s="65" t="e">
        <f aca="false">VLOOKUP(A468,BD_ORDENES!A:BE,55,FALSE())</f>
        <v>#N/A</v>
      </c>
      <c r="U468" s="68" t="e">
        <f aca="false">VLOOKUP(A468,BD_ORDENES!A:BE,57,FALSE())</f>
        <v>#N/A</v>
      </c>
      <c r="V468" s="70"/>
      <c r="W468" s="71"/>
    </row>
    <row r="469" s="72" customFormat="true" ht="98.25" hidden="false" customHeight="true" outlineLevel="0" collapsed="false">
      <c r="A469" s="62" t="n">
        <f aca="false">A468+1</f>
        <v>462</v>
      </c>
      <c r="B469" s="63" t="e">
        <f aca="false">VLOOKUP(A469,BD_ORDENES!A:BG,12,FALSE())</f>
        <v>#N/A</v>
      </c>
      <c r="C469" s="64" t="n">
        <v>462</v>
      </c>
      <c r="D469" s="65" t="e">
        <f aca="false">VLOOKUP(A469,BD_ORDENES!A:BE,10,0)</f>
        <v>#N/A</v>
      </c>
      <c r="E469" s="66" t="e">
        <f aca="false">VLOOKUP(A469,BD_ORDENES!A:BG,4,FALSE())</f>
        <v>#N/A</v>
      </c>
      <c r="F469" s="66" t="e">
        <f aca="false">VLOOKUP(A469,BD_ORDENES!A:BE,56,FALSE())</f>
        <v>#N/A</v>
      </c>
      <c r="G469" s="67" t="e">
        <f aca="false">VLOOKUP(A469,BD_ORDENES!A:BE,13,FALSE())</f>
        <v>#N/A</v>
      </c>
      <c r="H469" s="68" t="e">
        <f aca="false">VLOOKUP(A469,BD_ORDENES!A:BE,17,FALSE())</f>
        <v>#N/A</v>
      </c>
      <c r="I469" s="68" t="e">
        <f aca="false">VLOOKUP(A469,BD_ORDENES!A:BE,18,FALSE())</f>
        <v>#N/A</v>
      </c>
      <c r="J469" s="68" t="e">
        <f aca="false">VLOOKUP(A469,BD_ORDENES!A:BE,19,FALSE())</f>
        <v>#N/A</v>
      </c>
      <c r="K469" s="68" t="e">
        <f aca="false">VLOOKUP(A469,BD_ORDENES!A:BE,20,FALSE())</f>
        <v>#N/A</v>
      </c>
      <c r="L469" s="68" t="e">
        <f aca="false">VLOOKUP(A469,BD_ORDENES!A:BE,21,FALSE())</f>
        <v>#N/A</v>
      </c>
      <c r="M469" s="69" t="e">
        <f aca="false">VLOOKUP(A469,BD_ORDENES!A:BE,14,FALSE())</f>
        <v>#N/A</v>
      </c>
      <c r="N469" s="68" t="e">
        <f aca="false">VLOOKUP(A469,BD_ORDENES!A:BE,15,FALSE())</f>
        <v>#N/A</v>
      </c>
      <c r="O469" s="68" t="e">
        <f aca="false">VLOOKUP(A469,BD_ORDENES!A:BE,33,FALSE())</f>
        <v>#N/A</v>
      </c>
      <c r="P469" s="68" t="e">
        <f aca="false">VLOOKUP(A469,BD_ORDENES!A:BE,23,FALSE())</f>
        <v>#N/A</v>
      </c>
      <c r="Q469" s="68" t="e">
        <f aca="false">VLOOKUP(A469,BD_ORDENES!A:BE,52,FALSE())</f>
        <v>#N/A</v>
      </c>
      <c r="R469" s="68" t="e">
        <f aca="false">VLOOKUP(A469,BD_ORDENES!A:BE,25,FALSE())</f>
        <v>#N/A</v>
      </c>
      <c r="S469" s="68" t="e">
        <f aca="false">VLOOKUP(A469,BD_ORDENES!A:BE,22,FALSE())</f>
        <v>#N/A</v>
      </c>
      <c r="T469" s="65" t="e">
        <f aca="false">VLOOKUP(A469,BD_ORDENES!A:BE,55,FALSE())</f>
        <v>#N/A</v>
      </c>
      <c r="U469" s="68" t="e">
        <f aca="false">VLOOKUP(A469,BD_ORDENES!A:BE,57,FALSE())</f>
        <v>#N/A</v>
      </c>
      <c r="V469" s="70"/>
      <c r="W469" s="71"/>
    </row>
    <row r="470" s="72" customFormat="true" ht="98.25" hidden="false" customHeight="true" outlineLevel="0" collapsed="false">
      <c r="A470" s="62" t="n">
        <f aca="false">A469+1</f>
        <v>463</v>
      </c>
      <c r="B470" s="63" t="e">
        <f aca="false">VLOOKUP(A470,BD_ORDENES!A:BG,12,FALSE())</f>
        <v>#N/A</v>
      </c>
      <c r="C470" s="64" t="n">
        <v>463</v>
      </c>
      <c r="D470" s="65" t="e">
        <f aca="false">VLOOKUP(A470,BD_ORDENES!A:BE,10,0)</f>
        <v>#N/A</v>
      </c>
      <c r="E470" s="66" t="e">
        <f aca="false">VLOOKUP(A470,BD_ORDENES!A:BG,4,FALSE())</f>
        <v>#N/A</v>
      </c>
      <c r="F470" s="66" t="e">
        <f aca="false">VLOOKUP(A470,BD_ORDENES!A:BE,56,FALSE())</f>
        <v>#N/A</v>
      </c>
      <c r="G470" s="67" t="e">
        <f aca="false">VLOOKUP(A470,BD_ORDENES!A:BE,13,FALSE())</f>
        <v>#N/A</v>
      </c>
      <c r="H470" s="68" t="e">
        <f aca="false">VLOOKUP(A470,BD_ORDENES!A:BE,17,FALSE())</f>
        <v>#N/A</v>
      </c>
      <c r="I470" s="68" t="e">
        <f aca="false">VLOOKUP(A470,BD_ORDENES!A:BE,18,FALSE())</f>
        <v>#N/A</v>
      </c>
      <c r="J470" s="68" t="e">
        <f aca="false">VLOOKUP(A470,BD_ORDENES!A:BE,19,FALSE())</f>
        <v>#N/A</v>
      </c>
      <c r="K470" s="68" t="e">
        <f aca="false">VLOOKUP(A470,BD_ORDENES!A:BE,20,FALSE())</f>
        <v>#N/A</v>
      </c>
      <c r="L470" s="68" t="e">
        <f aca="false">VLOOKUP(A470,BD_ORDENES!A:BE,21,FALSE())</f>
        <v>#N/A</v>
      </c>
      <c r="M470" s="69" t="e">
        <f aca="false">VLOOKUP(A470,BD_ORDENES!A:BE,14,FALSE())</f>
        <v>#N/A</v>
      </c>
      <c r="N470" s="68" t="e">
        <f aca="false">VLOOKUP(A470,BD_ORDENES!A:BE,15,FALSE())</f>
        <v>#N/A</v>
      </c>
      <c r="O470" s="68" t="e">
        <f aca="false">VLOOKUP(A470,BD_ORDENES!A:BE,33,FALSE())</f>
        <v>#N/A</v>
      </c>
      <c r="P470" s="68" t="e">
        <f aca="false">VLOOKUP(A470,BD_ORDENES!A:BE,23,FALSE())</f>
        <v>#N/A</v>
      </c>
      <c r="Q470" s="68" t="e">
        <f aca="false">VLOOKUP(A470,BD_ORDENES!A:BE,52,FALSE())</f>
        <v>#N/A</v>
      </c>
      <c r="R470" s="68" t="e">
        <f aca="false">VLOOKUP(A470,BD_ORDENES!A:BE,25,FALSE())</f>
        <v>#N/A</v>
      </c>
      <c r="S470" s="68" t="e">
        <f aca="false">VLOOKUP(A470,BD_ORDENES!A:BE,22,FALSE())</f>
        <v>#N/A</v>
      </c>
      <c r="T470" s="65" t="e">
        <f aca="false">VLOOKUP(A470,BD_ORDENES!A:BE,55,FALSE())</f>
        <v>#N/A</v>
      </c>
      <c r="U470" s="68" t="e">
        <f aca="false">VLOOKUP(A470,BD_ORDENES!A:BE,57,FALSE())</f>
        <v>#N/A</v>
      </c>
      <c r="V470" s="70"/>
      <c r="W470" s="71"/>
    </row>
    <row r="471" s="72" customFormat="true" ht="98.25" hidden="false" customHeight="true" outlineLevel="0" collapsed="false">
      <c r="A471" s="62" t="n">
        <f aca="false">A470+1</f>
        <v>464</v>
      </c>
      <c r="B471" s="63" t="e">
        <f aca="false">VLOOKUP(A471,BD_ORDENES!A:BG,12,FALSE())</f>
        <v>#N/A</v>
      </c>
      <c r="C471" s="64" t="n">
        <v>464</v>
      </c>
      <c r="D471" s="65" t="e">
        <f aca="false">VLOOKUP(A471,BD_ORDENES!A:BE,10,0)</f>
        <v>#N/A</v>
      </c>
      <c r="E471" s="66" t="e">
        <f aca="false">VLOOKUP(A471,BD_ORDENES!A:BG,4,FALSE())</f>
        <v>#N/A</v>
      </c>
      <c r="F471" s="66" t="e">
        <f aca="false">VLOOKUP(A471,BD_ORDENES!A:BE,56,FALSE())</f>
        <v>#N/A</v>
      </c>
      <c r="G471" s="67" t="e">
        <f aca="false">VLOOKUP(A471,BD_ORDENES!A:BE,13,FALSE())</f>
        <v>#N/A</v>
      </c>
      <c r="H471" s="68" t="e">
        <f aca="false">VLOOKUP(A471,BD_ORDENES!A:BE,17,FALSE())</f>
        <v>#N/A</v>
      </c>
      <c r="I471" s="68" t="e">
        <f aca="false">VLOOKUP(A471,BD_ORDENES!A:BE,18,FALSE())</f>
        <v>#N/A</v>
      </c>
      <c r="J471" s="68" t="e">
        <f aca="false">VLOOKUP(A471,BD_ORDENES!A:BE,19,FALSE())</f>
        <v>#N/A</v>
      </c>
      <c r="K471" s="68" t="e">
        <f aca="false">VLOOKUP(A471,BD_ORDENES!A:BE,20,FALSE())</f>
        <v>#N/A</v>
      </c>
      <c r="L471" s="68" t="e">
        <f aca="false">VLOOKUP(A471,BD_ORDENES!A:BE,21,FALSE())</f>
        <v>#N/A</v>
      </c>
      <c r="M471" s="69" t="e">
        <f aca="false">VLOOKUP(A471,BD_ORDENES!A:BE,14,FALSE())</f>
        <v>#N/A</v>
      </c>
      <c r="N471" s="68" t="e">
        <f aca="false">VLOOKUP(A471,BD_ORDENES!A:BE,15,FALSE())</f>
        <v>#N/A</v>
      </c>
      <c r="O471" s="68" t="e">
        <f aca="false">VLOOKUP(A471,BD_ORDENES!A:BE,33,FALSE())</f>
        <v>#N/A</v>
      </c>
      <c r="P471" s="68" t="e">
        <f aca="false">VLOOKUP(A471,BD_ORDENES!A:BE,23,FALSE())</f>
        <v>#N/A</v>
      </c>
      <c r="Q471" s="68" t="e">
        <f aca="false">VLOOKUP(A471,BD_ORDENES!A:BE,52,FALSE())</f>
        <v>#N/A</v>
      </c>
      <c r="R471" s="68" t="e">
        <f aca="false">VLOOKUP(A471,BD_ORDENES!A:BE,25,FALSE())</f>
        <v>#N/A</v>
      </c>
      <c r="S471" s="68" t="e">
        <f aca="false">VLOOKUP(A471,BD_ORDENES!A:BE,22,FALSE())</f>
        <v>#N/A</v>
      </c>
      <c r="T471" s="65" t="e">
        <f aca="false">VLOOKUP(A471,BD_ORDENES!A:BE,55,FALSE())</f>
        <v>#N/A</v>
      </c>
      <c r="U471" s="68" t="e">
        <f aca="false">VLOOKUP(A471,BD_ORDENES!A:BE,57,FALSE())</f>
        <v>#N/A</v>
      </c>
      <c r="V471" s="70"/>
      <c r="W471" s="71"/>
    </row>
    <row r="472" s="72" customFormat="true" ht="98.25" hidden="false" customHeight="true" outlineLevel="0" collapsed="false">
      <c r="A472" s="62" t="n">
        <f aca="false">A471+1</f>
        <v>465</v>
      </c>
      <c r="B472" s="63" t="e">
        <f aca="false">VLOOKUP(A472,BD_ORDENES!A:BG,12,FALSE())</f>
        <v>#N/A</v>
      </c>
      <c r="C472" s="64" t="n">
        <v>465</v>
      </c>
      <c r="D472" s="65" t="e">
        <f aca="false">VLOOKUP(A472,BD_ORDENES!A:BE,10,0)</f>
        <v>#N/A</v>
      </c>
      <c r="E472" s="66" t="e">
        <f aca="false">VLOOKUP(A472,BD_ORDENES!A:BG,4,FALSE())</f>
        <v>#N/A</v>
      </c>
      <c r="F472" s="66" t="e">
        <f aca="false">VLOOKUP(A472,BD_ORDENES!A:BE,56,FALSE())</f>
        <v>#N/A</v>
      </c>
      <c r="G472" s="67" t="e">
        <f aca="false">VLOOKUP(A472,BD_ORDENES!A:BE,13,FALSE())</f>
        <v>#N/A</v>
      </c>
      <c r="H472" s="68" t="e">
        <f aca="false">VLOOKUP(A472,BD_ORDENES!A:BE,17,FALSE())</f>
        <v>#N/A</v>
      </c>
      <c r="I472" s="68" t="e">
        <f aca="false">VLOOKUP(A472,BD_ORDENES!A:BE,18,FALSE())</f>
        <v>#N/A</v>
      </c>
      <c r="J472" s="68" t="e">
        <f aca="false">VLOOKUP(A472,BD_ORDENES!A:BE,19,FALSE())</f>
        <v>#N/A</v>
      </c>
      <c r="K472" s="68" t="e">
        <f aca="false">VLOOKUP(A472,BD_ORDENES!A:BE,20,FALSE())</f>
        <v>#N/A</v>
      </c>
      <c r="L472" s="68" t="e">
        <f aca="false">VLOOKUP(A472,BD_ORDENES!A:BE,21,FALSE())</f>
        <v>#N/A</v>
      </c>
      <c r="M472" s="69" t="e">
        <f aca="false">VLOOKUP(A472,BD_ORDENES!A:BE,14,FALSE())</f>
        <v>#N/A</v>
      </c>
      <c r="N472" s="68" t="e">
        <f aca="false">VLOOKUP(A472,BD_ORDENES!A:BE,15,FALSE())</f>
        <v>#N/A</v>
      </c>
      <c r="O472" s="68" t="e">
        <f aca="false">VLOOKUP(A472,BD_ORDENES!A:BE,33,FALSE())</f>
        <v>#N/A</v>
      </c>
      <c r="P472" s="68" t="e">
        <f aca="false">VLOOKUP(A472,BD_ORDENES!A:BE,23,FALSE())</f>
        <v>#N/A</v>
      </c>
      <c r="Q472" s="68" t="e">
        <f aca="false">VLOOKUP(A472,BD_ORDENES!A:BE,52,FALSE())</f>
        <v>#N/A</v>
      </c>
      <c r="R472" s="68" t="e">
        <f aca="false">VLOOKUP(A472,BD_ORDENES!A:BE,25,FALSE())</f>
        <v>#N/A</v>
      </c>
      <c r="S472" s="68" t="e">
        <f aca="false">VLOOKUP(A472,BD_ORDENES!A:BE,22,FALSE())</f>
        <v>#N/A</v>
      </c>
      <c r="T472" s="65" t="e">
        <f aca="false">VLOOKUP(A472,BD_ORDENES!A:BE,55,FALSE())</f>
        <v>#N/A</v>
      </c>
      <c r="U472" s="68" t="e">
        <f aca="false">VLOOKUP(A472,BD_ORDENES!A:BE,57,FALSE())</f>
        <v>#N/A</v>
      </c>
      <c r="V472" s="70"/>
      <c r="W472" s="71"/>
    </row>
    <row r="473" s="72" customFormat="true" ht="98.25" hidden="false" customHeight="true" outlineLevel="0" collapsed="false">
      <c r="A473" s="62" t="n">
        <f aca="false">A472+1</f>
        <v>466</v>
      </c>
      <c r="B473" s="63" t="e">
        <f aca="false">VLOOKUP(A473,BD_ORDENES!A:BG,12,FALSE())</f>
        <v>#N/A</v>
      </c>
      <c r="C473" s="64" t="n">
        <v>466</v>
      </c>
      <c r="D473" s="65" t="e">
        <f aca="false">VLOOKUP(A473,BD_ORDENES!A:BE,10,0)</f>
        <v>#N/A</v>
      </c>
      <c r="E473" s="66" t="e">
        <f aca="false">VLOOKUP(A473,BD_ORDENES!A:BG,4,FALSE())</f>
        <v>#N/A</v>
      </c>
      <c r="F473" s="66" t="e">
        <f aca="false">VLOOKUP(A473,BD_ORDENES!A:BE,56,FALSE())</f>
        <v>#N/A</v>
      </c>
      <c r="G473" s="67" t="e">
        <f aca="false">VLOOKUP(A473,BD_ORDENES!A:BE,13,FALSE())</f>
        <v>#N/A</v>
      </c>
      <c r="H473" s="68" t="e">
        <f aca="false">VLOOKUP(A473,BD_ORDENES!A:BE,17,FALSE())</f>
        <v>#N/A</v>
      </c>
      <c r="I473" s="68" t="e">
        <f aca="false">VLOOKUP(A473,BD_ORDENES!A:BE,18,FALSE())</f>
        <v>#N/A</v>
      </c>
      <c r="J473" s="68" t="e">
        <f aca="false">VLOOKUP(A473,BD_ORDENES!A:BE,19,FALSE())</f>
        <v>#N/A</v>
      </c>
      <c r="K473" s="68" t="e">
        <f aca="false">VLOOKUP(A473,BD_ORDENES!A:BE,20,FALSE())</f>
        <v>#N/A</v>
      </c>
      <c r="L473" s="68" t="e">
        <f aca="false">VLOOKUP(A473,BD_ORDENES!A:BE,21,FALSE())</f>
        <v>#N/A</v>
      </c>
      <c r="M473" s="69" t="e">
        <f aca="false">VLOOKUP(A473,BD_ORDENES!A:BE,14,FALSE())</f>
        <v>#N/A</v>
      </c>
      <c r="N473" s="68" t="e">
        <f aca="false">VLOOKUP(A473,BD_ORDENES!A:BE,15,FALSE())</f>
        <v>#N/A</v>
      </c>
      <c r="O473" s="68" t="e">
        <f aca="false">VLOOKUP(A473,BD_ORDENES!A:BE,33,FALSE())</f>
        <v>#N/A</v>
      </c>
      <c r="P473" s="68" t="e">
        <f aca="false">VLOOKUP(A473,BD_ORDENES!A:BE,23,FALSE())</f>
        <v>#N/A</v>
      </c>
      <c r="Q473" s="68" t="e">
        <f aca="false">VLOOKUP(A473,BD_ORDENES!A:BE,52,FALSE())</f>
        <v>#N/A</v>
      </c>
      <c r="R473" s="68" t="e">
        <f aca="false">VLOOKUP(A473,BD_ORDENES!A:BE,25,FALSE())</f>
        <v>#N/A</v>
      </c>
      <c r="S473" s="68" t="e">
        <f aca="false">VLOOKUP(A473,BD_ORDENES!A:BE,22,FALSE())</f>
        <v>#N/A</v>
      </c>
      <c r="T473" s="65" t="e">
        <f aca="false">VLOOKUP(A473,BD_ORDENES!A:BE,55,FALSE())</f>
        <v>#N/A</v>
      </c>
      <c r="U473" s="68" t="e">
        <f aca="false">VLOOKUP(A473,BD_ORDENES!A:BE,57,FALSE())</f>
        <v>#N/A</v>
      </c>
      <c r="V473" s="70"/>
      <c r="W473" s="71"/>
    </row>
    <row r="474" s="72" customFormat="true" ht="98.25" hidden="false" customHeight="true" outlineLevel="0" collapsed="false">
      <c r="A474" s="62" t="n">
        <f aca="false">A473+1</f>
        <v>467</v>
      </c>
      <c r="B474" s="63" t="e">
        <f aca="false">VLOOKUP(A474,BD_ORDENES!A:BG,12,FALSE())</f>
        <v>#N/A</v>
      </c>
      <c r="C474" s="64" t="n">
        <v>467</v>
      </c>
      <c r="D474" s="65" t="e">
        <f aca="false">VLOOKUP(A474,BD_ORDENES!A:BE,10,0)</f>
        <v>#N/A</v>
      </c>
      <c r="E474" s="66" t="e">
        <f aca="false">VLOOKUP(A474,BD_ORDENES!A:BG,4,FALSE())</f>
        <v>#N/A</v>
      </c>
      <c r="F474" s="66" t="e">
        <f aca="false">VLOOKUP(A474,BD_ORDENES!A:BE,56,FALSE())</f>
        <v>#N/A</v>
      </c>
      <c r="G474" s="67" t="e">
        <f aca="false">VLOOKUP(A474,BD_ORDENES!A:BE,13,FALSE())</f>
        <v>#N/A</v>
      </c>
      <c r="H474" s="68" t="e">
        <f aca="false">VLOOKUP(A474,BD_ORDENES!A:BE,17,FALSE())</f>
        <v>#N/A</v>
      </c>
      <c r="I474" s="68" t="e">
        <f aca="false">VLOOKUP(A474,BD_ORDENES!A:BE,18,FALSE())</f>
        <v>#N/A</v>
      </c>
      <c r="J474" s="68" t="e">
        <f aca="false">VLOOKUP(A474,BD_ORDENES!A:BE,19,FALSE())</f>
        <v>#N/A</v>
      </c>
      <c r="K474" s="68" t="e">
        <f aca="false">VLOOKUP(A474,BD_ORDENES!A:BE,20,FALSE())</f>
        <v>#N/A</v>
      </c>
      <c r="L474" s="68" t="e">
        <f aca="false">VLOOKUP(A474,BD_ORDENES!A:BE,21,FALSE())</f>
        <v>#N/A</v>
      </c>
      <c r="M474" s="69" t="e">
        <f aca="false">VLOOKUP(A474,BD_ORDENES!A:BE,14,FALSE())</f>
        <v>#N/A</v>
      </c>
      <c r="N474" s="68" t="e">
        <f aca="false">VLOOKUP(A474,BD_ORDENES!A:BE,15,FALSE())</f>
        <v>#N/A</v>
      </c>
      <c r="O474" s="68" t="e">
        <f aca="false">VLOOKUP(A474,BD_ORDENES!A:BE,33,FALSE())</f>
        <v>#N/A</v>
      </c>
      <c r="P474" s="68" t="e">
        <f aca="false">VLOOKUP(A474,BD_ORDENES!A:BE,23,FALSE())</f>
        <v>#N/A</v>
      </c>
      <c r="Q474" s="68" t="e">
        <f aca="false">VLOOKUP(A474,BD_ORDENES!A:BE,52,FALSE())</f>
        <v>#N/A</v>
      </c>
      <c r="R474" s="68" t="e">
        <f aca="false">VLOOKUP(A474,BD_ORDENES!A:BE,25,FALSE())</f>
        <v>#N/A</v>
      </c>
      <c r="S474" s="68" t="e">
        <f aca="false">VLOOKUP(A474,BD_ORDENES!A:BE,22,FALSE())</f>
        <v>#N/A</v>
      </c>
      <c r="T474" s="65" t="e">
        <f aca="false">VLOOKUP(A474,BD_ORDENES!A:BE,55,FALSE())</f>
        <v>#N/A</v>
      </c>
      <c r="U474" s="68" t="e">
        <f aca="false">VLOOKUP(A474,BD_ORDENES!A:BE,57,FALSE())</f>
        <v>#N/A</v>
      </c>
      <c r="V474" s="70"/>
      <c r="W474" s="71"/>
    </row>
    <row r="475" s="72" customFormat="true" ht="98.25" hidden="false" customHeight="true" outlineLevel="0" collapsed="false">
      <c r="A475" s="62" t="n">
        <f aca="false">A474+1</f>
        <v>468</v>
      </c>
      <c r="B475" s="63" t="e">
        <f aca="false">VLOOKUP(A475,BD_ORDENES!A:BG,12,FALSE())</f>
        <v>#N/A</v>
      </c>
      <c r="C475" s="64" t="n">
        <v>468</v>
      </c>
      <c r="D475" s="65" t="e">
        <f aca="false">VLOOKUP(A475,BD_ORDENES!A:BE,10,0)</f>
        <v>#N/A</v>
      </c>
      <c r="E475" s="66" t="e">
        <f aca="false">VLOOKUP(A475,BD_ORDENES!A:BG,4,FALSE())</f>
        <v>#N/A</v>
      </c>
      <c r="F475" s="66" t="e">
        <f aca="false">VLOOKUP(A475,BD_ORDENES!A:BE,56,FALSE())</f>
        <v>#N/A</v>
      </c>
      <c r="G475" s="67" t="e">
        <f aca="false">VLOOKUP(A475,BD_ORDENES!A:BE,13,FALSE())</f>
        <v>#N/A</v>
      </c>
      <c r="H475" s="68" t="e">
        <f aca="false">VLOOKUP(A475,BD_ORDENES!A:BE,17,FALSE())</f>
        <v>#N/A</v>
      </c>
      <c r="I475" s="68" t="e">
        <f aca="false">VLOOKUP(A475,BD_ORDENES!A:BE,18,FALSE())</f>
        <v>#N/A</v>
      </c>
      <c r="J475" s="68" t="e">
        <f aca="false">VLOOKUP(A475,BD_ORDENES!A:BE,19,FALSE())</f>
        <v>#N/A</v>
      </c>
      <c r="K475" s="68" t="e">
        <f aca="false">VLOOKUP(A475,BD_ORDENES!A:BE,20,FALSE())</f>
        <v>#N/A</v>
      </c>
      <c r="L475" s="68" t="e">
        <f aca="false">VLOOKUP(A475,BD_ORDENES!A:BE,21,FALSE())</f>
        <v>#N/A</v>
      </c>
      <c r="M475" s="69" t="e">
        <f aca="false">VLOOKUP(A475,BD_ORDENES!A:BE,14,FALSE())</f>
        <v>#N/A</v>
      </c>
      <c r="N475" s="68" t="e">
        <f aca="false">VLOOKUP(A475,BD_ORDENES!A:BE,15,FALSE())</f>
        <v>#N/A</v>
      </c>
      <c r="O475" s="68" t="e">
        <f aca="false">VLOOKUP(A475,BD_ORDENES!A:BE,33,FALSE())</f>
        <v>#N/A</v>
      </c>
      <c r="P475" s="68" t="e">
        <f aca="false">VLOOKUP(A475,BD_ORDENES!A:BE,23,FALSE())</f>
        <v>#N/A</v>
      </c>
      <c r="Q475" s="68" t="e">
        <f aca="false">VLOOKUP(A475,BD_ORDENES!A:BE,52,FALSE())</f>
        <v>#N/A</v>
      </c>
      <c r="R475" s="68" t="e">
        <f aca="false">VLOOKUP(A475,BD_ORDENES!A:BE,25,FALSE())</f>
        <v>#N/A</v>
      </c>
      <c r="S475" s="68" t="e">
        <f aca="false">VLOOKUP(A475,BD_ORDENES!A:BE,22,FALSE())</f>
        <v>#N/A</v>
      </c>
      <c r="T475" s="65" t="e">
        <f aca="false">VLOOKUP(A475,BD_ORDENES!A:BE,55,FALSE())</f>
        <v>#N/A</v>
      </c>
      <c r="U475" s="68" t="e">
        <f aca="false">VLOOKUP(A475,BD_ORDENES!A:BE,57,FALSE())</f>
        <v>#N/A</v>
      </c>
      <c r="V475" s="70"/>
      <c r="W475" s="71"/>
    </row>
    <row r="476" s="72" customFormat="true" ht="98.25" hidden="false" customHeight="true" outlineLevel="0" collapsed="false">
      <c r="A476" s="62" t="n">
        <f aca="false">A475+1</f>
        <v>469</v>
      </c>
      <c r="B476" s="63" t="e">
        <f aca="false">VLOOKUP(A476,BD_ORDENES!A:BG,12,FALSE())</f>
        <v>#N/A</v>
      </c>
      <c r="C476" s="64" t="n">
        <v>469</v>
      </c>
      <c r="D476" s="65" t="e">
        <f aca="false">VLOOKUP(A476,BD_ORDENES!A:BE,10,0)</f>
        <v>#N/A</v>
      </c>
      <c r="E476" s="66" t="e">
        <f aca="false">VLOOKUP(A476,BD_ORDENES!A:BG,4,FALSE())</f>
        <v>#N/A</v>
      </c>
      <c r="F476" s="66" t="e">
        <f aca="false">VLOOKUP(A476,BD_ORDENES!A:BE,56,FALSE())</f>
        <v>#N/A</v>
      </c>
      <c r="G476" s="67" t="e">
        <f aca="false">VLOOKUP(A476,BD_ORDENES!A:BE,13,FALSE())</f>
        <v>#N/A</v>
      </c>
      <c r="H476" s="68" t="e">
        <f aca="false">VLOOKUP(A476,BD_ORDENES!A:BE,17,FALSE())</f>
        <v>#N/A</v>
      </c>
      <c r="I476" s="68" t="e">
        <f aca="false">VLOOKUP(A476,BD_ORDENES!A:BE,18,FALSE())</f>
        <v>#N/A</v>
      </c>
      <c r="J476" s="68" t="e">
        <f aca="false">VLOOKUP(A476,BD_ORDENES!A:BE,19,FALSE())</f>
        <v>#N/A</v>
      </c>
      <c r="K476" s="68" t="e">
        <f aca="false">VLOOKUP(A476,BD_ORDENES!A:BE,20,FALSE())</f>
        <v>#N/A</v>
      </c>
      <c r="L476" s="68" t="e">
        <f aca="false">VLOOKUP(A476,BD_ORDENES!A:BE,21,FALSE())</f>
        <v>#N/A</v>
      </c>
      <c r="M476" s="69" t="e">
        <f aca="false">VLOOKUP(A476,BD_ORDENES!A:BE,14,FALSE())</f>
        <v>#N/A</v>
      </c>
      <c r="N476" s="68" t="e">
        <f aca="false">VLOOKUP(A476,BD_ORDENES!A:BE,15,FALSE())</f>
        <v>#N/A</v>
      </c>
      <c r="O476" s="68" t="e">
        <f aca="false">VLOOKUP(A476,BD_ORDENES!A:BE,33,FALSE())</f>
        <v>#N/A</v>
      </c>
      <c r="P476" s="68" t="e">
        <f aca="false">VLOOKUP(A476,BD_ORDENES!A:BE,23,FALSE())</f>
        <v>#N/A</v>
      </c>
      <c r="Q476" s="68" t="e">
        <f aca="false">VLOOKUP(A476,BD_ORDENES!A:BE,52,FALSE())</f>
        <v>#N/A</v>
      </c>
      <c r="R476" s="68" t="e">
        <f aca="false">VLOOKUP(A476,BD_ORDENES!A:BE,25,FALSE())</f>
        <v>#N/A</v>
      </c>
      <c r="S476" s="68" t="e">
        <f aca="false">VLOOKUP(A476,BD_ORDENES!A:BE,22,FALSE())</f>
        <v>#N/A</v>
      </c>
      <c r="T476" s="65" t="e">
        <f aca="false">VLOOKUP(A476,BD_ORDENES!A:BE,55,FALSE())</f>
        <v>#N/A</v>
      </c>
      <c r="U476" s="68" t="e">
        <f aca="false">VLOOKUP(A476,BD_ORDENES!A:BE,57,FALSE())</f>
        <v>#N/A</v>
      </c>
      <c r="V476" s="70"/>
      <c r="W476" s="71"/>
    </row>
    <row r="477" s="72" customFormat="true" ht="98.25" hidden="false" customHeight="true" outlineLevel="0" collapsed="false">
      <c r="A477" s="62" t="n">
        <f aca="false">A476+1</f>
        <v>470</v>
      </c>
      <c r="B477" s="63" t="e">
        <f aca="false">VLOOKUP(A477,BD_ORDENES!A:BG,12,FALSE())</f>
        <v>#N/A</v>
      </c>
      <c r="C477" s="64" t="n">
        <v>470</v>
      </c>
      <c r="D477" s="65" t="e">
        <f aca="false">VLOOKUP(A477,BD_ORDENES!A:BE,10,0)</f>
        <v>#N/A</v>
      </c>
      <c r="E477" s="66" t="e">
        <f aca="false">VLOOKUP(A477,BD_ORDENES!A:BG,4,FALSE())</f>
        <v>#N/A</v>
      </c>
      <c r="F477" s="66" t="e">
        <f aca="false">VLOOKUP(A477,BD_ORDENES!A:BE,56,FALSE())</f>
        <v>#N/A</v>
      </c>
      <c r="G477" s="67" t="e">
        <f aca="false">VLOOKUP(A477,BD_ORDENES!A:BE,13,FALSE())</f>
        <v>#N/A</v>
      </c>
      <c r="H477" s="68" t="e">
        <f aca="false">VLOOKUP(A477,BD_ORDENES!A:BE,17,FALSE())</f>
        <v>#N/A</v>
      </c>
      <c r="I477" s="68" t="e">
        <f aca="false">VLOOKUP(A477,BD_ORDENES!A:BE,18,FALSE())</f>
        <v>#N/A</v>
      </c>
      <c r="J477" s="68" t="e">
        <f aca="false">VLOOKUP(A477,BD_ORDENES!A:BE,19,FALSE())</f>
        <v>#N/A</v>
      </c>
      <c r="K477" s="68" t="e">
        <f aca="false">VLOOKUP(A477,BD_ORDENES!A:BE,20,FALSE())</f>
        <v>#N/A</v>
      </c>
      <c r="L477" s="68" t="e">
        <f aca="false">VLOOKUP(A477,BD_ORDENES!A:BE,21,FALSE())</f>
        <v>#N/A</v>
      </c>
      <c r="M477" s="69" t="e">
        <f aca="false">VLOOKUP(A477,BD_ORDENES!A:BE,14,FALSE())</f>
        <v>#N/A</v>
      </c>
      <c r="N477" s="68" t="e">
        <f aca="false">VLOOKUP(A477,BD_ORDENES!A:BE,15,FALSE())</f>
        <v>#N/A</v>
      </c>
      <c r="O477" s="68" t="e">
        <f aca="false">VLOOKUP(A477,BD_ORDENES!A:BE,33,FALSE())</f>
        <v>#N/A</v>
      </c>
      <c r="P477" s="68" t="e">
        <f aca="false">VLOOKUP(A477,BD_ORDENES!A:BE,23,FALSE())</f>
        <v>#N/A</v>
      </c>
      <c r="Q477" s="68" t="e">
        <f aca="false">VLOOKUP(A477,BD_ORDENES!A:BE,52,FALSE())</f>
        <v>#N/A</v>
      </c>
      <c r="R477" s="68" t="e">
        <f aca="false">VLOOKUP(A477,BD_ORDENES!A:BE,25,FALSE())</f>
        <v>#N/A</v>
      </c>
      <c r="S477" s="68" t="e">
        <f aca="false">VLOOKUP(A477,BD_ORDENES!A:BE,22,FALSE())</f>
        <v>#N/A</v>
      </c>
      <c r="T477" s="65" t="e">
        <f aca="false">VLOOKUP(A477,BD_ORDENES!A:BE,55,FALSE())</f>
        <v>#N/A</v>
      </c>
      <c r="U477" s="68" t="e">
        <f aca="false">VLOOKUP(A477,BD_ORDENES!A:BE,57,FALSE())</f>
        <v>#N/A</v>
      </c>
      <c r="V477" s="70"/>
      <c r="W477" s="71"/>
    </row>
    <row r="478" s="72" customFormat="true" ht="98.25" hidden="false" customHeight="true" outlineLevel="0" collapsed="false">
      <c r="A478" s="62" t="n">
        <f aca="false">A477+1</f>
        <v>471</v>
      </c>
      <c r="B478" s="63" t="e">
        <f aca="false">VLOOKUP(A478,BD_ORDENES!A:BG,12,FALSE())</f>
        <v>#N/A</v>
      </c>
      <c r="C478" s="64" t="n">
        <v>471</v>
      </c>
      <c r="D478" s="65" t="e">
        <f aca="false">VLOOKUP(A478,BD_ORDENES!A:BE,10,0)</f>
        <v>#N/A</v>
      </c>
      <c r="E478" s="66" t="e">
        <f aca="false">VLOOKUP(A478,BD_ORDENES!A:BG,4,FALSE())</f>
        <v>#N/A</v>
      </c>
      <c r="F478" s="66" t="e">
        <f aca="false">VLOOKUP(A478,BD_ORDENES!A:BE,56,FALSE())</f>
        <v>#N/A</v>
      </c>
      <c r="G478" s="67" t="e">
        <f aca="false">VLOOKUP(A478,BD_ORDENES!A:BE,13,FALSE())</f>
        <v>#N/A</v>
      </c>
      <c r="H478" s="68" t="e">
        <f aca="false">VLOOKUP(A478,BD_ORDENES!A:BE,17,FALSE())</f>
        <v>#N/A</v>
      </c>
      <c r="I478" s="68" t="e">
        <f aca="false">VLOOKUP(A478,BD_ORDENES!A:BE,18,FALSE())</f>
        <v>#N/A</v>
      </c>
      <c r="J478" s="68" t="e">
        <f aca="false">VLOOKUP(A478,BD_ORDENES!A:BE,19,FALSE())</f>
        <v>#N/A</v>
      </c>
      <c r="K478" s="68" t="e">
        <f aca="false">VLOOKUP(A478,BD_ORDENES!A:BE,20,FALSE())</f>
        <v>#N/A</v>
      </c>
      <c r="L478" s="68" t="e">
        <f aca="false">VLOOKUP(A478,BD_ORDENES!A:BE,21,FALSE())</f>
        <v>#N/A</v>
      </c>
      <c r="M478" s="69" t="e">
        <f aca="false">VLOOKUP(A478,BD_ORDENES!A:BE,14,FALSE())</f>
        <v>#N/A</v>
      </c>
      <c r="N478" s="68" t="e">
        <f aca="false">VLOOKUP(A478,BD_ORDENES!A:BE,15,FALSE())</f>
        <v>#N/A</v>
      </c>
      <c r="O478" s="68" t="e">
        <f aca="false">VLOOKUP(A478,BD_ORDENES!A:BE,33,FALSE())</f>
        <v>#N/A</v>
      </c>
      <c r="P478" s="68" t="e">
        <f aca="false">VLOOKUP(A478,BD_ORDENES!A:BE,23,FALSE())</f>
        <v>#N/A</v>
      </c>
      <c r="Q478" s="68" t="e">
        <f aca="false">VLOOKUP(A478,BD_ORDENES!A:BE,52,FALSE())</f>
        <v>#N/A</v>
      </c>
      <c r="R478" s="68" t="e">
        <f aca="false">VLOOKUP(A478,BD_ORDENES!A:BE,25,FALSE())</f>
        <v>#N/A</v>
      </c>
      <c r="S478" s="68" t="e">
        <f aca="false">VLOOKUP(A478,BD_ORDENES!A:BE,22,FALSE())</f>
        <v>#N/A</v>
      </c>
      <c r="T478" s="65" t="e">
        <f aca="false">VLOOKUP(A478,BD_ORDENES!A:BE,55,FALSE())</f>
        <v>#N/A</v>
      </c>
      <c r="U478" s="68" t="e">
        <f aca="false">VLOOKUP(A478,BD_ORDENES!A:BE,57,FALSE())</f>
        <v>#N/A</v>
      </c>
      <c r="V478" s="70"/>
      <c r="W478" s="71"/>
    </row>
    <row r="479" s="72" customFormat="true" ht="98.25" hidden="false" customHeight="true" outlineLevel="0" collapsed="false">
      <c r="A479" s="62" t="n">
        <f aca="false">A478+1</f>
        <v>472</v>
      </c>
      <c r="B479" s="63" t="e">
        <f aca="false">VLOOKUP(A479,BD_ORDENES!A:BG,12,FALSE())</f>
        <v>#N/A</v>
      </c>
      <c r="C479" s="64" t="n">
        <v>472</v>
      </c>
      <c r="D479" s="65" t="e">
        <f aca="false">VLOOKUP(A479,BD_ORDENES!A:BE,10,0)</f>
        <v>#N/A</v>
      </c>
      <c r="E479" s="66" t="e">
        <f aca="false">VLOOKUP(A479,BD_ORDENES!A:BG,4,FALSE())</f>
        <v>#N/A</v>
      </c>
      <c r="F479" s="66" t="e">
        <f aca="false">VLOOKUP(A479,BD_ORDENES!A:BE,56,FALSE())</f>
        <v>#N/A</v>
      </c>
      <c r="G479" s="67" t="e">
        <f aca="false">VLOOKUP(A479,BD_ORDENES!A:BE,13,FALSE())</f>
        <v>#N/A</v>
      </c>
      <c r="H479" s="68" t="e">
        <f aca="false">VLOOKUP(A479,BD_ORDENES!A:BE,17,FALSE())</f>
        <v>#N/A</v>
      </c>
      <c r="I479" s="68" t="e">
        <f aca="false">VLOOKUP(A479,BD_ORDENES!A:BE,18,FALSE())</f>
        <v>#N/A</v>
      </c>
      <c r="J479" s="68" t="e">
        <f aca="false">VLOOKUP(A479,BD_ORDENES!A:BE,19,FALSE())</f>
        <v>#N/A</v>
      </c>
      <c r="K479" s="68" t="e">
        <f aca="false">VLOOKUP(A479,BD_ORDENES!A:BE,20,FALSE())</f>
        <v>#N/A</v>
      </c>
      <c r="L479" s="68" t="e">
        <f aca="false">VLOOKUP(A479,BD_ORDENES!A:BE,21,FALSE())</f>
        <v>#N/A</v>
      </c>
      <c r="M479" s="69" t="e">
        <f aca="false">VLOOKUP(A479,BD_ORDENES!A:BE,14,FALSE())</f>
        <v>#N/A</v>
      </c>
      <c r="N479" s="68" t="e">
        <f aca="false">VLOOKUP(A479,BD_ORDENES!A:BE,15,FALSE())</f>
        <v>#N/A</v>
      </c>
      <c r="O479" s="68" t="e">
        <f aca="false">VLOOKUP(A479,BD_ORDENES!A:BE,33,FALSE())</f>
        <v>#N/A</v>
      </c>
      <c r="P479" s="68" t="e">
        <f aca="false">VLOOKUP(A479,BD_ORDENES!A:BE,23,FALSE())</f>
        <v>#N/A</v>
      </c>
      <c r="Q479" s="68" t="e">
        <f aca="false">VLOOKUP(A479,BD_ORDENES!A:BE,52,FALSE())</f>
        <v>#N/A</v>
      </c>
      <c r="R479" s="68" t="e">
        <f aca="false">VLOOKUP(A479,BD_ORDENES!A:BE,25,FALSE())</f>
        <v>#N/A</v>
      </c>
      <c r="S479" s="68" t="e">
        <f aca="false">VLOOKUP(A479,BD_ORDENES!A:BE,22,FALSE())</f>
        <v>#N/A</v>
      </c>
      <c r="T479" s="65" t="e">
        <f aca="false">VLOOKUP(A479,BD_ORDENES!A:BE,55,FALSE())</f>
        <v>#N/A</v>
      </c>
      <c r="U479" s="68" t="e">
        <f aca="false">VLOOKUP(A479,BD_ORDENES!A:BE,57,FALSE())</f>
        <v>#N/A</v>
      </c>
      <c r="V479" s="70"/>
      <c r="W479" s="71"/>
    </row>
    <row r="480" s="72" customFormat="true" ht="98.25" hidden="false" customHeight="true" outlineLevel="0" collapsed="false">
      <c r="A480" s="62" t="n">
        <f aca="false">A479+1</f>
        <v>473</v>
      </c>
      <c r="B480" s="63" t="e">
        <f aca="false">VLOOKUP(A480,BD_ORDENES!A:BG,12,FALSE())</f>
        <v>#N/A</v>
      </c>
      <c r="C480" s="64" t="n">
        <v>473</v>
      </c>
      <c r="D480" s="65" t="e">
        <f aca="false">VLOOKUP(A480,BD_ORDENES!A:BE,10,0)</f>
        <v>#N/A</v>
      </c>
      <c r="E480" s="66" t="e">
        <f aca="false">VLOOKUP(A480,BD_ORDENES!A:BG,4,FALSE())</f>
        <v>#N/A</v>
      </c>
      <c r="F480" s="66" t="e">
        <f aca="false">VLOOKUP(A480,BD_ORDENES!A:BE,56,FALSE())</f>
        <v>#N/A</v>
      </c>
      <c r="G480" s="67" t="e">
        <f aca="false">VLOOKUP(A480,BD_ORDENES!A:BE,13,FALSE())</f>
        <v>#N/A</v>
      </c>
      <c r="H480" s="68" t="e">
        <f aca="false">VLOOKUP(A480,BD_ORDENES!A:BE,17,FALSE())</f>
        <v>#N/A</v>
      </c>
      <c r="I480" s="68" t="e">
        <f aca="false">VLOOKUP(A480,BD_ORDENES!A:BE,18,FALSE())</f>
        <v>#N/A</v>
      </c>
      <c r="J480" s="68" t="e">
        <f aca="false">VLOOKUP(A480,BD_ORDENES!A:BE,19,FALSE())</f>
        <v>#N/A</v>
      </c>
      <c r="K480" s="68" t="e">
        <f aca="false">VLOOKUP(A480,BD_ORDENES!A:BE,20,FALSE())</f>
        <v>#N/A</v>
      </c>
      <c r="L480" s="68" t="e">
        <f aca="false">VLOOKUP(A480,BD_ORDENES!A:BE,21,FALSE())</f>
        <v>#N/A</v>
      </c>
      <c r="M480" s="69" t="e">
        <f aca="false">VLOOKUP(A480,BD_ORDENES!A:BE,14,FALSE())</f>
        <v>#N/A</v>
      </c>
      <c r="N480" s="68" t="e">
        <f aca="false">VLOOKUP(A480,BD_ORDENES!A:BE,15,FALSE())</f>
        <v>#N/A</v>
      </c>
      <c r="O480" s="68" t="e">
        <f aca="false">VLOOKUP(A480,BD_ORDENES!A:BE,33,FALSE())</f>
        <v>#N/A</v>
      </c>
      <c r="P480" s="68" t="e">
        <f aca="false">VLOOKUP(A480,BD_ORDENES!A:BE,23,FALSE())</f>
        <v>#N/A</v>
      </c>
      <c r="Q480" s="68" t="e">
        <f aca="false">VLOOKUP(A480,BD_ORDENES!A:BE,52,FALSE())</f>
        <v>#N/A</v>
      </c>
      <c r="R480" s="68" t="e">
        <f aca="false">VLOOKUP(A480,BD_ORDENES!A:BE,25,FALSE())</f>
        <v>#N/A</v>
      </c>
      <c r="S480" s="68" t="e">
        <f aca="false">VLOOKUP(A480,BD_ORDENES!A:BE,22,FALSE())</f>
        <v>#N/A</v>
      </c>
      <c r="T480" s="65" t="e">
        <f aca="false">VLOOKUP(A480,BD_ORDENES!A:BE,55,FALSE())</f>
        <v>#N/A</v>
      </c>
      <c r="U480" s="68" t="e">
        <f aca="false">VLOOKUP(A480,BD_ORDENES!A:BE,57,FALSE())</f>
        <v>#N/A</v>
      </c>
      <c r="V480" s="70"/>
      <c r="W480" s="71"/>
    </row>
    <row r="481" s="72" customFormat="true" ht="98.25" hidden="false" customHeight="true" outlineLevel="0" collapsed="false">
      <c r="A481" s="62" t="n">
        <f aca="false">A480+1</f>
        <v>474</v>
      </c>
      <c r="B481" s="63" t="e">
        <f aca="false">VLOOKUP(A481,BD_ORDENES!A:BG,12,FALSE())</f>
        <v>#N/A</v>
      </c>
      <c r="C481" s="64" t="n">
        <v>474</v>
      </c>
      <c r="D481" s="65" t="e">
        <f aca="false">VLOOKUP(A481,BD_ORDENES!A:BE,10,0)</f>
        <v>#N/A</v>
      </c>
      <c r="E481" s="66" t="e">
        <f aca="false">VLOOKUP(A481,BD_ORDENES!A:BG,4,FALSE())</f>
        <v>#N/A</v>
      </c>
      <c r="F481" s="66" t="e">
        <f aca="false">VLOOKUP(A481,BD_ORDENES!A:BE,56,FALSE())</f>
        <v>#N/A</v>
      </c>
      <c r="G481" s="67" t="e">
        <f aca="false">VLOOKUP(A481,BD_ORDENES!A:BE,13,FALSE())</f>
        <v>#N/A</v>
      </c>
      <c r="H481" s="68" t="e">
        <f aca="false">VLOOKUP(A481,BD_ORDENES!A:BE,17,FALSE())</f>
        <v>#N/A</v>
      </c>
      <c r="I481" s="68" t="e">
        <f aca="false">VLOOKUP(A481,BD_ORDENES!A:BE,18,FALSE())</f>
        <v>#N/A</v>
      </c>
      <c r="J481" s="68" t="e">
        <f aca="false">VLOOKUP(A481,BD_ORDENES!A:BE,19,FALSE())</f>
        <v>#N/A</v>
      </c>
      <c r="K481" s="68" t="e">
        <f aca="false">VLOOKUP(A481,BD_ORDENES!A:BE,20,FALSE())</f>
        <v>#N/A</v>
      </c>
      <c r="L481" s="68" t="e">
        <f aca="false">VLOOKUP(A481,BD_ORDENES!A:BE,21,FALSE())</f>
        <v>#N/A</v>
      </c>
      <c r="M481" s="69" t="e">
        <f aca="false">VLOOKUP(A481,BD_ORDENES!A:BE,14,FALSE())</f>
        <v>#N/A</v>
      </c>
      <c r="N481" s="68" t="e">
        <f aca="false">VLOOKUP(A481,BD_ORDENES!A:BE,15,FALSE())</f>
        <v>#N/A</v>
      </c>
      <c r="O481" s="68" t="e">
        <f aca="false">VLOOKUP(A481,BD_ORDENES!A:BE,33,FALSE())</f>
        <v>#N/A</v>
      </c>
      <c r="P481" s="68" t="e">
        <f aca="false">VLOOKUP(A481,BD_ORDENES!A:BE,23,FALSE())</f>
        <v>#N/A</v>
      </c>
      <c r="Q481" s="68" t="e">
        <f aca="false">VLOOKUP(A481,BD_ORDENES!A:BE,52,FALSE())</f>
        <v>#N/A</v>
      </c>
      <c r="R481" s="68" t="e">
        <f aca="false">VLOOKUP(A481,BD_ORDENES!A:BE,25,FALSE())</f>
        <v>#N/A</v>
      </c>
      <c r="S481" s="68" t="e">
        <f aca="false">VLOOKUP(A481,BD_ORDENES!A:BE,22,FALSE())</f>
        <v>#N/A</v>
      </c>
      <c r="T481" s="65" t="e">
        <f aca="false">VLOOKUP(A481,BD_ORDENES!A:BE,55,FALSE())</f>
        <v>#N/A</v>
      </c>
      <c r="U481" s="68" t="e">
        <f aca="false">VLOOKUP(A481,BD_ORDENES!A:BE,57,FALSE())</f>
        <v>#N/A</v>
      </c>
      <c r="V481" s="70"/>
      <c r="W481" s="71"/>
    </row>
    <row r="482" s="72" customFormat="true" ht="98.25" hidden="false" customHeight="true" outlineLevel="0" collapsed="false">
      <c r="A482" s="62" t="n">
        <f aca="false">A481+1</f>
        <v>475</v>
      </c>
      <c r="B482" s="63" t="e">
        <f aca="false">VLOOKUP(A482,BD_ORDENES!A:BG,12,FALSE())</f>
        <v>#N/A</v>
      </c>
      <c r="C482" s="64" t="n">
        <v>475</v>
      </c>
      <c r="D482" s="65" t="e">
        <f aca="false">VLOOKUP(A482,BD_ORDENES!A:BE,10,0)</f>
        <v>#N/A</v>
      </c>
      <c r="E482" s="66" t="e">
        <f aca="false">VLOOKUP(A482,BD_ORDENES!A:BG,4,FALSE())</f>
        <v>#N/A</v>
      </c>
      <c r="F482" s="66" t="e">
        <f aca="false">VLOOKUP(A482,BD_ORDENES!A:BE,56,FALSE())</f>
        <v>#N/A</v>
      </c>
      <c r="G482" s="67" t="e">
        <f aca="false">VLOOKUP(A482,BD_ORDENES!A:BE,13,FALSE())</f>
        <v>#N/A</v>
      </c>
      <c r="H482" s="68" t="e">
        <f aca="false">VLOOKUP(A482,BD_ORDENES!A:BE,17,FALSE())</f>
        <v>#N/A</v>
      </c>
      <c r="I482" s="68" t="e">
        <f aca="false">VLOOKUP(A482,BD_ORDENES!A:BE,18,FALSE())</f>
        <v>#N/A</v>
      </c>
      <c r="J482" s="68" t="e">
        <f aca="false">VLOOKUP(A482,BD_ORDENES!A:BE,19,FALSE())</f>
        <v>#N/A</v>
      </c>
      <c r="K482" s="68" t="e">
        <f aca="false">VLOOKUP(A482,BD_ORDENES!A:BE,20,FALSE())</f>
        <v>#N/A</v>
      </c>
      <c r="L482" s="68" t="e">
        <f aca="false">VLOOKUP(A482,BD_ORDENES!A:BE,21,FALSE())</f>
        <v>#N/A</v>
      </c>
      <c r="M482" s="69" t="e">
        <f aca="false">VLOOKUP(A482,BD_ORDENES!A:BE,14,FALSE())</f>
        <v>#N/A</v>
      </c>
      <c r="N482" s="68" t="e">
        <f aca="false">VLOOKUP(A482,BD_ORDENES!A:BE,15,FALSE())</f>
        <v>#N/A</v>
      </c>
      <c r="O482" s="68" t="e">
        <f aca="false">VLOOKUP(A482,BD_ORDENES!A:BE,33,FALSE())</f>
        <v>#N/A</v>
      </c>
      <c r="P482" s="68" t="e">
        <f aca="false">VLOOKUP(A482,BD_ORDENES!A:BE,23,FALSE())</f>
        <v>#N/A</v>
      </c>
      <c r="Q482" s="68" t="e">
        <f aca="false">VLOOKUP(A482,BD_ORDENES!A:BE,52,FALSE())</f>
        <v>#N/A</v>
      </c>
      <c r="R482" s="68" t="e">
        <f aca="false">VLOOKUP(A482,BD_ORDENES!A:BE,25,FALSE())</f>
        <v>#N/A</v>
      </c>
      <c r="S482" s="68" t="e">
        <f aca="false">VLOOKUP(A482,BD_ORDENES!A:BE,22,FALSE())</f>
        <v>#N/A</v>
      </c>
      <c r="T482" s="65" t="e">
        <f aca="false">VLOOKUP(A482,BD_ORDENES!A:BE,55,FALSE())</f>
        <v>#N/A</v>
      </c>
      <c r="U482" s="68" t="e">
        <f aca="false">VLOOKUP(A482,BD_ORDENES!A:BE,57,FALSE())</f>
        <v>#N/A</v>
      </c>
      <c r="V482" s="70"/>
      <c r="W482" s="71"/>
    </row>
    <row r="483" s="72" customFormat="true" ht="98.25" hidden="false" customHeight="true" outlineLevel="0" collapsed="false">
      <c r="A483" s="62" t="n">
        <f aca="false">A482+1</f>
        <v>476</v>
      </c>
      <c r="B483" s="63" t="e">
        <f aca="false">VLOOKUP(A483,BD_ORDENES!A:BG,12,FALSE())</f>
        <v>#N/A</v>
      </c>
      <c r="C483" s="64" t="n">
        <v>476</v>
      </c>
      <c r="D483" s="65" t="e">
        <f aca="false">VLOOKUP(A483,BD_ORDENES!A:BE,10,0)</f>
        <v>#N/A</v>
      </c>
      <c r="E483" s="66" t="e">
        <f aca="false">VLOOKUP(A483,BD_ORDENES!A:BG,4,FALSE())</f>
        <v>#N/A</v>
      </c>
      <c r="F483" s="66" t="e">
        <f aca="false">VLOOKUP(A483,BD_ORDENES!A:BE,56,FALSE())</f>
        <v>#N/A</v>
      </c>
      <c r="G483" s="67" t="e">
        <f aca="false">VLOOKUP(A483,BD_ORDENES!A:BE,13,FALSE())</f>
        <v>#N/A</v>
      </c>
      <c r="H483" s="68" t="e">
        <f aca="false">VLOOKUP(A483,BD_ORDENES!A:BE,17,FALSE())</f>
        <v>#N/A</v>
      </c>
      <c r="I483" s="68" t="e">
        <f aca="false">VLOOKUP(A483,BD_ORDENES!A:BE,18,FALSE())</f>
        <v>#N/A</v>
      </c>
      <c r="J483" s="68" t="e">
        <f aca="false">VLOOKUP(A483,BD_ORDENES!A:BE,19,FALSE())</f>
        <v>#N/A</v>
      </c>
      <c r="K483" s="68" t="e">
        <f aca="false">VLOOKUP(A483,BD_ORDENES!A:BE,20,FALSE())</f>
        <v>#N/A</v>
      </c>
      <c r="L483" s="68" t="e">
        <f aca="false">VLOOKUP(A483,BD_ORDENES!A:BE,21,FALSE())</f>
        <v>#N/A</v>
      </c>
      <c r="M483" s="69" t="e">
        <f aca="false">VLOOKUP(A483,BD_ORDENES!A:BE,14,FALSE())</f>
        <v>#N/A</v>
      </c>
      <c r="N483" s="68" t="e">
        <f aca="false">VLOOKUP(A483,BD_ORDENES!A:BE,15,FALSE())</f>
        <v>#N/A</v>
      </c>
      <c r="O483" s="68" t="e">
        <f aca="false">VLOOKUP(A483,BD_ORDENES!A:BE,33,FALSE())</f>
        <v>#N/A</v>
      </c>
      <c r="P483" s="68" t="e">
        <f aca="false">VLOOKUP(A483,BD_ORDENES!A:BE,23,FALSE())</f>
        <v>#N/A</v>
      </c>
      <c r="Q483" s="68" t="e">
        <f aca="false">VLOOKUP(A483,BD_ORDENES!A:BE,52,FALSE())</f>
        <v>#N/A</v>
      </c>
      <c r="R483" s="68" t="e">
        <f aca="false">VLOOKUP(A483,BD_ORDENES!A:BE,25,FALSE())</f>
        <v>#N/A</v>
      </c>
      <c r="S483" s="68" t="e">
        <f aca="false">VLOOKUP(A483,BD_ORDENES!A:BE,22,FALSE())</f>
        <v>#N/A</v>
      </c>
      <c r="T483" s="65" t="e">
        <f aca="false">VLOOKUP(A483,BD_ORDENES!A:BE,55,FALSE())</f>
        <v>#N/A</v>
      </c>
      <c r="U483" s="68" t="e">
        <f aca="false">VLOOKUP(A483,BD_ORDENES!A:BE,57,FALSE())</f>
        <v>#N/A</v>
      </c>
      <c r="V483" s="70"/>
      <c r="W483" s="71"/>
    </row>
    <row r="484" s="72" customFormat="true" ht="98.25" hidden="false" customHeight="true" outlineLevel="0" collapsed="false">
      <c r="A484" s="62" t="n">
        <f aca="false">A483+1</f>
        <v>477</v>
      </c>
      <c r="B484" s="63" t="e">
        <f aca="false">VLOOKUP(A484,BD_ORDENES!A:BG,12,FALSE())</f>
        <v>#N/A</v>
      </c>
      <c r="C484" s="64" t="n">
        <v>477</v>
      </c>
      <c r="D484" s="65" t="e">
        <f aca="false">VLOOKUP(A484,BD_ORDENES!A:BE,10,0)</f>
        <v>#N/A</v>
      </c>
      <c r="E484" s="66" t="e">
        <f aca="false">VLOOKUP(A484,BD_ORDENES!A:BG,4,FALSE())</f>
        <v>#N/A</v>
      </c>
      <c r="F484" s="66" t="e">
        <f aca="false">VLOOKUP(A484,BD_ORDENES!A:BE,56,FALSE())</f>
        <v>#N/A</v>
      </c>
      <c r="G484" s="67" t="e">
        <f aca="false">VLOOKUP(A484,BD_ORDENES!A:BE,13,FALSE())</f>
        <v>#N/A</v>
      </c>
      <c r="H484" s="68" t="e">
        <f aca="false">VLOOKUP(A484,BD_ORDENES!A:BE,17,FALSE())</f>
        <v>#N/A</v>
      </c>
      <c r="I484" s="68" t="e">
        <f aca="false">VLOOKUP(A484,BD_ORDENES!A:BE,18,FALSE())</f>
        <v>#N/A</v>
      </c>
      <c r="J484" s="68" t="e">
        <f aca="false">VLOOKUP(A484,BD_ORDENES!A:BE,19,FALSE())</f>
        <v>#N/A</v>
      </c>
      <c r="K484" s="68" t="e">
        <f aca="false">VLOOKUP(A484,BD_ORDENES!A:BE,20,FALSE())</f>
        <v>#N/A</v>
      </c>
      <c r="L484" s="68" t="e">
        <f aca="false">VLOOKUP(A484,BD_ORDENES!A:BE,21,FALSE())</f>
        <v>#N/A</v>
      </c>
      <c r="M484" s="69" t="e">
        <f aca="false">VLOOKUP(A484,BD_ORDENES!A:BE,14,FALSE())</f>
        <v>#N/A</v>
      </c>
      <c r="N484" s="68" t="e">
        <f aca="false">VLOOKUP(A484,BD_ORDENES!A:BE,15,FALSE())</f>
        <v>#N/A</v>
      </c>
      <c r="O484" s="68" t="e">
        <f aca="false">VLOOKUP(A484,BD_ORDENES!A:BE,33,FALSE())</f>
        <v>#N/A</v>
      </c>
      <c r="P484" s="68" t="e">
        <f aca="false">VLOOKUP(A484,BD_ORDENES!A:BE,23,FALSE())</f>
        <v>#N/A</v>
      </c>
      <c r="Q484" s="68" t="e">
        <f aca="false">VLOOKUP(A484,BD_ORDENES!A:BE,52,FALSE())</f>
        <v>#N/A</v>
      </c>
      <c r="R484" s="68" t="e">
        <f aca="false">VLOOKUP(A484,BD_ORDENES!A:BE,25,FALSE())</f>
        <v>#N/A</v>
      </c>
      <c r="S484" s="68" t="e">
        <f aca="false">VLOOKUP(A484,BD_ORDENES!A:BE,22,FALSE())</f>
        <v>#N/A</v>
      </c>
      <c r="T484" s="65" t="e">
        <f aca="false">VLOOKUP(A484,BD_ORDENES!A:BE,55,FALSE())</f>
        <v>#N/A</v>
      </c>
      <c r="U484" s="68" t="e">
        <f aca="false">VLOOKUP(A484,BD_ORDENES!A:BE,57,FALSE())</f>
        <v>#N/A</v>
      </c>
      <c r="V484" s="70"/>
      <c r="W484" s="71"/>
    </row>
    <row r="485" s="72" customFormat="true" ht="98.25" hidden="false" customHeight="true" outlineLevel="0" collapsed="false">
      <c r="A485" s="62" t="n">
        <f aca="false">A484+1</f>
        <v>478</v>
      </c>
      <c r="B485" s="63" t="e">
        <f aca="false">VLOOKUP(A485,BD_ORDENES!A:BG,12,FALSE())</f>
        <v>#N/A</v>
      </c>
      <c r="C485" s="64" t="n">
        <v>478</v>
      </c>
      <c r="D485" s="65" t="e">
        <f aca="false">VLOOKUP(A485,BD_ORDENES!A:BE,10,0)</f>
        <v>#N/A</v>
      </c>
      <c r="E485" s="66" t="e">
        <f aca="false">VLOOKUP(A485,BD_ORDENES!A:BG,4,FALSE())</f>
        <v>#N/A</v>
      </c>
      <c r="F485" s="66" t="e">
        <f aca="false">VLOOKUP(A485,BD_ORDENES!A:BE,56,FALSE())</f>
        <v>#N/A</v>
      </c>
      <c r="G485" s="67" t="e">
        <f aca="false">VLOOKUP(A485,BD_ORDENES!A:BE,13,FALSE())</f>
        <v>#N/A</v>
      </c>
      <c r="H485" s="68" t="e">
        <f aca="false">VLOOKUP(A485,BD_ORDENES!A:BE,17,FALSE())</f>
        <v>#N/A</v>
      </c>
      <c r="I485" s="68" t="e">
        <f aca="false">VLOOKUP(A485,BD_ORDENES!A:BE,18,FALSE())</f>
        <v>#N/A</v>
      </c>
      <c r="J485" s="68" t="e">
        <f aca="false">VLOOKUP(A485,BD_ORDENES!A:BE,19,FALSE())</f>
        <v>#N/A</v>
      </c>
      <c r="K485" s="68" t="e">
        <f aca="false">VLOOKUP(A485,BD_ORDENES!A:BE,20,FALSE())</f>
        <v>#N/A</v>
      </c>
      <c r="L485" s="68" t="e">
        <f aca="false">VLOOKUP(A485,BD_ORDENES!A:BE,21,FALSE())</f>
        <v>#N/A</v>
      </c>
      <c r="M485" s="69" t="e">
        <f aca="false">VLOOKUP(A485,BD_ORDENES!A:BE,14,FALSE())</f>
        <v>#N/A</v>
      </c>
      <c r="N485" s="68" t="e">
        <f aca="false">VLOOKUP(A485,BD_ORDENES!A:BE,15,FALSE())</f>
        <v>#N/A</v>
      </c>
      <c r="O485" s="68" t="e">
        <f aca="false">VLOOKUP(A485,BD_ORDENES!A:BE,33,FALSE())</f>
        <v>#N/A</v>
      </c>
      <c r="P485" s="68" t="e">
        <f aca="false">VLOOKUP(A485,BD_ORDENES!A:BE,23,FALSE())</f>
        <v>#N/A</v>
      </c>
      <c r="Q485" s="68" t="e">
        <f aca="false">VLOOKUP(A485,BD_ORDENES!A:BE,52,FALSE())</f>
        <v>#N/A</v>
      </c>
      <c r="R485" s="68" t="e">
        <f aca="false">VLOOKUP(A485,BD_ORDENES!A:BE,25,FALSE())</f>
        <v>#N/A</v>
      </c>
      <c r="S485" s="68" t="e">
        <f aca="false">VLOOKUP(A485,BD_ORDENES!A:BE,22,FALSE())</f>
        <v>#N/A</v>
      </c>
      <c r="T485" s="65" t="e">
        <f aca="false">VLOOKUP(A485,BD_ORDENES!A:BE,55,FALSE())</f>
        <v>#N/A</v>
      </c>
      <c r="U485" s="68" t="e">
        <f aca="false">VLOOKUP(A485,BD_ORDENES!A:BE,57,FALSE())</f>
        <v>#N/A</v>
      </c>
      <c r="V485" s="70"/>
      <c r="W485" s="71"/>
    </row>
    <row r="486" s="72" customFormat="true" ht="98.25" hidden="false" customHeight="true" outlineLevel="0" collapsed="false">
      <c r="A486" s="62" t="n">
        <f aca="false">A485+1</f>
        <v>479</v>
      </c>
      <c r="B486" s="63" t="e">
        <f aca="false">VLOOKUP(A486,BD_ORDENES!A:BG,12,FALSE())</f>
        <v>#N/A</v>
      </c>
      <c r="C486" s="64" t="n">
        <v>479</v>
      </c>
      <c r="D486" s="65" t="e">
        <f aca="false">VLOOKUP(A486,BD_ORDENES!A:BE,10,0)</f>
        <v>#N/A</v>
      </c>
      <c r="E486" s="66" t="e">
        <f aca="false">VLOOKUP(A486,BD_ORDENES!A:BG,4,FALSE())</f>
        <v>#N/A</v>
      </c>
      <c r="F486" s="66" t="e">
        <f aca="false">VLOOKUP(A486,BD_ORDENES!A:BE,56,FALSE())</f>
        <v>#N/A</v>
      </c>
      <c r="G486" s="67" t="e">
        <f aca="false">VLOOKUP(A486,BD_ORDENES!A:BE,13,FALSE())</f>
        <v>#N/A</v>
      </c>
      <c r="H486" s="68" t="e">
        <f aca="false">VLOOKUP(A486,BD_ORDENES!A:BE,17,FALSE())</f>
        <v>#N/A</v>
      </c>
      <c r="I486" s="68" t="e">
        <f aca="false">VLOOKUP(A486,BD_ORDENES!A:BE,18,FALSE())</f>
        <v>#N/A</v>
      </c>
      <c r="J486" s="68" t="e">
        <f aca="false">VLOOKUP(A486,BD_ORDENES!A:BE,19,FALSE())</f>
        <v>#N/A</v>
      </c>
      <c r="K486" s="68" t="e">
        <f aca="false">VLOOKUP(A486,BD_ORDENES!A:BE,20,FALSE())</f>
        <v>#N/A</v>
      </c>
      <c r="L486" s="68" t="e">
        <f aca="false">VLOOKUP(A486,BD_ORDENES!A:BE,21,FALSE())</f>
        <v>#N/A</v>
      </c>
      <c r="M486" s="69" t="e">
        <f aca="false">VLOOKUP(A486,BD_ORDENES!A:BE,14,FALSE())</f>
        <v>#N/A</v>
      </c>
      <c r="N486" s="68" t="e">
        <f aca="false">VLOOKUP(A486,BD_ORDENES!A:BE,15,FALSE())</f>
        <v>#N/A</v>
      </c>
      <c r="O486" s="68" t="e">
        <f aca="false">VLOOKUP(A486,BD_ORDENES!A:BE,33,FALSE())</f>
        <v>#N/A</v>
      </c>
      <c r="P486" s="68" t="e">
        <f aca="false">VLOOKUP(A486,BD_ORDENES!A:BE,23,FALSE())</f>
        <v>#N/A</v>
      </c>
      <c r="Q486" s="68" t="e">
        <f aca="false">VLOOKUP(A486,BD_ORDENES!A:BE,52,FALSE())</f>
        <v>#N/A</v>
      </c>
      <c r="R486" s="68" t="e">
        <f aca="false">VLOOKUP(A486,BD_ORDENES!A:BE,25,FALSE())</f>
        <v>#N/A</v>
      </c>
      <c r="S486" s="68" t="e">
        <f aca="false">VLOOKUP(A486,BD_ORDENES!A:BE,22,FALSE())</f>
        <v>#N/A</v>
      </c>
      <c r="T486" s="65" t="e">
        <f aca="false">VLOOKUP(A486,BD_ORDENES!A:BE,55,FALSE())</f>
        <v>#N/A</v>
      </c>
      <c r="U486" s="68" t="e">
        <f aca="false">VLOOKUP(A486,BD_ORDENES!A:BE,57,FALSE())</f>
        <v>#N/A</v>
      </c>
      <c r="V486" s="70"/>
      <c r="W486" s="71"/>
    </row>
    <row r="487" s="72" customFormat="true" ht="98.25" hidden="false" customHeight="true" outlineLevel="0" collapsed="false">
      <c r="A487" s="62" t="n">
        <f aca="false">A486+1</f>
        <v>480</v>
      </c>
      <c r="B487" s="63" t="e">
        <f aca="false">VLOOKUP(A487,BD_ORDENES!A:BG,12,FALSE())</f>
        <v>#N/A</v>
      </c>
      <c r="C487" s="64" t="n">
        <v>480</v>
      </c>
      <c r="D487" s="65" t="e">
        <f aca="false">VLOOKUP(A487,BD_ORDENES!A:BE,10,0)</f>
        <v>#N/A</v>
      </c>
      <c r="E487" s="66" t="e">
        <f aca="false">VLOOKUP(A487,BD_ORDENES!A:BG,4,FALSE())</f>
        <v>#N/A</v>
      </c>
      <c r="F487" s="66" t="e">
        <f aca="false">VLOOKUP(A487,BD_ORDENES!A:BE,56,FALSE())</f>
        <v>#N/A</v>
      </c>
      <c r="G487" s="67" t="e">
        <f aca="false">VLOOKUP(A487,BD_ORDENES!A:BE,13,FALSE())</f>
        <v>#N/A</v>
      </c>
      <c r="H487" s="68" t="e">
        <f aca="false">VLOOKUP(A487,BD_ORDENES!A:BE,17,FALSE())</f>
        <v>#N/A</v>
      </c>
      <c r="I487" s="68" t="e">
        <f aca="false">VLOOKUP(A487,BD_ORDENES!A:BE,18,FALSE())</f>
        <v>#N/A</v>
      </c>
      <c r="J487" s="68" t="e">
        <f aca="false">VLOOKUP(A487,BD_ORDENES!A:BE,19,FALSE())</f>
        <v>#N/A</v>
      </c>
      <c r="K487" s="68" t="e">
        <f aca="false">VLOOKUP(A487,BD_ORDENES!A:BE,20,FALSE())</f>
        <v>#N/A</v>
      </c>
      <c r="L487" s="68" t="e">
        <f aca="false">VLOOKUP(A487,BD_ORDENES!A:BE,21,FALSE())</f>
        <v>#N/A</v>
      </c>
      <c r="M487" s="69" t="e">
        <f aca="false">VLOOKUP(A487,BD_ORDENES!A:BE,14,FALSE())</f>
        <v>#N/A</v>
      </c>
      <c r="N487" s="68" t="e">
        <f aca="false">VLOOKUP(A487,BD_ORDENES!A:BE,15,FALSE())</f>
        <v>#N/A</v>
      </c>
      <c r="O487" s="68" t="e">
        <f aca="false">VLOOKUP(A487,BD_ORDENES!A:BE,33,FALSE())</f>
        <v>#N/A</v>
      </c>
      <c r="P487" s="68" t="e">
        <f aca="false">VLOOKUP(A487,BD_ORDENES!A:BE,23,FALSE())</f>
        <v>#N/A</v>
      </c>
      <c r="Q487" s="68" t="e">
        <f aca="false">VLOOKUP(A487,BD_ORDENES!A:BE,52,FALSE())</f>
        <v>#N/A</v>
      </c>
      <c r="R487" s="68" t="e">
        <f aca="false">VLOOKUP(A487,BD_ORDENES!A:BE,25,FALSE())</f>
        <v>#N/A</v>
      </c>
      <c r="S487" s="68" t="e">
        <f aca="false">VLOOKUP(A487,BD_ORDENES!A:BE,22,FALSE())</f>
        <v>#N/A</v>
      </c>
      <c r="T487" s="65" t="e">
        <f aca="false">VLOOKUP(A487,BD_ORDENES!A:BE,55,FALSE())</f>
        <v>#N/A</v>
      </c>
      <c r="U487" s="68" t="e">
        <f aca="false">VLOOKUP(A487,BD_ORDENES!A:BE,57,FALSE())</f>
        <v>#N/A</v>
      </c>
      <c r="V487" s="70"/>
      <c r="W487" s="71"/>
    </row>
    <row r="488" s="72" customFormat="true" ht="98.25" hidden="false" customHeight="true" outlineLevel="0" collapsed="false">
      <c r="A488" s="62" t="n">
        <f aca="false">A487+1</f>
        <v>481</v>
      </c>
      <c r="B488" s="63" t="e">
        <f aca="false">VLOOKUP(A488,BD_ORDENES!A:BG,12,FALSE())</f>
        <v>#N/A</v>
      </c>
      <c r="C488" s="64" t="n">
        <v>481</v>
      </c>
      <c r="D488" s="65" t="e">
        <f aca="false">VLOOKUP(A488,BD_ORDENES!A:BE,10,0)</f>
        <v>#N/A</v>
      </c>
      <c r="E488" s="66" t="e">
        <f aca="false">VLOOKUP(A488,BD_ORDENES!A:BG,4,FALSE())</f>
        <v>#N/A</v>
      </c>
      <c r="F488" s="66" t="e">
        <f aca="false">VLOOKUP(A488,BD_ORDENES!A:BE,56,FALSE())</f>
        <v>#N/A</v>
      </c>
      <c r="G488" s="67" t="e">
        <f aca="false">VLOOKUP(A488,BD_ORDENES!A:BE,13,FALSE())</f>
        <v>#N/A</v>
      </c>
      <c r="H488" s="68" t="e">
        <f aca="false">VLOOKUP(A488,BD_ORDENES!A:BE,17,FALSE())</f>
        <v>#N/A</v>
      </c>
      <c r="I488" s="68" t="e">
        <f aca="false">VLOOKUP(A488,BD_ORDENES!A:BE,18,FALSE())</f>
        <v>#N/A</v>
      </c>
      <c r="J488" s="68" t="e">
        <f aca="false">VLOOKUP(A488,BD_ORDENES!A:BE,19,FALSE())</f>
        <v>#N/A</v>
      </c>
      <c r="K488" s="68" t="e">
        <f aca="false">VLOOKUP(A488,BD_ORDENES!A:BE,20,FALSE())</f>
        <v>#N/A</v>
      </c>
      <c r="L488" s="68" t="e">
        <f aca="false">VLOOKUP(A488,BD_ORDENES!A:BE,21,FALSE())</f>
        <v>#N/A</v>
      </c>
      <c r="M488" s="69" t="e">
        <f aca="false">VLOOKUP(A488,BD_ORDENES!A:BE,14,FALSE())</f>
        <v>#N/A</v>
      </c>
      <c r="N488" s="68" t="e">
        <f aca="false">VLOOKUP(A488,BD_ORDENES!A:BE,15,FALSE())</f>
        <v>#N/A</v>
      </c>
      <c r="O488" s="68" t="e">
        <f aca="false">VLOOKUP(A488,BD_ORDENES!A:BE,33,FALSE())</f>
        <v>#N/A</v>
      </c>
      <c r="P488" s="68" t="e">
        <f aca="false">VLOOKUP(A488,BD_ORDENES!A:BE,23,FALSE())</f>
        <v>#N/A</v>
      </c>
      <c r="Q488" s="68" t="e">
        <f aca="false">VLOOKUP(A488,BD_ORDENES!A:BE,52,FALSE())</f>
        <v>#N/A</v>
      </c>
      <c r="R488" s="68" t="e">
        <f aca="false">VLOOKUP(A488,BD_ORDENES!A:BE,25,FALSE())</f>
        <v>#N/A</v>
      </c>
      <c r="S488" s="68" t="e">
        <f aca="false">VLOOKUP(A488,BD_ORDENES!A:BE,22,FALSE())</f>
        <v>#N/A</v>
      </c>
      <c r="T488" s="65" t="e">
        <f aca="false">VLOOKUP(A488,BD_ORDENES!A:BE,55,FALSE())</f>
        <v>#N/A</v>
      </c>
      <c r="U488" s="68" t="e">
        <f aca="false">VLOOKUP(A488,BD_ORDENES!A:BE,57,FALSE())</f>
        <v>#N/A</v>
      </c>
      <c r="V488" s="70"/>
      <c r="W488" s="71"/>
    </row>
    <row r="489" s="72" customFormat="true" ht="98.25" hidden="false" customHeight="true" outlineLevel="0" collapsed="false">
      <c r="A489" s="62" t="n">
        <f aca="false">A488+1</f>
        <v>482</v>
      </c>
      <c r="B489" s="63" t="e">
        <f aca="false">VLOOKUP(A489,BD_ORDENES!A:BG,12,FALSE())</f>
        <v>#N/A</v>
      </c>
      <c r="C489" s="64" t="n">
        <v>482</v>
      </c>
      <c r="D489" s="65" t="e">
        <f aca="false">VLOOKUP(A489,BD_ORDENES!A:BE,10,0)</f>
        <v>#N/A</v>
      </c>
      <c r="E489" s="66" t="e">
        <f aca="false">VLOOKUP(A489,BD_ORDENES!A:BG,4,FALSE())</f>
        <v>#N/A</v>
      </c>
      <c r="F489" s="66" t="e">
        <f aca="false">VLOOKUP(A489,BD_ORDENES!A:BE,56,FALSE())</f>
        <v>#N/A</v>
      </c>
      <c r="G489" s="67" t="e">
        <f aca="false">VLOOKUP(A489,BD_ORDENES!A:BE,13,FALSE())</f>
        <v>#N/A</v>
      </c>
      <c r="H489" s="68" t="e">
        <f aca="false">VLOOKUP(A489,BD_ORDENES!A:BE,17,FALSE())</f>
        <v>#N/A</v>
      </c>
      <c r="I489" s="68" t="e">
        <f aca="false">VLOOKUP(A489,BD_ORDENES!A:BE,18,FALSE())</f>
        <v>#N/A</v>
      </c>
      <c r="J489" s="68" t="e">
        <f aca="false">VLOOKUP(A489,BD_ORDENES!A:BE,19,FALSE())</f>
        <v>#N/A</v>
      </c>
      <c r="K489" s="68" t="e">
        <f aca="false">VLOOKUP(A489,BD_ORDENES!A:BE,20,FALSE())</f>
        <v>#N/A</v>
      </c>
      <c r="L489" s="68" t="e">
        <f aca="false">VLOOKUP(A489,BD_ORDENES!A:BE,21,FALSE())</f>
        <v>#N/A</v>
      </c>
      <c r="M489" s="69" t="e">
        <f aca="false">VLOOKUP(A489,BD_ORDENES!A:BE,14,FALSE())</f>
        <v>#N/A</v>
      </c>
      <c r="N489" s="68" t="e">
        <f aca="false">VLOOKUP(A489,BD_ORDENES!A:BE,15,FALSE())</f>
        <v>#N/A</v>
      </c>
      <c r="O489" s="68" t="e">
        <f aca="false">VLOOKUP(A489,BD_ORDENES!A:BE,33,FALSE())</f>
        <v>#N/A</v>
      </c>
      <c r="P489" s="68" t="e">
        <f aca="false">VLOOKUP(A489,BD_ORDENES!A:BE,23,FALSE())</f>
        <v>#N/A</v>
      </c>
      <c r="Q489" s="68" t="e">
        <f aca="false">VLOOKUP(A489,BD_ORDENES!A:BE,52,FALSE())</f>
        <v>#N/A</v>
      </c>
      <c r="R489" s="68" t="e">
        <f aca="false">VLOOKUP(A489,BD_ORDENES!A:BE,25,FALSE())</f>
        <v>#N/A</v>
      </c>
      <c r="S489" s="68" t="e">
        <f aca="false">VLOOKUP(A489,BD_ORDENES!A:BE,22,FALSE())</f>
        <v>#N/A</v>
      </c>
      <c r="T489" s="65" t="e">
        <f aca="false">VLOOKUP(A489,BD_ORDENES!A:BE,55,FALSE())</f>
        <v>#N/A</v>
      </c>
      <c r="U489" s="68" t="e">
        <f aca="false">VLOOKUP(A489,BD_ORDENES!A:BE,57,FALSE())</f>
        <v>#N/A</v>
      </c>
      <c r="V489" s="70"/>
      <c r="W489" s="71"/>
    </row>
    <row r="490" s="72" customFormat="true" ht="98.25" hidden="false" customHeight="true" outlineLevel="0" collapsed="false">
      <c r="A490" s="62" t="n">
        <f aca="false">A489+1</f>
        <v>483</v>
      </c>
      <c r="B490" s="63" t="e">
        <f aca="false">VLOOKUP(A490,BD_ORDENES!A:BG,12,FALSE())</f>
        <v>#N/A</v>
      </c>
      <c r="C490" s="64" t="n">
        <v>483</v>
      </c>
      <c r="D490" s="65" t="e">
        <f aca="false">VLOOKUP(A490,BD_ORDENES!A:BE,10,0)</f>
        <v>#N/A</v>
      </c>
      <c r="E490" s="66" t="e">
        <f aca="false">VLOOKUP(A490,BD_ORDENES!A:BG,4,FALSE())</f>
        <v>#N/A</v>
      </c>
      <c r="F490" s="66" t="e">
        <f aca="false">VLOOKUP(A490,BD_ORDENES!A:BE,56,FALSE())</f>
        <v>#N/A</v>
      </c>
      <c r="G490" s="67" t="e">
        <f aca="false">VLOOKUP(A490,BD_ORDENES!A:BE,13,FALSE())</f>
        <v>#N/A</v>
      </c>
      <c r="H490" s="68" t="e">
        <f aca="false">VLOOKUP(A490,BD_ORDENES!A:BE,17,FALSE())</f>
        <v>#N/A</v>
      </c>
      <c r="I490" s="68" t="e">
        <f aca="false">VLOOKUP(A490,BD_ORDENES!A:BE,18,FALSE())</f>
        <v>#N/A</v>
      </c>
      <c r="J490" s="68" t="e">
        <f aca="false">VLOOKUP(A490,BD_ORDENES!A:BE,19,FALSE())</f>
        <v>#N/A</v>
      </c>
      <c r="K490" s="68" t="e">
        <f aca="false">VLOOKUP(A490,BD_ORDENES!A:BE,20,FALSE())</f>
        <v>#N/A</v>
      </c>
      <c r="L490" s="68" t="e">
        <f aca="false">VLOOKUP(A490,BD_ORDENES!A:BE,21,FALSE())</f>
        <v>#N/A</v>
      </c>
      <c r="M490" s="69" t="e">
        <f aca="false">VLOOKUP(A490,BD_ORDENES!A:BE,14,FALSE())</f>
        <v>#N/A</v>
      </c>
      <c r="N490" s="68" t="e">
        <f aca="false">VLOOKUP(A490,BD_ORDENES!A:BE,15,FALSE())</f>
        <v>#N/A</v>
      </c>
      <c r="O490" s="68" t="e">
        <f aca="false">VLOOKUP(A490,BD_ORDENES!A:BE,33,FALSE())</f>
        <v>#N/A</v>
      </c>
      <c r="P490" s="68" t="e">
        <f aca="false">VLOOKUP(A490,BD_ORDENES!A:BE,23,FALSE())</f>
        <v>#N/A</v>
      </c>
      <c r="Q490" s="68" t="e">
        <f aca="false">VLOOKUP(A490,BD_ORDENES!A:BE,52,FALSE())</f>
        <v>#N/A</v>
      </c>
      <c r="R490" s="68" t="e">
        <f aca="false">VLOOKUP(A490,BD_ORDENES!A:BE,25,FALSE())</f>
        <v>#N/A</v>
      </c>
      <c r="S490" s="68" t="e">
        <f aca="false">VLOOKUP(A490,BD_ORDENES!A:BE,22,FALSE())</f>
        <v>#N/A</v>
      </c>
      <c r="T490" s="65" t="e">
        <f aca="false">VLOOKUP(A490,BD_ORDENES!A:BE,55,FALSE())</f>
        <v>#N/A</v>
      </c>
      <c r="U490" s="68" t="e">
        <f aca="false">VLOOKUP(A490,BD_ORDENES!A:BE,57,FALSE())</f>
        <v>#N/A</v>
      </c>
      <c r="V490" s="70"/>
      <c r="W490" s="71"/>
    </row>
    <row r="491" s="72" customFormat="true" ht="98.25" hidden="false" customHeight="true" outlineLevel="0" collapsed="false">
      <c r="A491" s="62" t="n">
        <f aca="false">A490+1</f>
        <v>484</v>
      </c>
      <c r="B491" s="63" t="e">
        <f aca="false">VLOOKUP(A491,BD_ORDENES!A:BG,12,FALSE())</f>
        <v>#N/A</v>
      </c>
      <c r="C491" s="64" t="n">
        <v>484</v>
      </c>
      <c r="D491" s="65" t="e">
        <f aca="false">VLOOKUP(A491,BD_ORDENES!A:BE,10,0)</f>
        <v>#N/A</v>
      </c>
      <c r="E491" s="66" t="e">
        <f aca="false">VLOOKUP(A491,BD_ORDENES!A:BG,4,FALSE())</f>
        <v>#N/A</v>
      </c>
      <c r="F491" s="66" t="e">
        <f aca="false">VLOOKUP(A491,BD_ORDENES!A:BE,56,FALSE())</f>
        <v>#N/A</v>
      </c>
      <c r="G491" s="67" t="e">
        <f aca="false">VLOOKUP(A491,BD_ORDENES!A:BE,13,FALSE())</f>
        <v>#N/A</v>
      </c>
      <c r="H491" s="68" t="e">
        <f aca="false">VLOOKUP(A491,BD_ORDENES!A:BE,17,FALSE())</f>
        <v>#N/A</v>
      </c>
      <c r="I491" s="68" t="e">
        <f aca="false">VLOOKUP(A491,BD_ORDENES!A:BE,18,FALSE())</f>
        <v>#N/A</v>
      </c>
      <c r="J491" s="68" t="e">
        <f aca="false">VLOOKUP(A491,BD_ORDENES!A:BE,19,FALSE())</f>
        <v>#N/A</v>
      </c>
      <c r="K491" s="68" t="e">
        <f aca="false">VLOOKUP(A491,BD_ORDENES!A:BE,20,FALSE())</f>
        <v>#N/A</v>
      </c>
      <c r="L491" s="68" t="e">
        <f aca="false">VLOOKUP(A491,BD_ORDENES!A:BE,21,FALSE())</f>
        <v>#N/A</v>
      </c>
      <c r="M491" s="69" t="e">
        <f aca="false">VLOOKUP(A491,BD_ORDENES!A:BE,14,FALSE())</f>
        <v>#N/A</v>
      </c>
      <c r="N491" s="68" t="e">
        <f aca="false">VLOOKUP(A491,BD_ORDENES!A:BE,15,FALSE())</f>
        <v>#N/A</v>
      </c>
      <c r="O491" s="68" t="e">
        <f aca="false">VLOOKUP(A491,BD_ORDENES!A:BE,33,FALSE())</f>
        <v>#N/A</v>
      </c>
      <c r="P491" s="68" t="e">
        <f aca="false">VLOOKUP(A491,BD_ORDENES!A:BE,23,FALSE())</f>
        <v>#N/A</v>
      </c>
      <c r="Q491" s="68" t="e">
        <f aca="false">VLOOKUP(A491,BD_ORDENES!A:BE,52,FALSE())</f>
        <v>#N/A</v>
      </c>
      <c r="R491" s="68" t="e">
        <f aca="false">VLOOKUP(A491,BD_ORDENES!A:BE,25,FALSE())</f>
        <v>#N/A</v>
      </c>
      <c r="S491" s="68" t="e">
        <f aca="false">VLOOKUP(A491,BD_ORDENES!A:BE,22,FALSE())</f>
        <v>#N/A</v>
      </c>
      <c r="T491" s="65" t="e">
        <f aca="false">VLOOKUP(A491,BD_ORDENES!A:BE,55,FALSE())</f>
        <v>#N/A</v>
      </c>
      <c r="U491" s="68" t="e">
        <f aca="false">VLOOKUP(A491,BD_ORDENES!A:BE,57,FALSE())</f>
        <v>#N/A</v>
      </c>
      <c r="V491" s="70"/>
      <c r="W491" s="71"/>
    </row>
    <row r="492" s="72" customFormat="true" ht="98.25" hidden="false" customHeight="true" outlineLevel="0" collapsed="false">
      <c r="A492" s="62" t="n">
        <f aca="false">A491+1</f>
        <v>485</v>
      </c>
      <c r="B492" s="63" t="e">
        <f aca="false">VLOOKUP(A492,BD_ORDENES!A:BG,12,FALSE())</f>
        <v>#N/A</v>
      </c>
      <c r="C492" s="64" t="n">
        <v>485</v>
      </c>
      <c r="D492" s="65" t="e">
        <f aca="false">VLOOKUP(A492,BD_ORDENES!A:BE,10,0)</f>
        <v>#N/A</v>
      </c>
      <c r="E492" s="66" t="e">
        <f aca="false">VLOOKUP(A492,BD_ORDENES!A:BG,4,FALSE())</f>
        <v>#N/A</v>
      </c>
      <c r="F492" s="66" t="e">
        <f aca="false">VLOOKUP(A492,BD_ORDENES!A:BE,56,FALSE())</f>
        <v>#N/A</v>
      </c>
      <c r="G492" s="67" t="e">
        <f aca="false">VLOOKUP(A492,BD_ORDENES!A:BE,13,FALSE())</f>
        <v>#N/A</v>
      </c>
      <c r="H492" s="68" t="e">
        <f aca="false">VLOOKUP(A492,BD_ORDENES!A:BE,17,FALSE())</f>
        <v>#N/A</v>
      </c>
      <c r="I492" s="68" t="e">
        <f aca="false">VLOOKUP(A492,BD_ORDENES!A:BE,18,FALSE())</f>
        <v>#N/A</v>
      </c>
      <c r="J492" s="68" t="e">
        <f aca="false">VLOOKUP(A492,BD_ORDENES!A:BE,19,FALSE())</f>
        <v>#N/A</v>
      </c>
      <c r="K492" s="68" t="e">
        <f aca="false">VLOOKUP(A492,BD_ORDENES!A:BE,20,FALSE())</f>
        <v>#N/A</v>
      </c>
      <c r="L492" s="68" t="e">
        <f aca="false">VLOOKUP(A492,BD_ORDENES!A:BE,21,FALSE())</f>
        <v>#N/A</v>
      </c>
      <c r="M492" s="69" t="e">
        <f aca="false">VLOOKUP(A492,BD_ORDENES!A:BE,14,FALSE())</f>
        <v>#N/A</v>
      </c>
      <c r="N492" s="68" t="e">
        <f aca="false">VLOOKUP(A492,BD_ORDENES!A:BE,15,FALSE())</f>
        <v>#N/A</v>
      </c>
      <c r="O492" s="68" t="e">
        <f aca="false">VLOOKUP(A492,BD_ORDENES!A:BE,33,FALSE())</f>
        <v>#N/A</v>
      </c>
      <c r="P492" s="68" t="e">
        <f aca="false">VLOOKUP(A492,BD_ORDENES!A:BE,23,FALSE())</f>
        <v>#N/A</v>
      </c>
      <c r="Q492" s="68" t="e">
        <f aca="false">VLOOKUP(A492,BD_ORDENES!A:BE,52,FALSE())</f>
        <v>#N/A</v>
      </c>
      <c r="R492" s="68" t="e">
        <f aca="false">VLOOKUP(A492,BD_ORDENES!A:BE,25,FALSE())</f>
        <v>#N/A</v>
      </c>
      <c r="S492" s="68" t="e">
        <f aca="false">VLOOKUP(A492,BD_ORDENES!A:BE,22,FALSE())</f>
        <v>#N/A</v>
      </c>
      <c r="T492" s="65" t="e">
        <f aca="false">VLOOKUP(A492,BD_ORDENES!A:BE,55,FALSE())</f>
        <v>#N/A</v>
      </c>
      <c r="U492" s="68" t="e">
        <f aca="false">VLOOKUP(A492,BD_ORDENES!A:BE,57,FALSE())</f>
        <v>#N/A</v>
      </c>
      <c r="V492" s="70"/>
      <c r="W492" s="71"/>
    </row>
    <row r="493" s="72" customFormat="true" ht="98.25" hidden="false" customHeight="true" outlineLevel="0" collapsed="false">
      <c r="A493" s="62" t="n">
        <f aca="false">A492+1</f>
        <v>486</v>
      </c>
      <c r="B493" s="63" t="e">
        <f aca="false">VLOOKUP(A493,BD_ORDENES!A:BG,12,FALSE())</f>
        <v>#N/A</v>
      </c>
      <c r="C493" s="64" t="n">
        <v>486</v>
      </c>
      <c r="D493" s="65" t="e">
        <f aca="false">VLOOKUP(A493,BD_ORDENES!A:BE,10,0)</f>
        <v>#N/A</v>
      </c>
      <c r="E493" s="66" t="e">
        <f aca="false">VLOOKUP(A493,BD_ORDENES!A:BG,4,FALSE())</f>
        <v>#N/A</v>
      </c>
      <c r="F493" s="66" t="e">
        <f aca="false">VLOOKUP(A493,BD_ORDENES!A:BE,56,FALSE())</f>
        <v>#N/A</v>
      </c>
      <c r="G493" s="67" t="e">
        <f aca="false">VLOOKUP(A493,BD_ORDENES!A:BE,13,FALSE())</f>
        <v>#N/A</v>
      </c>
      <c r="H493" s="68" t="e">
        <f aca="false">VLOOKUP(A493,BD_ORDENES!A:BE,17,FALSE())</f>
        <v>#N/A</v>
      </c>
      <c r="I493" s="68" t="e">
        <f aca="false">VLOOKUP(A493,BD_ORDENES!A:BE,18,FALSE())</f>
        <v>#N/A</v>
      </c>
      <c r="J493" s="68" t="e">
        <f aca="false">VLOOKUP(A493,BD_ORDENES!A:BE,19,FALSE())</f>
        <v>#N/A</v>
      </c>
      <c r="K493" s="68" t="e">
        <f aca="false">VLOOKUP(A493,BD_ORDENES!A:BE,20,FALSE())</f>
        <v>#N/A</v>
      </c>
      <c r="L493" s="68" t="e">
        <f aca="false">VLOOKUP(A493,BD_ORDENES!A:BE,21,FALSE())</f>
        <v>#N/A</v>
      </c>
      <c r="M493" s="69" t="e">
        <f aca="false">VLOOKUP(A493,BD_ORDENES!A:BE,14,FALSE())</f>
        <v>#N/A</v>
      </c>
      <c r="N493" s="68" t="e">
        <f aca="false">VLOOKUP(A493,BD_ORDENES!A:BE,15,FALSE())</f>
        <v>#N/A</v>
      </c>
      <c r="O493" s="68" t="e">
        <f aca="false">VLOOKUP(A493,BD_ORDENES!A:BE,33,FALSE())</f>
        <v>#N/A</v>
      </c>
      <c r="P493" s="68" t="e">
        <f aca="false">VLOOKUP(A493,BD_ORDENES!A:BE,23,FALSE())</f>
        <v>#N/A</v>
      </c>
      <c r="Q493" s="68" t="e">
        <f aca="false">VLOOKUP(A493,BD_ORDENES!A:BE,52,FALSE())</f>
        <v>#N/A</v>
      </c>
      <c r="R493" s="68" t="e">
        <f aca="false">VLOOKUP(A493,BD_ORDENES!A:BE,25,FALSE())</f>
        <v>#N/A</v>
      </c>
      <c r="S493" s="68" t="e">
        <f aca="false">VLOOKUP(A493,BD_ORDENES!A:BE,22,FALSE())</f>
        <v>#N/A</v>
      </c>
      <c r="T493" s="65" t="e">
        <f aca="false">VLOOKUP(A493,BD_ORDENES!A:BE,55,FALSE())</f>
        <v>#N/A</v>
      </c>
      <c r="U493" s="68" t="e">
        <f aca="false">VLOOKUP(A493,BD_ORDENES!A:BE,57,FALSE())</f>
        <v>#N/A</v>
      </c>
      <c r="V493" s="70"/>
      <c r="W493" s="71"/>
    </row>
    <row r="494" s="72" customFormat="true" ht="98.25" hidden="false" customHeight="true" outlineLevel="0" collapsed="false">
      <c r="A494" s="62" t="n">
        <f aca="false">A493+1</f>
        <v>487</v>
      </c>
      <c r="B494" s="63" t="e">
        <f aca="false">VLOOKUP(A494,BD_ORDENES!A:BG,12,FALSE())</f>
        <v>#N/A</v>
      </c>
      <c r="C494" s="64" t="n">
        <v>487</v>
      </c>
      <c r="D494" s="65" t="e">
        <f aca="false">VLOOKUP(A494,BD_ORDENES!A:BE,10,0)</f>
        <v>#N/A</v>
      </c>
      <c r="E494" s="66" t="e">
        <f aca="false">VLOOKUP(A494,BD_ORDENES!A:BG,4,FALSE())</f>
        <v>#N/A</v>
      </c>
      <c r="F494" s="66" t="e">
        <f aca="false">VLOOKUP(A494,BD_ORDENES!A:BE,56,FALSE())</f>
        <v>#N/A</v>
      </c>
      <c r="G494" s="67" t="e">
        <f aca="false">VLOOKUP(A494,BD_ORDENES!A:BE,13,FALSE())</f>
        <v>#N/A</v>
      </c>
      <c r="H494" s="68" t="e">
        <f aca="false">VLOOKUP(A494,BD_ORDENES!A:BE,17,FALSE())</f>
        <v>#N/A</v>
      </c>
      <c r="I494" s="68" t="e">
        <f aca="false">VLOOKUP(A494,BD_ORDENES!A:BE,18,FALSE())</f>
        <v>#N/A</v>
      </c>
      <c r="J494" s="68" t="e">
        <f aca="false">VLOOKUP(A494,BD_ORDENES!A:BE,19,FALSE())</f>
        <v>#N/A</v>
      </c>
      <c r="K494" s="68" t="e">
        <f aca="false">VLOOKUP(A494,BD_ORDENES!A:BE,20,FALSE())</f>
        <v>#N/A</v>
      </c>
      <c r="L494" s="68" t="e">
        <f aca="false">VLOOKUP(A494,BD_ORDENES!A:BE,21,FALSE())</f>
        <v>#N/A</v>
      </c>
      <c r="M494" s="69" t="e">
        <f aca="false">VLOOKUP(A494,BD_ORDENES!A:BE,14,FALSE())</f>
        <v>#N/A</v>
      </c>
      <c r="N494" s="68" t="e">
        <f aca="false">VLOOKUP(A494,BD_ORDENES!A:BE,15,FALSE())</f>
        <v>#N/A</v>
      </c>
      <c r="O494" s="68" t="e">
        <f aca="false">VLOOKUP(A494,BD_ORDENES!A:BE,33,FALSE())</f>
        <v>#N/A</v>
      </c>
      <c r="P494" s="68" t="e">
        <f aca="false">VLOOKUP(A494,BD_ORDENES!A:BE,23,FALSE())</f>
        <v>#N/A</v>
      </c>
      <c r="Q494" s="68" t="e">
        <f aca="false">VLOOKUP(A494,BD_ORDENES!A:BE,52,FALSE())</f>
        <v>#N/A</v>
      </c>
      <c r="R494" s="68" t="e">
        <f aca="false">VLOOKUP(A494,BD_ORDENES!A:BE,25,FALSE())</f>
        <v>#N/A</v>
      </c>
      <c r="S494" s="68" t="e">
        <f aca="false">VLOOKUP(A494,BD_ORDENES!A:BE,22,FALSE())</f>
        <v>#N/A</v>
      </c>
      <c r="T494" s="65" t="e">
        <f aca="false">VLOOKUP(A494,BD_ORDENES!A:BE,55,FALSE())</f>
        <v>#N/A</v>
      </c>
      <c r="U494" s="68" t="e">
        <f aca="false">VLOOKUP(A494,BD_ORDENES!A:BE,57,FALSE())</f>
        <v>#N/A</v>
      </c>
      <c r="V494" s="70"/>
      <c r="W494" s="71"/>
    </row>
    <row r="495" s="72" customFormat="true" ht="98.25" hidden="false" customHeight="true" outlineLevel="0" collapsed="false">
      <c r="A495" s="62" t="n">
        <f aca="false">A494+1</f>
        <v>488</v>
      </c>
      <c r="B495" s="63" t="e">
        <f aca="false">VLOOKUP(A495,BD_ORDENES!A:BG,12,FALSE())</f>
        <v>#N/A</v>
      </c>
      <c r="C495" s="64" t="n">
        <v>488</v>
      </c>
      <c r="D495" s="65" t="e">
        <f aca="false">VLOOKUP(A495,BD_ORDENES!A:BE,10,0)</f>
        <v>#N/A</v>
      </c>
      <c r="E495" s="66" t="e">
        <f aca="false">VLOOKUP(A495,BD_ORDENES!A:BG,4,FALSE())</f>
        <v>#N/A</v>
      </c>
      <c r="F495" s="66" t="e">
        <f aca="false">VLOOKUP(A495,BD_ORDENES!A:BE,56,FALSE())</f>
        <v>#N/A</v>
      </c>
      <c r="G495" s="67" t="e">
        <f aca="false">VLOOKUP(A495,BD_ORDENES!A:BE,13,FALSE())</f>
        <v>#N/A</v>
      </c>
      <c r="H495" s="68" t="e">
        <f aca="false">VLOOKUP(A495,BD_ORDENES!A:BE,17,FALSE())</f>
        <v>#N/A</v>
      </c>
      <c r="I495" s="68" t="e">
        <f aca="false">VLOOKUP(A495,BD_ORDENES!A:BE,18,FALSE())</f>
        <v>#N/A</v>
      </c>
      <c r="J495" s="68" t="e">
        <f aca="false">VLOOKUP(A495,BD_ORDENES!A:BE,19,FALSE())</f>
        <v>#N/A</v>
      </c>
      <c r="K495" s="68" t="e">
        <f aca="false">VLOOKUP(A495,BD_ORDENES!A:BE,20,FALSE())</f>
        <v>#N/A</v>
      </c>
      <c r="L495" s="68" t="e">
        <f aca="false">VLOOKUP(A495,BD_ORDENES!A:BE,21,FALSE())</f>
        <v>#N/A</v>
      </c>
      <c r="M495" s="69" t="e">
        <f aca="false">VLOOKUP(A495,BD_ORDENES!A:BE,14,FALSE())</f>
        <v>#N/A</v>
      </c>
      <c r="N495" s="68" t="e">
        <f aca="false">VLOOKUP(A495,BD_ORDENES!A:BE,15,FALSE())</f>
        <v>#N/A</v>
      </c>
      <c r="O495" s="68" t="e">
        <f aca="false">VLOOKUP(A495,BD_ORDENES!A:BE,33,FALSE())</f>
        <v>#N/A</v>
      </c>
      <c r="P495" s="68" t="e">
        <f aca="false">VLOOKUP(A495,BD_ORDENES!A:BE,23,FALSE())</f>
        <v>#N/A</v>
      </c>
      <c r="Q495" s="68" t="e">
        <f aca="false">VLOOKUP(A495,BD_ORDENES!A:BE,52,FALSE())</f>
        <v>#N/A</v>
      </c>
      <c r="R495" s="68" t="e">
        <f aca="false">VLOOKUP(A495,BD_ORDENES!A:BE,25,FALSE())</f>
        <v>#N/A</v>
      </c>
      <c r="S495" s="68" t="e">
        <f aca="false">VLOOKUP(A495,BD_ORDENES!A:BE,22,FALSE())</f>
        <v>#N/A</v>
      </c>
      <c r="T495" s="65" t="e">
        <f aca="false">VLOOKUP(A495,BD_ORDENES!A:BE,55,FALSE())</f>
        <v>#N/A</v>
      </c>
      <c r="U495" s="68" t="e">
        <f aca="false">VLOOKUP(A495,BD_ORDENES!A:BE,57,FALSE())</f>
        <v>#N/A</v>
      </c>
      <c r="V495" s="70"/>
      <c r="W495" s="71"/>
    </row>
    <row r="496" s="72" customFormat="true" ht="98.25" hidden="false" customHeight="true" outlineLevel="0" collapsed="false">
      <c r="A496" s="62" t="n">
        <f aca="false">A495+1</f>
        <v>489</v>
      </c>
      <c r="B496" s="63" t="e">
        <f aca="false">VLOOKUP(A496,BD_ORDENES!A:BG,12,FALSE())</f>
        <v>#N/A</v>
      </c>
      <c r="C496" s="64" t="n">
        <v>489</v>
      </c>
      <c r="D496" s="65" t="e">
        <f aca="false">VLOOKUP(A496,BD_ORDENES!A:BE,10,0)</f>
        <v>#N/A</v>
      </c>
      <c r="E496" s="66" t="e">
        <f aca="false">VLOOKUP(A496,BD_ORDENES!A:BG,4,FALSE())</f>
        <v>#N/A</v>
      </c>
      <c r="F496" s="66" t="e">
        <f aca="false">VLOOKUP(A496,BD_ORDENES!A:BE,56,FALSE())</f>
        <v>#N/A</v>
      </c>
      <c r="G496" s="67" t="e">
        <f aca="false">VLOOKUP(A496,BD_ORDENES!A:BE,13,FALSE())</f>
        <v>#N/A</v>
      </c>
      <c r="H496" s="68" t="e">
        <f aca="false">VLOOKUP(A496,BD_ORDENES!A:BE,17,FALSE())</f>
        <v>#N/A</v>
      </c>
      <c r="I496" s="68" t="e">
        <f aca="false">VLOOKUP(A496,BD_ORDENES!A:BE,18,FALSE())</f>
        <v>#N/A</v>
      </c>
      <c r="J496" s="68" t="e">
        <f aca="false">VLOOKUP(A496,BD_ORDENES!A:BE,19,FALSE())</f>
        <v>#N/A</v>
      </c>
      <c r="K496" s="68" t="e">
        <f aca="false">VLOOKUP(A496,BD_ORDENES!A:BE,20,FALSE())</f>
        <v>#N/A</v>
      </c>
      <c r="L496" s="68" t="e">
        <f aca="false">VLOOKUP(A496,BD_ORDENES!A:BE,21,FALSE())</f>
        <v>#N/A</v>
      </c>
      <c r="M496" s="69" t="e">
        <f aca="false">VLOOKUP(A496,BD_ORDENES!A:BE,14,FALSE())</f>
        <v>#N/A</v>
      </c>
      <c r="N496" s="68" t="e">
        <f aca="false">VLOOKUP(A496,BD_ORDENES!A:BE,15,FALSE())</f>
        <v>#N/A</v>
      </c>
      <c r="O496" s="68" t="e">
        <f aca="false">VLOOKUP(A496,BD_ORDENES!A:BE,33,FALSE())</f>
        <v>#N/A</v>
      </c>
      <c r="P496" s="68" t="e">
        <f aca="false">VLOOKUP(A496,BD_ORDENES!A:BE,23,FALSE())</f>
        <v>#N/A</v>
      </c>
      <c r="Q496" s="68" t="e">
        <f aca="false">VLOOKUP(A496,BD_ORDENES!A:BE,52,FALSE())</f>
        <v>#N/A</v>
      </c>
      <c r="R496" s="68" t="e">
        <f aca="false">VLOOKUP(A496,BD_ORDENES!A:BE,25,FALSE())</f>
        <v>#N/A</v>
      </c>
      <c r="S496" s="68" t="e">
        <f aca="false">VLOOKUP(A496,BD_ORDENES!A:BE,22,FALSE())</f>
        <v>#N/A</v>
      </c>
      <c r="T496" s="65" t="e">
        <f aca="false">VLOOKUP(A496,BD_ORDENES!A:BE,55,FALSE())</f>
        <v>#N/A</v>
      </c>
      <c r="U496" s="68" t="e">
        <f aca="false">VLOOKUP(A496,BD_ORDENES!A:BE,57,FALSE())</f>
        <v>#N/A</v>
      </c>
      <c r="V496" s="70"/>
      <c r="W496" s="71"/>
    </row>
    <row r="497" s="72" customFormat="true" ht="98.25" hidden="false" customHeight="true" outlineLevel="0" collapsed="false">
      <c r="A497" s="62" t="n">
        <f aca="false">A496+1</f>
        <v>490</v>
      </c>
      <c r="B497" s="63" t="e">
        <f aca="false">VLOOKUP(A497,BD_ORDENES!A:BG,12,FALSE())</f>
        <v>#N/A</v>
      </c>
      <c r="C497" s="64" t="n">
        <v>490</v>
      </c>
      <c r="D497" s="65" t="e">
        <f aca="false">VLOOKUP(A497,BD_ORDENES!A:BE,10,0)</f>
        <v>#N/A</v>
      </c>
      <c r="E497" s="66" t="e">
        <f aca="false">VLOOKUP(A497,BD_ORDENES!A:BG,4,FALSE())</f>
        <v>#N/A</v>
      </c>
      <c r="F497" s="66" t="e">
        <f aca="false">VLOOKUP(A497,BD_ORDENES!A:BE,56,FALSE())</f>
        <v>#N/A</v>
      </c>
      <c r="G497" s="67" t="e">
        <f aca="false">VLOOKUP(A497,BD_ORDENES!A:BE,13,FALSE())</f>
        <v>#N/A</v>
      </c>
      <c r="H497" s="68" t="e">
        <f aca="false">VLOOKUP(A497,BD_ORDENES!A:BE,17,FALSE())</f>
        <v>#N/A</v>
      </c>
      <c r="I497" s="68" t="e">
        <f aca="false">VLOOKUP(A497,BD_ORDENES!A:BE,18,FALSE())</f>
        <v>#N/A</v>
      </c>
      <c r="J497" s="68" t="e">
        <f aca="false">VLOOKUP(A497,BD_ORDENES!A:BE,19,FALSE())</f>
        <v>#N/A</v>
      </c>
      <c r="K497" s="68" t="e">
        <f aca="false">VLOOKUP(A497,BD_ORDENES!A:BE,20,FALSE())</f>
        <v>#N/A</v>
      </c>
      <c r="L497" s="68" t="e">
        <f aca="false">VLOOKUP(A497,BD_ORDENES!A:BE,21,FALSE())</f>
        <v>#N/A</v>
      </c>
      <c r="M497" s="69" t="e">
        <f aca="false">VLOOKUP(A497,BD_ORDENES!A:BE,14,FALSE())</f>
        <v>#N/A</v>
      </c>
      <c r="N497" s="68" t="e">
        <f aca="false">VLOOKUP(A497,BD_ORDENES!A:BE,15,FALSE())</f>
        <v>#N/A</v>
      </c>
      <c r="O497" s="68" t="e">
        <f aca="false">VLOOKUP(A497,BD_ORDENES!A:BE,33,FALSE())</f>
        <v>#N/A</v>
      </c>
      <c r="P497" s="68" t="e">
        <f aca="false">VLOOKUP(A497,BD_ORDENES!A:BE,23,FALSE())</f>
        <v>#N/A</v>
      </c>
      <c r="Q497" s="68" t="e">
        <f aca="false">VLOOKUP(A497,BD_ORDENES!A:BE,52,FALSE())</f>
        <v>#N/A</v>
      </c>
      <c r="R497" s="68" t="e">
        <f aca="false">VLOOKUP(A497,BD_ORDENES!A:BE,25,FALSE())</f>
        <v>#N/A</v>
      </c>
      <c r="S497" s="68" t="e">
        <f aca="false">VLOOKUP(A497,BD_ORDENES!A:BE,22,FALSE())</f>
        <v>#N/A</v>
      </c>
      <c r="T497" s="65" t="e">
        <f aca="false">VLOOKUP(A497,BD_ORDENES!A:BE,55,FALSE())</f>
        <v>#N/A</v>
      </c>
      <c r="U497" s="68" t="e">
        <f aca="false">VLOOKUP(A497,BD_ORDENES!A:BE,57,FALSE())</f>
        <v>#N/A</v>
      </c>
      <c r="V497" s="70"/>
      <c r="W497" s="71"/>
    </row>
    <row r="498" s="72" customFormat="true" ht="98.25" hidden="false" customHeight="true" outlineLevel="0" collapsed="false">
      <c r="A498" s="62" t="n">
        <f aca="false">A497+1</f>
        <v>491</v>
      </c>
      <c r="B498" s="63" t="e">
        <f aca="false">VLOOKUP(A498,BD_ORDENES!A:BG,12,FALSE())</f>
        <v>#N/A</v>
      </c>
      <c r="C498" s="64" t="n">
        <v>491</v>
      </c>
      <c r="D498" s="65" t="e">
        <f aca="false">VLOOKUP(A498,BD_ORDENES!A:BE,10,0)</f>
        <v>#N/A</v>
      </c>
      <c r="E498" s="66" t="e">
        <f aca="false">VLOOKUP(A498,BD_ORDENES!A:BG,4,FALSE())</f>
        <v>#N/A</v>
      </c>
      <c r="F498" s="66" t="e">
        <f aca="false">VLOOKUP(A498,BD_ORDENES!A:BE,56,FALSE())</f>
        <v>#N/A</v>
      </c>
      <c r="G498" s="67" t="e">
        <f aca="false">VLOOKUP(A498,BD_ORDENES!A:BE,13,FALSE())</f>
        <v>#N/A</v>
      </c>
      <c r="H498" s="68" t="e">
        <f aca="false">VLOOKUP(A498,BD_ORDENES!A:BE,17,FALSE())</f>
        <v>#N/A</v>
      </c>
      <c r="I498" s="68" t="e">
        <f aca="false">VLOOKUP(A498,BD_ORDENES!A:BE,18,FALSE())</f>
        <v>#N/A</v>
      </c>
      <c r="J498" s="68" t="e">
        <f aca="false">VLOOKUP(A498,BD_ORDENES!A:BE,19,FALSE())</f>
        <v>#N/A</v>
      </c>
      <c r="K498" s="68" t="e">
        <f aca="false">VLOOKUP(A498,BD_ORDENES!A:BE,20,FALSE())</f>
        <v>#N/A</v>
      </c>
      <c r="L498" s="68" t="e">
        <f aca="false">VLOOKUP(A498,BD_ORDENES!A:BE,21,FALSE())</f>
        <v>#N/A</v>
      </c>
      <c r="M498" s="69" t="e">
        <f aca="false">VLOOKUP(A498,BD_ORDENES!A:BE,14,FALSE())</f>
        <v>#N/A</v>
      </c>
      <c r="N498" s="68" t="e">
        <f aca="false">VLOOKUP(A498,BD_ORDENES!A:BE,15,FALSE())</f>
        <v>#N/A</v>
      </c>
      <c r="O498" s="68" t="e">
        <f aca="false">VLOOKUP(A498,BD_ORDENES!A:BE,33,FALSE())</f>
        <v>#N/A</v>
      </c>
      <c r="P498" s="68" t="e">
        <f aca="false">VLOOKUP(A498,BD_ORDENES!A:BE,23,FALSE())</f>
        <v>#N/A</v>
      </c>
      <c r="Q498" s="68" t="e">
        <f aca="false">VLOOKUP(A498,BD_ORDENES!A:BE,52,FALSE())</f>
        <v>#N/A</v>
      </c>
      <c r="R498" s="68" t="e">
        <f aca="false">VLOOKUP(A498,BD_ORDENES!A:BE,25,FALSE())</f>
        <v>#N/A</v>
      </c>
      <c r="S498" s="68" t="e">
        <f aca="false">VLOOKUP(A498,BD_ORDENES!A:BE,22,FALSE())</f>
        <v>#N/A</v>
      </c>
      <c r="T498" s="65" t="e">
        <f aca="false">VLOOKUP(A498,BD_ORDENES!A:BE,55,FALSE())</f>
        <v>#N/A</v>
      </c>
      <c r="U498" s="68" t="e">
        <f aca="false">VLOOKUP(A498,BD_ORDENES!A:BE,57,FALSE())</f>
        <v>#N/A</v>
      </c>
      <c r="V498" s="70"/>
      <c r="W498" s="71"/>
    </row>
    <row r="499" s="72" customFormat="true" ht="98.25" hidden="false" customHeight="true" outlineLevel="0" collapsed="false">
      <c r="A499" s="62" t="n">
        <f aca="false">A498+1</f>
        <v>492</v>
      </c>
      <c r="B499" s="63" t="e">
        <f aca="false">VLOOKUP(A499,BD_ORDENES!A:BG,12,FALSE())</f>
        <v>#N/A</v>
      </c>
      <c r="C499" s="64" t="n">
        <v>492</v>
      </c>
      <c r="D499" s="65" t="e">
        <f aca="false">VLOOKUP(A499,BD_ORDENES!A:BE,10,0)</f>
        <v>#N/A</v>
      </c>
      <c r="E499" s="66" t="e">
        <f aca="false">VLOOKUP(A499,BD_ORDENES!A:BG,4,FALSE())</f>
        <v>#N/A</v>
      </c>
      <c r="F499" s="66" t="e">
        <f aca="false">VLOOKUP(A499,BD_ORDENES!A:BE,56,FALSE())</f>
        <v>#N/A</v>
      </c>
      <c r="G499" s="67" t="e">
        <f aca="false">VLOOKUP(A499,BD_ORDENES!A:BE,13,FALSE())</f>
        <v>#N/A</v>
      </c>
      <c r="H499" s="68" t="e">
        <f aca="false">VLOOKUP(A499,BD_ORDENES!A:BE,17,FALSE())</f>
        <v>#N/A</v>
      </c>
      <c r="I499" s="68" t="e">
        <f aca="false">VLOOKUP(A499,BD_ORDENES!A:BE,18,FALSE())</f>
        <v>#N/A</v>
      </c>
      <c r="J499" s="68" t="e">
        <f aca="false">VLOOKUP(A499,BD_ORDENES!A:BE,19,FALSE())</f>
        <v>#N/A</v>
      </c>
      <c r="K499" s="68" t="e">
        <f aca="false">VLOOKUP(A499,BD_ORDENES!A:BE,20,FALSE())</f>
        <v>#N/A</v>
      </c>
      <c r="L499" s="68" t="e">
        <f aca="false">VLOOKUP(A499,BD_ORDENES!A:BE,21,FALSE())</f>
        <v>#N/A</v>
      </c>
      <c r="M499" s="69" t="e">
        <f aca="false">VLOOKUP(A499,BD_ORDENES!A:BE,14,FALSE())</f>
        <v>#N/A</v>
      </c>
      <c r="N499" s="68" t="e">
        <f aca="false">VLOOKUP(A499,BD_ORDENES!A:BE,15,FALSE())</f>
        <v>#N/A</v>
      </c>
      <c r="O499" s="68" t="e">
        <f aca="false">VLOOKUP(A499,BD_ORDENES!A:BE,33,FALSE())</f>
        <v>#N/A</v>
      </c>
      <c r="P499" s="68" t="e">
        <f aca="false">VLOOKUP(A499,BD_ORDENES!A:BE,23,FALSE())</f>
        <v>#N/A</v>
      </c>
      <c r="Q499" s="68" t="e">
        <f aca="false">VLOOKUP(A499,BD_ORDENES!A:BE,52,FALSE())</f>
        <v>#N/A</v>
      </c>
      <c r="R499" s="68" t="e">
        <f aca="false">VLOOKUP(A499,BD_ORDENES!A:BE,25,FALSE())</f>
        <v>#N/A</v>
      </c>
      <c r="S499" s="68" t="e">
        <f aca="false">VLOOKUP(A499,BD_ORDENES!A:BE,22,FALSE())</f>
        <v>#N/A</v>
      </c>
      <c r="T499" s="65" t="e">
        <f aca="false">VLOOKUP(A499,BD_ORDENES!A:BE,55,FALSE())</f>
        <v>#N/A</v>
      </c>
      <c r="U499" s="68" t="e">
        <f aca="false">VLOOKUP(A499,BD_ORDENES!A:BE,57,FALSE())</f>
        <v>#N/A</v>
      </c>
      <c r="V499" s="70"/>
      <c r="W499" s="71"/>
    </row>
    <row r="500" s="72" customFormat="true" ht="98.25" hidden="false" customHeight="true" outlineLevel="0" collapsed="false">
      <c r="A500" s="62" t="n">
        <f aca="false">A499+1</f>
        <v>493</v>
      </c>
      <c r="B500" s="63" t="e">
        <f aca="false">VLOOKUP(A500,BD_ORDENES!A:BG,12,FALSE())</f>
        <v>#N/A</v>
      </c>
      <c r="C500" s="64" t="n">
        <v>493</v>
      </c>
      <c r="D500" s="65" t="e">
        <f aca="false">VLOOKUP(A500,BD_ORDENES!A:BE,10,0)</f>
        <v>#N/A</v>
      </c>
      <c r="E500" s="66" t="e">
        <f aca="false">VLOOKUP(A500,BD_ORDENES!A:BG,4,FALSE())</f>
        <v>#N/A</v>
      </c>
      <c r="F500" s="66" t="e">
        <f aca="false">VLOOKUP(A500,BD_ORDENES!A:BE,56,FALSE())</f>
        <v>#N/A</v>
      </c>
      <c r="G500" s="67" t="e">
        <f aca="false">VLOOKUP(A500,BD_ORDENES!A:BE,13,FALSE())</f>
        <v>#N/A</v>
      </c>
      <c r="H500" s="68" t="e">
        <f aca="false">VLOOKUP(A500,BD_ORDENES!A:BE,17,FALSE())</f>
        <v>#N/A</v>
      </c>
      <c r="I500" s="68" t="e">
        <f aca="false">VLOOKUP(A500,BD_ORDENES!A:BE,18,FALSE())</f>
        <v>#N/A</v>
      </c>
      <c r="J500" s="68" t="e">
        <f aca="false">VLOOKUP(A500,BD_ORDENES!A:BE,19,FALSE())</f>
        <v>#N/A</v>
      </c>
      <c r="K500" s="68" t="e">
        <f aca="false">VLOOKUP(A500,BD_ORDENES!A:BE,20,FALSE())</f>
        <v>#N/A</v>
      </c>
      <c r="L500" s="68" t="e">
        <f aca="false">VLOOKUP(A500,BD_ORDENES!A:BE,21,FALSE())</f>
        <v>#N/A</v>
      </c>
      <c r="M500" s="69" t="e">
        <f aca="false">VLOOKUP(A500,BD_ORDENES!A:BE,14,FALSE())</f>
        <v>#N/A</v>
      </c>
      <c r="N500" s="68" t="e">
        <f aca="false">VLOOKUP(A500,BD_ORDENES!A:BE,15,FALSE())</f>
        <v>#N/A</v>
      </c>
      <c r="O500" s="68" t="e">
        <f aca="false">VLOOKUP(A500,BD_ORDENES!A:BE,33,FALSE())</f>
        <v>#N/A</v>
      </c>
      <c r="P500" s="68" t="e">
        <f aca="false">VLOOKUP(A500,BD_ORDENES!A:BE,23,FALSE())</f>
        <v>#N/A</v>
      </c>
      <c r="Q500" s="68" t="e">
        <f aca="false">VLOOKUP(A500,BD_ORDENES!A:BE,52,FALSE())</f>
        <v>#N/A</v>
      </c>
      <c r="R500" s="68" t="e">
        <f aca="false">VLOOKUP(A500,BD_ORDENES!A:BE,25,FALSE())</f>
        <v>#N/A</v>
      </c>
      <c r="S500" s="68" t="e">
        <f aca="false">VLOOKUP(A500,BD_ORDENES!A:BE,22,FALSE())</f>
        <v>#N/A</v>
      </c>
      <c r="T500" s="65" t="e">
        <f aca="false">VLOOKUP(A500,BD_ORDENES!A:BE,55,FALSE())</f>
        <v>#N/A</v>
      </c>
      <c r="U500" s="68" t="e">
        <f aca="false">VLOOKUP(A500,BD_ORDENES!A:BE,57,FALSE())</f>
        <v>#N/A</v>
      </c>
      <c r="V500" s="70"/>
      <c r="W500" s="71"/>
    </row>
    <row r="501" s="72" customFormat="true" ht="98.25" hidden="false" customHeight="true" outlineLevel="0" collapsed="false">
      <c r="A501" s="62" t="n">
        <f aca="false">A500+1</f>
        <v>494</v>
      </c>
      <c r="B501" s="63" t="e">
        <f aca="false">VLOOKUP(A501,BD_ORDENES!A:BG,12,FALSE())</f>
        <v>#N/A</v>
      </c>
      <c r="C501" s="64" t="n">
        <v>494</v>
      </c>
      <c r="D501" s="65" t="e">
        <f aca="false">VLOOKUP(A501,BD_ORDENES!A:BE,10,0)</f>
        <v>#N/A</v>
      </c>
      <c r="E501" s="66" t="e">
        <f aca="false">VLOOKUP(A501,BD_ORDENES!A:BG,4,FALSE())</f>
        <v>#N/A</v>
      </c>
      <c r="F501" s="66" t="e">
        <f aca="false">VLOOKUP(A501,BD_ORDENES!A:BE,56,FALSE())</f>
        <v>#N/A</v>
      </c>
      <c r="G501" s="67" t="e">
        <f aca="false">VLOOKUP(A501,BD_ORDENES!A:BE,13,FALSE())</f>
        <v>#N/A</v>
      </c>
      <c r="H501" s="68" t="e">
        <f aca="false">VLOOKUP(A501,BD_ORDENES!A:BE,17,FALSE())</f>
        <v>#N/A</v>
      </c>
      <c r="I501" s="68" t="e">
        <f aca="false">VLOOKUP(A501,BD_ORDENES!A:BE,18,FALSE())</f>
        <v>#N/A</v>
      </c>
      <c r="J501" s="68" t="e">
        <f aca="false">VLOOKUP(A501,BD_ORDENES!A:BE,19,FALSE())</f>
        <v>#N/A</v>
      </c>
      <c r="K501" s="68" t="e">
        <f aca="false">VLOOKUP(A501,BD_ORDENES!A:BE,20,FALSE())</f>
        <v>#N/A</v>
      </c>
      <c r="L501" s="68" t="e">
        <f aca="false">VLOOKUP(A501,BD_ORDENES!A:BE,21,FALSE())</f>
        <v>#N/A</v>
      </c>
      <c r="M501" s="69" t="e">
        <f aca="false">VLOOKUP(A501,BD_ORDENES!A:BE,14,FALSE())</f>
        <v>#N/A</v>
      </c>
      <c r="N501" s="68" t="e">
        <f aca="false">VLOOKUP(A501,BD_ORDENES!A:BE,15,FALSE())</f>
        <v>#N/A</v>
      </c>
      <c r="O501" s="68" t="e">
        <f aca="false">VLOOKUP(A501,BD_ORDENES!A:BE,33,FALSE())</f>
        <v>#N/A</v>
      </c>
      <c r="P501" s="68" t="e">
        <f aca="false">VLOOKUP(A501,BD_ORDENES!A:BE,23,FALSE())</f>
        <v>#N/A</v>
      </c>
      <c r="Q501" s="68" t="e">
        <f aca="false">VLOOKUP(A501,BD_ORDENES!A:BE,52,FALSE())</f>
        <v>#N/A</v>
      </c>
      <c r="R501" s="68" t="e">
        <f aca="false">VLOOKUP(A501,BD_ORDENES!A:BE,25,FALSE())</f>
        <v>#N/A</v>
      </c>
      <c r="S501" s="68" t="e">
        <f aca="false">VLOOKUP(A501,BD_ORDENES!A:BE,22,FALSE())</f>
        <v>#N/A</v>
      </c>
      <c r="T501" s="65" t="e">
        <f aca="false">VLOOKUP(A501,BD_ORDENES!A:BE,55,FALSE())</f>
        <v>#N/A</v>
      </c>
      <c r="U501" s="68" t="e">
        <f aca="false">VLOOKUP(A501,BD_ORDENES!A:BE,57,FALSE())</f>
        <v>#N/A</v>
      </c>
      <c r="V501" s="70"/>
      <c r="W501" s="71"/>
    </row>
    <row r="502" s="72" customFormat="true" ht="98.25" hidden="false" customHeight="true" outlineLevel="0" collapsed="false">
      <c r="A502" s="62" t="n">
        <f aca="false">A501+1</f>
        <v>495</v>
      </c>
      <c r="B502" s="63" t="e">
        <f aca="false">VLOOKUP(A502,BD_ORDENES!A:BG,12,FALSE())</f>
        <v>#N/A</v>
      </c>
      <c r="C502" s="64" t="n">
        <v>495</v>
      </c>
      <c r="D502" s="65" t="e">
        <f aca="false">VLOOKUP(A502,BD_ORDENES!A:BE,10,0)</f>
        <v>#N/A</v>
      </c>
      <c r="E502" s="66" t="e">
        <f aca="false">VLOOKUP(A502,BD_ORDENES!A:BG,4,FALSE())</f>
        <v>#N/A</v>
      </c>
      <c r="F502" s="66" t="e">
        <f aca="false">VLOOKUP(A502,BD_ORDENES!A:BE,56,FALSE())</f>
        <v>#N/A</v>
      </c>
      <c r="G502" s="67" t="e">
        <f aca="false">VLOOKUP(A502,BD_ORDENES!A:BE,13,FALSE())</f>
        <v>#N/A</v>
      </c>
      <c r="H502" s="68" t="e">
        <f aca="false">VLOOKUP(A502,BD_ORDENES!A:BE,17,FALSE())</f>
        <v>#N/A</v>
      </c>
      <c r="I502" s="68" t="e">
        <f aca="false">VLOOKUP(A502,BD_ORDENES!A:BE,18,FALSE())</f>
        <v>#N/A</v>
      </c>
      <c r="J502" s="68" t="e">
        <f aca="false">VLOOKUP(A502,BD_ORDENES!A:BE,19,FALSE())</f>
        <v>#N/A</v>
      </c>
      <c r="K502" s="68" t="e">
        <f aca="false">VLOOKUP(A502,BD_ORDENES!A:BE,20,FALSE())</f>
        <v>#N/A</v>
      </c>
      <c r="L502" s="68" t="e">
        <f aca="false">VLOOKUP(A502,BD_ORDENES!A:BE,21,FALSE())</f>
        <v>#N/A</v>
      </c>
      <c r="M502" s="69" t="e">
        <f aca="false">VLOOKUP(A502,BD_ORDENES!A:BE,14,FALSE())</f>
        <v>#N/A</v>
      </c>
      <c r="N502" s="68" t="e">
        <f aca="false">VLOOKUP(A502,BD_ORDENES!A:BE,15,FALSE())</f>
        <v>#N/A</v>
      </c>
      <c r="O502" s="68" t="e">
        <f aca="false">VLOOKUP(A502,BD_ORDENES!A:BE,33,FALSE())</f>
        <v>#N/A</v>
      </c>
      <c r="P502" s="68" t="e">
        <f aca="false">VLOOKUP(A502,BD_ORDENES!A:BE,23,FALSE())</f>
        <v>#N/A</v>
      </c>
      <c r="Q502" s="68" t="e">
        <f aca="false">VLOOKUP(A502,BD_ORDENES!A:BE,52,FALSE())</f>
        <v>#N/A</v>
      </c>
      <c r="R502" s="68" t="e">
        <f aca="false">VLOOKUP(A502,BD_ORDENES!A:BE,25,FALSE())</f>
        <v>#N/A</v>
      </c>
      <c r="S502" s="68" t="e">
        <f aca="false">VLOOKUP(A502,BD_ORDENES!A:BE,22,FALSE())</f>
        <v>#N/A</v>
      </c>
      <c r="T502" s="65" t="e">
        <f aca="false">VLOOKUP(A502,BD_ORDENES!A:BE,55,FALSE())</f>
        <v>#N/A</v>
      </c>
      <c r="U502" s="68" t="e">
        <f aca="false">VLOOKUP(A502,BD_ORDENES!A:BE,57,FALSE())</f>
        <v>#N/A</v>
      </c>
      <c r="V502" s="70"/>
      <c r="W502" s="71"/>
    </row>
    <row r="503" s="72" customFormat="true" ht="98.25" hidden="false" customHeight="true" outlineLevel="0" collapsed="false">
      <c r="A503" s="62" t="n">
        <f aca="false">A502+1</f>
        <v>496</v>
      </c>
      <c r="B503" s="63" t="e">
        <f aca="false">VLOOKUP(A503,BD_ORDENES!A:BG,12,FALSE())</f>
        <v>#N/A</v>
      </c>
      <c r="C503" s="64" t="n">
        <v>496</v>
      </c>
      <c r="D503" s="65" t="e">
        <f aca="false">VLOOKUP(A503,BD_ORDENES!A:BE,10,0)</f>
        <v>#N/A</v>
      </c>
      <c r="E503" s="66" t="e">
        <f aca="false">VLOOKUP(A503,BD_ORDENES!A:BG,4,FALSE())</f>
        <v>#N/A</v>
      </c>
      <c r="F503" s="66" t="e">
        <f aca="false">VLOOKUP(A503,BD_ORDENES!A:BE,56,FALSE())</f>
        <v>#N/A</v>
      </c>
      <c r="G503" s="67" t="e">
        <f aca="false">VLOOKUP(A503,BD_ORDENES!A:BE,13,FALSE())</f>
        <v>#N/A</v>
      </c>
      <c r="H503" s="68" t="e">
        <f aca="false">VLOOKUP(A503,BD_ORDENES!A:BE,17,FALSE())</f>
        <v>#N/A</v>
      </c>
      <c r="I503" s="68" t="e">
        <f aca="false">VLOOKUP(A503,BD_ORDENES!A:BE,18,FALSE())</f>
        <v>#N/A</v>
      </c>
      <c r="J503" s="68" t="e">
        <f aca="false">VLOOKUP(A503,BD_ORDENES!A:BE,19,FALSE())</f>
        <v>#N/A</v>
      </c>
      <c r="K503" s="68" t="e">
        <f aca="false">VLOOKUP(A503,BD_ORDENES!A:BE,20,FALSE())</f>
        <v>#N/A</v>
      </c>
      <c r="L503" s="68" t="e">
        <f aca="false">VLOOKUP(A503,BD_ORDENES!A:BE,21,FALSE())</f>
        <v>#N/A</v>
      </c>
      <c r="M503" s="69" t="e">
        <f aca="false">VLOOKUP(A503,BD_ORDENES!A:BE,14,FALSE())</f>
        <v>#N/A</v>
      </c>
      <c r="N503" s="68" t="e">
        <f aca="false">VLOOKUP(A503,BD_ORDENES!A:BE,15,FALSE())</f>
        <v>#N/A</v>
      </c>
      <c r="O503" s="68" t="e">
        <f aca="false">VLOOKUP(A503,BD_ORDENES!A:BE,33,FALSE())</f>
        <v>#N/A</v>
      </c>
      <c r="P503" s="68" t="e">
        <f aca="false">VLOOKUP(A503,BD_ORDENES!A:BE,23,FALSE())</f>
        <v>#N/A</v>
      </c>
      <c r="Q503" s="68" t="e">
        <f aca="false">VLOOKUP(A503,BD_ORDENES!A:BE,52,FALSE())</f>
        <v>#N/A</v>
      </c>
      <c r="R503" s="68" t="e">
        <f aca="false">VLOOKUP(A503,BD_ORDENES!A:BE,25,FALSE())</f>
        <v>#N/A</v>
      </c>
      <c r="S503" s="68" t="e">
        <f aca="false">VLOOKUP(A503,BD_ORDENES!A:BE,22,FALSE())</f>
        <v>#N/A</v>
      </c>
      <c r="T503" s="65" t="e">
        <f aca="false">VLOOKUP(A503,BD_ORDENES!A:BE,55,FALSE())</f>
        <v>#N/A</v>
      </c>
      <c r="U503" s="68" t="e">
        <f aca="false">VLOOKUP(A503,BD_ORDENES!A:BE,57,FALSE())</f>
        <v>#N/A</v>
      </c>
      <c r="V503" s="70"/>
      <c r="W503" s="71"/>
    </row>
    <row r="504" s="72" customFormat="true" ht="98.25" hidden="false" customHeight="true" outlineLevel="0" collapsed="false">
      <c r="A504" s="62" t="n">
        <f aca="false">A503+1</f>
        <v>497</v>
      </c>
      <c r="B504" s="63" t="e">
        <f aca="false">VLOOKUP(A504,BD_ORDENES!A:BG,12,FALSE())</f>
        <v>#N/A</v>
      </c>
      <c r="C504" s="64" t="n">
        <v>497</v>
      </c>
      <c r="D504" s="65" t="e">
        <f aca="false">VLOOKUP(A504,BD_ORDENES!A:BE,10,0)</f>
        <v>#N/A</v>
      </c>
      <c r="E504" s="66" t="e">
        <f aca="false">VLOOKUP(A504,BD_ORDENES!A:BG,4,FALSE())</f>
        <v>#N/A</v>
      </c>
      <c r="F504" s="66" t="e">
        <f aca="false">VLOOKUP(A504,BD_ORDENES!A:BE,56,FALSE())</f>
        <v>#N/A</v>
      </c>
      <c r="G504" s="67" t="e">
        <f aca="false">VLOOKUP(A504,BD_ORDENES!A:BE,13,FALSE())</f>
        <v>#N/A</v>
      </c>
      <c r="H504" s="68" t="e">
        <f aca="false">VLOOKUP(A504,BD_ORDENES!A:BE,17,FALSE())</f>
        <v>#N/A</v>
      </c>
      <c r="I504" s="68" t="e">
        <f aca="false">VLOOKUP(A504,BD_ORDENES!A:BE,18,FALSE())</f>
        <v>#N/A</v>
      </c>
      <c r="J504" s="68" t="e">
        <f aca="false">VLOOKUP(A504,BD_ORDENES!A:BE,19,FALSE())</f>
        <v>#N/A</v>
      </c>
      <c r="K504" s="68" t="e">
        <f aca="false">VLOOKUP(A504,BD_ORDENES!A:BE,20,FALSE())</f>
        <v>#N/A</v>
      </c>
      <c r="L504" s="68" t="e">
        <f aca="false">VLOOKUP(A504,BD_ORDENES!A:BE,21,FALSE())</f>
        <v>#N/A</v>
      </c>
      <c r="M504" s="69" t="e">
        <f aca="false">VLOOKUP(A504,BD_ORDENES!A:BE,14,FALSE())</f>
        <v>#N/A</v>
      </c>
      <c r="N504" s="68" t="e">
        <f aca="false">VLOOKUP(A504,BD_ORDENES!A:BE,15,FALSE())</f>
        <v>#N/A</v>
      </c>
      <c r="O504" s="68" t="e">
        <f aca="false">VLOOKUP(A504,BD_ORDENES!A:BE,33,FALSE())</f>
        <v>#N/A</v>
      </c>
      <c r="P504" s="68" t="e">
        <f aca="false">VLOOKUP(A504,BD_ORDENES!A:BE,23,FALSE())</f>
        <v>#N/A</v>
      </c>
      <c r="Q504" s="68" t="e">
        <f aca="false">VLOOKUP(A504,BD_ORDENES!A:BE,52,FALSE())</f>
        <v>#N/A</v>
      </c>
      <c r="R504" s="68" t="e">
        <f aca="false">VLOOKUP(A504,BD_ORDENES!A:BE,25,FALSE())</f>
        <v>#N/A</v>
      </c>
      <c r="S504" s="68" t="e">
        <f aca="false">VLOOKUP(A504,BD_ORDENES!A:BE,22,FALSE())</f>
        <v>#N/A</v>
      </c>
      <c r="T504" s="65" t="e">
        <f aca="false">VLOOKUP(A504,BD_ORDENES!A:BE,55,FALSE())</f>
        <v>#N/A</v>
      </c>
      <c r="U504" s="68" t="e">
        <f aca="false">VLOOKUP(A504,BD_ORDENES!A:BE,57,FALSE())</f>
        <v>#N/A</v>
      </c>
      <c r="V504" s="70"/>
      <c r="W504" s="71"/>
    </row>
    <row r="505" s="72" customFormat="true" ht="98.25" hidden="false" customHeight="true" outlineLevel="0" collapsed="false">
      <c r="A505" s="62" t="n">
        <f aca="false">A504+1</f>
        <v>498</v>
      </c>
      <c r="B505" s="63" t="e">
        <f aca="false">VLOOKUP(A505,BD_ORDENES!A:BG,12,FALSE())</f>
        <v>#N/A</v>
      </c>
      <c r="C505" s="64" t="n">
        <v>498</v>
      </c>
      <c r="D505" s="65" t="e">
        <f aca="false">VLOOKUP(A505,BD_ORDENES!A:BE,10,0)</f>
        <v>#N/A</v>
      </c>
      <c r="E505" s="66" t="e">
        <f aca="false">VLOOKUP(A505,BD_ORDENES!A:BG,4,FALSE())</f>
        <v>#N/A</v>
      </c>
      <c r="F505" s="66" t="e">
        <f aca="false">VLOOKUP(A505,BD_ORDENES!A:BE,56,FALSE())</f>
        <v>#N/A</v>
      </c>
      <c r="G505" s="67" t="e">
        <f aca="false">VLOOKUP(A505,BD_ORDENES!A:BE,13,FALSE())</f>
        <v>#N/A</v>
      </c>
      <c r="H505" s="68" t="e">
        <f aca="false">VLOOKUP(A505,BD_ORDENES!A:BE,17,FALSE())</f>
        <v>#N/A</v>
      </c>
      <c r="I505" s="68" t="e">
        <f aca="false">VLOOKUP(A505,BD_ORDENES!A:BE,18,FALSE())</f>
        <v>#N/A</v>
      </c>
      <c r="J505" s="68" t="e">
        <f aca="false">VLOOKUP(A505,BD_ORDENES!A:BE,19,FALSE())</f>
        <v>#N/A</v>
      </c>
      <c r="K505" s="68" t="e">
        <f aca="false">VLOOKUP(A505,BD_ORDENES!A:BE,20,FALSE())</f>
        <v>#N/A</v>
      </c>
      <c r="L505" s="68" t="e">
        <f aca="false">VLOOKUP(A505,BD_ORDENES!A:BE,21,FALSE())</f>
        <v>#N/A</v>
      </c>
      <c r="M505" s="69" t="e">
        <f aca="false">VLOOKUP(A505,BD_ORDENES!A:BE,14,FALSE())</f>
        <v>#N/A</v>
      </c>
      <c r="N505" s="68" t="e">
        <f aca="false">VLOOKUP(A505,BD_ORDENES!A:BE,15,FALSE())</f>
        <v>#N/A</v>
      </c>
      <c r="O505" s="68" t="e">
        <f aca="false">VLOOKUP(A505,BD_ORDENES!A:BE,33,FALSE())</f>
        <v>#N/A</v>
      </c>
      <c r="P505" s="68" t="e">
        <f aca="false">VLOOKUP(A505,BD_ORDENES!A:BE,23,FALSE())</f>
        <v>#N/A</v>
      </c>
      <c r="Q505" s="68" t="e">
        <f aca="false">VLOOKUP(A505,BD_ORDENES!A:BE,52,FALSE())</f>
        <v>#N/A</v>
      </c>
      <c r="R505" s="68" t="e">
        <f aca="false">VLOOKUP(A505,BD_ORDENES!A:BE,25,FALSE())</f>
        <v>#N/A</v>
      </c>
      <c r="S505" s="68" t="e">
        <f aca="false">VLOOKUP(A505,BD_ORDENES!A:BE,22,FALSE())</f>
        <v>#N/A</v>
      </c>
      <c r="T505" s="65" t="e">
        <f aca="false">VLOOKUP(A505,BD_ORDENES!A:BE,55,FALSE())</f>
        <v>#N/A</v>
      </c>
      <c r="U505" s="68" t="e">
        <f aca="false">VLOOKUP(A505,BD_ORDENES!A:BE,57,FALSE())</f>
        <v>#N/A</v>
      </c>
      <c r="V505" s="70"/>
      <c r="W505" s="71"/>
    </row>
    <row r="506" s="72" customFormat="true" ht="98.25" hidden="false" customHeight="true" outlineLevel="0" collapsed="false">
      <c r="A506" s="62" t="n">
        <f aca="false">A505+1</f>
        <v>499</v>
      </c>
      <c r="B506" s="63" t="e">
        <f aca="false">VLOOKUP(A506,BD_ORDENES!A:BG,12,FALSE())</f>
        <v>#N/A</v>
      </c>
      <c r="C506" s="64" t="n">
        <v>499</v>
      </c>
      <c r="D506" s="65" t="e">
        <f aca="false">VLOOKUP(A506,BD_ORDENES!A:BE,10,0)</f>
        <v>#N/A</v>
      </c>
      <c r="E506" s="66" t="e">
        <f aca="false">VLOOKUP(A506,BD_ORDENES!A:BG,4,FALSE())</f>
        <v>#N/A</v>
      </c>
      <c r="F506" s="66" t="e">
        <f aca="false">VLOOKUP(A506,BD_ORDENES!A:BE,56,FALSE())</f>
        <v>#N/A</v>
      </c>
      <c r="G506" s="67" t="e">
        <f aca="false">VLOOKUP(A506,BD_ORDENES!A:BE,13,FALSE())</f>
        <v>#N/A</v>
      </c>
      <c r="H506" s="68" t="e">
        <f aca="false">VLOOKUP(A506,BD_ORDENES!A:BE,17,FALSE())</f>
        <v>#N/A</v>
      </c>
      <c r="I506" s="68" t="e">
        <f aca="false">VLOOKUP(A506,BD_ORDENES!A:BE,18,FALSE())</f>
        <v>#N/A</v>
      </c>
      <c r="J506" s="68" t="e">
        <f aca="false">VLOOKUP(A506,BD_ORDENES!A:BE,19,FALSE())</f>
        <v>#N/A</v>
      </c>
      <c r="K506" s="68" t="e">
        <f aca="false">VLOOKUP(A506,BD_ORDENES!A:BE,20,FALSE())</f>
        <v>#N/A</v>
      </c>
      <c r="L506" s="68" t="e">
        <f aca="false">VLOOKUP(A506,BD_ORDENES!A:BE,21,FALSE())</f>
        <v>#N/A</v>
      </c>
      <c r="M506" s="69" t="e">
        <f aca="false">VLOOKUP(A506,BD_ORDENES!A:BE,14,FALSE())</f>
        <v>#N/A</v>
      </c>
      <c r="N506" s="68" t="e">
        <f aca="false">VLOOKUP(A506,BD_ORDENES!A:BE,15,FALSE())</f>
        <v>#N/A</v>
      </c>
      <c r="O506" s="68" t="e">
        <f aca="false">VLOOKUP(A506,BD_ORDENES!A:BE,33,FALSE())</f>
        <v>#N/A</v>
      </c>
      <c r="P506" s="68" t="e">
        <f aca="false">VLOOKUP(A506,BD_ORDENES!A:BE,23,FALSE())</f>
        <v>#N/A</v>
      </c>
      <c r="Q506" s="68" t="e">
        <f aca="false">VLOOKUP(A506,BD_ORDENES!A:BE,52,FALSE())</f>
        <v>#N/A</v>
      </c>
      <c r="R506" s="68" t="e">
        <f aca="false">VLOOKUP(A506,BD_ORDENES!A:BE,25,FALSE())</f>
        <v>#N/A</v>
      </c>
      <c r="S506" s="68" t="e">
        <f aca="false">VLOOKUP(A506,BD_ORDENES!A:BE,22,FALSE())</f>
        <v>#N/A</v>
      </c>
      <c r="T506" s="65" t="e">
        <f aca="false">VLOOKUP(A506,BD_ORDENES!A:BE,55,FALSE())</f>
        <v>#N/A</v>
      </c>
      <c r="U506" s="68" t="e">
        <f aca="false">VLOOKUP(A506,BD_ORDENES!A:BE,57,FALSE())</f>
        <v>#N/A</v>
      </c>
      <c r="V506" s="70"/>
      <c r="W506" s="71"/>
    </row>
    <row r="507" s="72" customFormat="true" ht="98.25" hidden="false" customHeight="true" outlineLevel="0" collapsed="false">
      <c r="A507" s="62" t="n">
        <f aca="false">A506+1</f>
        <v>500</v>
      </c>
      <c r="B507" s="63" t="e">
        <f aca="false">VLOOKUP(A507,BD_ORDENES!A:BG,12,FALSE())</f>
        <v>#N/A</v>
      </c>
      <c r="C507" s="64" t="n">
        <v>500</v>
      </c>
      <c r="D507" s="65" t="e">
        <f aca="false">VLOOKUP(A507,BD_ORDENES!A:BE,10,0)</f>
        <v>#N/A</v>
      </c>
      <c r="E507" s="66" t="e">
        <f aca="false">VLOOKUP(A507,BD_ORDENES!A:BG,4,FALSE())</f>
        <v>#N/A</v>
      </c>
      <c r="F507" s="66" t="e">
        <f aca="false">VLOOKUP(A507,BD_ORDENES!A:BE,56,FALSE())</f>
        <v>#N/A</v>
      </c>
      <c r="G507" s="67" t="e">
        <f aca="false">VLOOKUP(A507,BD_ORDENES!A:BE,13,FALSE())</f>
        <v>#N/A</v>
      </c>
      <c r="H507" s="68" t="e">
        <f aca="false">VLOOKUP(A507,BD_ORDENES!A:BE,17,FALSE())</f>
        <v>#N/A</v>
      </c>
      <c r="I507" s="68" t="e">
        <f aca="false">VLOOKUP(A507,BD_ORDENES!A:BE,18,FALSE())</f>
        <v>#N/A</v>
      </c>
      <c r="J507" s="68" t="e">
        <f aca="false">VLOOKUP(A507,BD_ORDENES!A:BE,19,FALSE())</f>
        <v>#N/A</v>
      </c>
      <c r="K507" s="68" t="e">
        <f aca="false">VLOOKUP(A507,BD_ORDENES!A:BE,20,FALSE())</f>
        <v>#N/A</v>
      </c>
      <c r="L507" s="68" t="e">
        <f aca="false">VLOOKUP(A507,BD_ORDENES!A:BE,21,FALSE())</f>
        <v>#N/A</v>
      </c>
      <c r="M507" s="69" t="e">
        <f aca="false">VLOOKUP(A507,BD_ORDENES!A:BE,14,FALSE())</f>
        <v>#N/A</v>
      </c>
      <c r="N507" s="68" t="e">
        <f aca="false">VLOOKUP(A507,BD_ORDENES!A:BE,15,FALSE())</f>
        <v>#N/A</v>
      </c>
      <c r="O507" s="68" t="e">
        <f aca="false">VLOOKUP(A507,BD_ORDENES!A:BE,33,FALSE())</f>
        <v>#N/A</v>
      </c>
      <c r="P507" s="68" t="e">
        <f aca="false">VLOOKUP(A507,BD_ORDENES!A:BE,23,FALSE())</f>
        <v>#N/A</v>
      </c>
      <c r="Q507" s="68" t="e">
        <f aca="false">VLOOKUP(A507,BD_ORDENES!A:BE,52,FALSE())</f>
        <v>#N/A</v>
      </c>
      <c r="R507" s="68" t="e">
        <f aca="false">VLOOKUP(A507,BD_ORDENES!A:BE,25,FALSE())</f>
        <v>#N/A</v>
      </c>
      <c r="S507" s="68" t="e">
        <f aca="false">VLOOKUP(A507,BD_ORDENES!A:BE,22,FALSE())</f>
        <v>#N/A</v>
      </c>
      <c r="T507" s="65" t="e">
        <f aca="false">VLOOKUP(A507,BD_ORDENES!A:BE,55,FALSE())</f>
        <v>#N/A</v>
      </c>
      <c r="U507" s="68" t="e">
        <f aca="false">VLOOKUP(A507,BD_ORDENES!A:BE,57,FALSE())</f>
        <v>#N/A</v>
      </c>
      <c r="V507" s="70"/>
      <c r="W507" s="71"/>
    </row>
    <row r="508" s="72" customFormat="true" ht="98.25" hidden="false" customHeight="true" outlineLevel="0" collapsed="false">
      <c r="A508" s="62" t="n">
        <f aca="false">A507+1</f>
        <v>501</v>
      </c>
      <c r="B508" s="63" t="e">
        <f aca="false">VLOOKUP(A508,BD_ORDENES!A:BG,12,FALSE())</f>
        <v>#N/A</v>
      </c>
      <c r="C508" s="64" t="n">
        <v>501</v>
      </c>
      <c r="D508" s="65" t="e">
        <f aca="false">VLOOKUP(A508,BD_ORDENES!A:BE,10,0)</f>
        <v>#N/A</v>
      </c>
      <c r="E508" s="66" t="e">
        <f aca="false">VLOOKUP(A508,BD_ORDENES!A:BG,4,FALSE())</f>
        <v>#N/A</v>
      </c>
      <c r="F508" s="66" t="e">
        <f aca="false">VLOOKUP(A508,BD_ORDENES!A:BE,56,FALSE())</f>
        <v>#N/A</v>
      </c>
      <c r="G508" s="67" t="e">
        <f aca="false">VLOOKUP(A508,BD_ORDENES!A:BE,13,FALSE())</f>
        <v>#N/A</v>
      </c>
      <c r="H508" s="68" t="e">
        <f aca="false">VLOOKUP(A508,BD_ORDENES!A:BE,17,FALSE())</f>
        <v>#N/A</v>
      </c>
      <c r="I508" s="68" t="e">
        <f aca="false">VLOOKUP(A508,BD_ORDENES!A:BE,18,FALSE())</f>
        <v>#N/A</v>
      </c>
      <c r="J508" s="68" t="e">
        <f aca="false">VLOOKUP(A508,BD_ORDENES!A:BE,19,FALSE())</f>
        <v>#N/A</v>
      </c>
      <c r="K508" s="68" t="e">
        <f aca="false">VLOOKUP(A508,BD_ORDENES!A:BE,20,FALSE())</f>
        <v>#N/A</v>
      </c>
      <c r="L508" s="68" t="e">
        <f aca="false">VLOOKUP(A508,BD_ORDENES!A:BE,21,FALSE())</f>
        <v>#N/A</v>
      </c>
      <c r="M508" s="69" t="e">
        <f aca="false">VLOOKUP(A508,BD_ORDENES!A:BE,14,FALSE())</f>
        <v>#N/A</v>
      </c>
      <c r="N508" s="68" t="e">
        <f aca="false">VLOOKUP(A508,BD_ORDENES!A:BE,15,FALSE())</f>
        <v>#N/A</v>
      </c>
      <c r="O508" s="68" t="e">
        <f aca="false">VLOOKUP(A508,BD_ORDENES!A:BE,33,FALSE())</f>
        <v>#N/A</v>
      </c>
      <c r="P508" s="68" t="e">
        <f aca="false">VLOOKUP(A508,BD_ORDENES!A:BE,23,FALSE())</f>
        <v>#N/A</v>
      </c>
      <c r="Q508" s="68" t="e">
        <f aca="false">VLOOKUP(A508,BD_ORDENES!A:BE,52,FALSE())</f>
        <v>#N/A</v>
      </c>
      <c r="R508" s="68" t="e">
        <f aca="false">VLOOKUP(A508,BD_ORDENES!A:BE,25,FALSE())</f>
        <v>#N/A</v>
      </c>
      <c r="S508" s="68" t="e">
        <f aca="false">VLOOKUP(A508,BD_ORDENES!A:BE,22,FALSE())</f>
        <v>#N/A</v>
      </c>
      <c r="T508" s="65" t="e">
        <f aca="false">VLOOKUP(A508,BD_ORDENES!A:BE,55,FALSE())</f>
        <v>#N/A</v>
      </c>
      <c r="U508" s="68" t="e">
        <f aca="false">VLOOKUP(A508,BD_ORDENES!A:BE,57,FALSE())</f>
        <v>#N/A</v>
      </c>
      <c r="V508" s="70"/>
      <c r="W508" s="71"/>
    </row>
    <row r="509" s="72" customFormat="true" ht="98.25" hidden="false" customHeight="true" outlineLevel="0" collapsed="false">
      <c r="A509" s="62" t="n">
        <f aca="false">A508+1</f>
        <v>502</v>
      </c>
      <c r="B509" s="63" t="e">
        <f aca="false">VLOOKUP(A509,BD_ORDENES!A:BG,12,FALSE())</f>
        <v>#N/A</v>
      </c>
      <c r="C509" s="64" t="n">
        <v>502</v>
      </c>
      <c r="D509" s="65" t="e">
        <f aca="false">VLOOKUP(A509,BD_ORDENES!A:BE,10,0)</f>
        <v>#N/A</v>
      </c>
      <c r="E509" s="66" t="e">
        <f aca="false">VLOOKUP(A509,BD_ORDENES!A:BG,4,FALSE())</f>
        <v>#N/A</v>
      </c>
      <c r="F509" s="66" t="e">
        <f aca="false">VLOOKUP(A509,BD_ORDENES!A:BE,56,FALSE())</f>
        <v>#N/A</v>
      </c>
      <c r="G509" s="67" t="e">
        <f aca="false">VLOOKUP(A509,BD_ORDENES!A:BE,13,FALSE())</f>
        <v>#N/A</v>
      </c>
      <c r="H509" s="68" t="e">
        <f aca="false">VLOOKUP(A509,BD_ORDENES!A:BE,17,FALSE())</f>
        <v>#N/A</v>
      </c>
      <c r="I509" s="68" t="e">
        <f aca="false">VLOOKUP(A509,BD_ORDENES!A:BE,18,FALSE())</f>
        <v>#N/A</v>
      </c>
      <c r="J509" s="68" t="e">
        <f aca="false">VLOOKUP(A509,BD_ORDENES!A:BE,19,FALSE())</f>
        <v>#N/A</v>
      </c>
      <c r="K509" s="68" t="e">
        <f aca="false">VLOOKUP(A509,BD_ORDENES!A:BE,20,FALSE())</f>
        <v>#N/A</v>
      </c>
      <c r="L509" s="68" t="e">
        <f aca="false">VLOOKUP(A509,BD_ORDENES!A:BE,21,FALSE())</f>
        <v>#N/A</v>
      </c>
      <c r="M509" s="69" t="e">
        <f aca="false">VLOOKUP(A509,BD_ORDENES!A:BE,14,FALSE())</f>
        <v>#N/A</v>
      </c>
      <c r="N509" s="68" t="e">
        <f aca="false">VLOOKUP(A509,BD_ORDENES!A:BE,15,FALSE())</f>
        <v>#N/A</v>
      </c>
      <c r="O509" s="68" t="e">
        <f aca="false">VLOOKUP(A509,BD_ORDENES!A:BE,33,FALSE())</f>
        <v>#N/A</v>
      </c>
      <c r="P509" s="68" t="e">
        <f aca="false">VLOOKUP(A509,BD_ORDENES!A:BE,23,FALSE())</f>
        <v>#N/A</v>
      </c>
      <c r="Q509" s="68" t="e">
        <f aca="false">VLOOKUP(A509,BD_ORDENES!A:BE,52,FALSE())</f>
        <v>#N/A</v>
      </c>
      <c r="R509" s="68" t="e">
        <f aca="false">VLOOKUP(A509,BD_ORDENES!A:BE,25,FALSE())</f>
        <v>#N/A</v>
      </c>
      <c r="S509" s="68" t="e">
        <f aca="false">VLOOKUP(A509,BD_ORDENES!A:BE,22,FALSE())</f>
        <v>#N/A</v>
      </c>
      <c r="T509" s="65" t="e">
        <f aca="false">VLOOKUP(A509,BD_ORDENES!A:BE,55,FALSE())</f>
        <v>#N/A</v>
      </c>
      <c r="U509" s="68" t="e">
        <f aca="false">VLOOKUP(A509,BD_ORDENES!A:BE,57,FALSE())</f>
        <v>#N/A</v>
      </c>
      <c r="V509" s="70"/>
      <c r="W509" s="71"/>
    </row>
    <row r="510" s="72" customFormat="true" ht="98.25" hidden="false" customHeight="true" outlineLevel="0" collapsed="false">
      <c r="A510" s="62" t="n">
        <f aca="false">A509+1</f>
        <v>503</v>
      </c>
      <c r="B510" s="63" t="e">
        <f aca="false">VLOOKUP(A510,BD_ORDENES!A:BG,12,FALSE())</f>
        <v>#N/A</v>
      </c>
      <c r="C510" s="64" t="n">
        <v>503</v>
      </c>
      <c r="D510" s="65" t="e">
        <f aca="false">VLOOKUP(A510,BD_ORDENES!A:BE,10,0)</f>
        <v>#N/A</v>
      </c>
      <c r="E510" s="66" t="e">
        <f aca="false">VLOOKUP(A510,BD_ORDENES!A:BG,4,FALSE())</f>
        <v>#N/A</v>
      </c>
      <c r="F510" s="66" t="e">
        <f aca="false">VLOOKUP(A510,BD_ORDENES!A:BE,56,FALSE())</f>
        <v>#N/A</v>
      </c>
      <c r="G510" s="67" t="e">
        <f aca="false">VLOOKUP(A510,BD_ORDENES!A:BE,13,FALSE())</f>
        <v>#N/A</v>
      </c>
      <c r="H510" s="68" t="e">
        <f aca="false">VLOOKUP(A510,BD_ORDENES!A:BE,17,FALSE())</f>
        <v>#N/A</v>
      </c>
      <c r="I510" s="68" t="e">
        <f aca="false">VLOOKUP(A510,BD_ORDENES!A:BE,18,FALSE())</f>
        <v>#N/A</v>
      </c>
      <c r="J510" s="68" t="e">
        <f aca="false">VLOOKUP(A510,BD_ORDENES!A:BE,19,FALSE())</f>
        <v>#N/A</v>
      </c>
      <c r="K510" s="68" t="e">
        <f aca="false">VLOOKUP(A510,BD_ORDENES!A:BE,20,FALSE())</f>
        <v>#N/A</v>
      </c>
      <c r="L510" s="68" t="e">
        <f aca="false">VLOOKUP(A510,BD_ORDENES!A:BE,21,FALSE())</f>
        <v>#N/A</v>
      </c>
      <c r="M510" s="69" t="e">
        <f aca="false">VLOOKUP(A510,BD_ORDENES!A:BE,14,FALSE())</f>
        <v>#N/A</v>
      </c>
      <c r="N510" s="68" t="e">
        <f aca="false">VLOOKUP(A510,BD_ORDENES!A:BE,15,FALSE())</f>
        <v>#N/A</v>
      </c>
      <c r="O510" s="68" t="e">
        <f aca="false">VLOOKUP(A510,BD_ORDENES!A:BE,33,FALSE())</f>
        <v>#N/A</v>
      </c>
      <c r="P510" s="68" t="e">
        <f aca="false">VLOOKUP(A510,BD_ORDENES!A:BE,23,FALSE())</f>
        <v>#N/A</v>
      </c>
      <c r="Q510" s="68" t="e">
        <f aca="false">VLOOKUP(A510,BD_ORDENES!A:BE,52,FALSE())</f>
        <v>#N/A</v>
      </c>
      <c r="R510" s="68" t="e">
        <f aca="false">VLOOKUP(A510,BD_ORDENES!A:BE,25,FALSE())</f>
        <v>#N/A</v>
      </c>
      <c r="S510" s="68" t="e">
        <f aca="false">VLOOKUP(A510,BD_ORDENES!A:BE,22,FALSE())</f>
        <v>#N/A</v>
      </c>
      <c r="T510" s="65" t="e">
        <f aca="false">VLOOKUP(A510,BD_ORDENES!A:BE,55,FALSE())</f>
        <v>#N/A</v>
      </c>
      <c r="U510" s="68" t="e">
        <f aca="false">VLOOKUP(A510,BD_ORDENES!A:BE,57,FALSE())</f>
        <v>#N/A</v>
      </c>
      <c r="V510" s="70"/>
      <c r="W510" s="71"/>
    </row>
    <row r="511" s="72" customFormat="true" ht="98.25" hidden="false" customHeight="true" outlineLevel="0" collapsed="false">
      <c r="A511" s="62" t="n">
        <f aca="false">A510+1</f>
        <v>504</v>
      </c>
      <c r="B511" s="63" t="e">
        <f aca="false">VLOOKUP(A511,BD_ORDENES!A:BG,12,FALSE())</f>
        <v>#N/A</v>
      </c>
      <c r="C511" s="64" t="n">
        <v>504</v>
      </c>
      <c r="D511" s="65" t="e">
        <f aca="false">VLOOKUP(A511,BD_ORDENES!A:BE,10,0)</f>
        <v>#N/A</v>
      </c>
      <c r="E511" s="66" t="e">
        <f aca="false">VLOOKUP(A511,BD_ORDENES!A:BG,4,FALSE())</f>
        <v>#N/A</v>
      </c>
      <c r="F511" s="66" t="e">
        <f aca="false">VLOOKUP(A511,BD_ORDENES!A:BE,56,FALSE())</f>
        <v>#N/A</v>
      </c>
      <c r="G511" s="67" t="e">
        <f aca="false">VLOOKUP(A511,BD_ORDENES!A:BE,13,FALSE())</f>
        <v>#N/A</v>
      </c>
      <c r="H511" s="68" t="e">
        <f aca="false">VLOOKUP(A511,BD_ORDENES!A:BE,17,FALSE())</f>
        <v>#N/A</v>
      </c>
      <c r="I511" s="68" t="e">
        <f aca="false">VLOOKUP(A511,BD_ORDENES!A:BE,18,FALSE())</f>
        <v>#N/A</v>
      </c>
      <c r="J511" s="68" t="e">
        <f aca="false">VLOOKUP(A511,BD_ORDENES!A:BE,19,FALSE())</f>
        <v>#N/A</v>
      </c>
      <c r="K511" s="68" t="e">
        <f aca="false">VLOOKUP(A511,BD_ORDENES!A:BE,20,FALSE())</f>
        <v>#N/A</v>
      </c>
      <c r="L511" s="68" t="e">
        <f aca="false">VLOOKUP(A511,BD_ORDENES!A:BE,21,FALSE())</f>
        <v>#N/A</v>
      </c>
      <c r="M511" s="69" t="e">
        <f aca="false">VLOOKUP(A511,BD_ORDENES!A:BE,14,FALSE())</f>
        <v>#N/A</v>
      </c>
      <c r="N511" s="68" t="e">
        <f aca="false">VLOOKUP(A511,BD_ORDENES!A:BE,15,FALSE())</f>
        <v>#N/A</v>
      </c>
      <c r="O511" s="68" t="e">
        <f aca="false">VLOOKUP(A511,BD_ORDENES!A:BE,33,FALSE())</f>
        <v>#N/A</v>
      </c>
      <c r="P511" s="68" t="e">
        <f aca="false">VLOOKUP(A511,BD_ORDENES!A:BE,23,FALSE())</f>
        <v>#N/A</v>
      </c>
      <c r="Q511" s="68" t="e">
        <f aca="false">VLOOKUP(A511,BD_ORDENES!A:BE,52,FALSE())</f>
        <v>#N/A</v>
      </c>
      <c r="R511" s="68" t="e">
        <f aca="false">VLOOKUP(A511,BD_ORDENES!A:BE,25,FALSE())</f>
        <v>#N/A</v>
      </c>
      <c r="S511" s="68" t="e">
        <f aca="false">VLOOKUP(A511,BD_ORDENES!A:BE,22,FALSE())</f>
        <v>#N/A</v>
      </c>
      <c r="T511" s="65" t="e">
        <f aca="false">VLOOKUP(A511,BD_ORDENES!A:BE,55,FALSE())</f>
        <v>#N/A</v>
      </c>
      <c r="U511" s="68" t="e">
        <f aca="false">VLOOKUP(A511,BD_ORDENES!A:BE,57,FALSE())</f>
        <v>#N/A</v>
      </c>
      <c r="V511" s="70"/>
      <c r="W511" s="71"/>
    </row>
    <row r="512" s="72" customFormat="true" ht="98.25" hidden="false" customHeight="true" outlineLevel="0" collapsed="false">
      <c r="A512" s="62" t="n">
        <f aca="false">A511+1</f>
        <v>505</v>
      </c>
      <c r="B512" s="63" t="e">
        <f aca="false">VLOOKUP(A512,BD_ORDENES!A:BG,12,FALSE())</f>
        <v>#N/A</v>
      </c>
      <c r="C512" s="64" t="n">
        <v>505</v>
      </c>
      <c r="D512" s="65" t="e">
        <f aca="false">VLOOKUP(A512,BD_ORDENES!A:BE,10,0)</f>
        <v>#N/A</v>
      </c>
      <c r="E512" s="66" t="e">
        <f aca="false">VLOOKUP(A512,BD_ORDENES!A:BG,4,FALSE())</f>
        <v>#N/A</v>
      </c>
      <c r="F512" s="66" t="e">
        <f aca="false">VLOOKUP(A512,BD_ORDENES!A:BE,56,FALSE())</f>
        <v>#N/A</v>
      </c>
      <c r="G512" s="67" t="e">
        <f aca="false">VLOOKUP(A512,BD_ORDENES!A:BE,13,FALSE())</f>
        <v>#N/A</v>
      </c>
      <c r="H512" s="68" t="e">
        <f aca="false">VLOOKUP(A512,BD_ORDENES!A:BE,17,FALSE())</f>
        <v>#N/A</v>
      </c>
      <c r="I512" s="68" t="e">
        <f aca="false">VLOOKUP(A512,BD_ORDENES!A:BE,18,FALSE())</f>
        <v>#N/A</v>
      </c>
      <c r="J512" s="68" t="e">
        <f aca="false">VLOOKUP(A512,BD_ORDENES!A:BE,19,FALSE())</f>
        <v>#N/A</v>
      </c>
      <c r="K512" s="68" t="e">
        <f aca="false">VLOOKUP(A512,BD_ORDENES!A:BE,20,FALSE())</f>
        <v>#N/A</v>
      </c>
      <c r="L512" s="68" t="e">
        <f aca="false">VLOOKUP(A512,BD_ORDENES!A:BE,21,FALSE())</f>
        <v>#N/A</v>
      </c>
      <c r="M512" s="69" t="e">
        <f aca="false">VLOOKUP(A512,BD_ORDENES!A:BE,14,FALSE())</f>
        <v>#N/A</v>
      </c>
      <c r="N512" s="68" t="e">
        <f aca="false">VLOOKUP(A512,BD_ORDENES!A:BE,15,FALSE())</f>
        <v>#N/A</v>
      </c>
      <c r="O512" s="68" t="e">
        <f aca="false">VLOOKUP(A512,BD_ORDENES!A:BE,33,FALSE())</f>
        <v>#N/A</v>
      </c>
      <c r="P512" s="68" t="e">
        <f aca="false">VLOOKUP(A512,BD_ORDENES!A:BE,23,FALSE())</f>
        <v>#N/A</v>
      </c>
      <c r="Q512" s="68" t="e">
        <f aca="false">VLOOKUP(A512,BD_ORDENES!A:BE,52,FALSE())</f>
        <v>#N/A</v>
      </c>
      <c r="R512" s="68" t="e">
        <f aca="false">VLOOKUP(A512,BD_ORDENES!A:BE,25,FALSE())</f>
        <v>#N/A</v>
      </c>
      <c r="S512" s="68" t="e">
        <f aca="false">VLOOKUP(A512,BD_ORDENES!A:BE,22,FALSE())</f>
        <v>#N/A</v>
      </c>
      <c r="T512" s="65" t="e">
        <f aca="false">VLOOKUP(A512,BD_ORDENES!A:BE,55,FALSE())</f>
        <v>#N/A</v>
      </c>
      <c r="U512" s="68" t="e">
        <f aca="false">VLOOKUP(A512,BD_ORDENES!A:BE,57,FALSE())</f>
        <v>#N/A</v>
      </c>
      <c r="V512" s="70"/>
      <c r="W512" s="71"/>
    </row>
    <row r="513" s="72" customFormat="true" ht="98.25" hidden="false" customHeight="true" outlineLevel="0" collapsed="false">
      <c r="A513" s="62" t="n">
        <f aca="false">A512+1</f>
        <v>506</v>
      </c>
      <c r="B513" s="63" t="e">
        <f aca="false">VLOOKUP(A513,BD_ORDENES!A:BG,12,FALSE())</f>
        <v>#N/A</v>
      </c>
      <c r="C513" s="64" t="n">
        <v>506</v>
      </c>
      <c r="D513" s="65" t="e">
        <f aca="false">VLOOKUP(A513,BD_ORDENES!A:BE,10,0)</f>
        <v>#N/A</v>
      </c>
      <c r="E513" s="66" t="e">
        <f aca="false">VLOOKUP(A513,BD_ORDENES!A:BG,4,FALSE())</f>
        <v>#N/A</v>
      </c>
      <c r="F513" s="66" t="e">
        <f aca="false">VLOOKUP(A513,BD_ORDENES!A:BE,56,FALSE())</f>
        <v>#N/A</v>
      </c>
      <c r="G513" s="67" t="e">
        <f aca="false">VLOOKUP(A513,BD_ORDENES!A:BE,13,FALSE())</f>
        <v>#N/A</v>
      </c>
      <c r="H513" s="68" t="e">
        <f aca="false">VLOOKUP(A513,BD_ORDENES!A:BE,17,FALSE())</f>
        <v>#N/A</v>
      </c>
      <c r="I513" s="68" t="e">
        <f aca="false">VLOOKUP(A513,BD_ORDENES!A:BE,18,FALSE())</f>
        <v>#N/A</v>
      </c>
      <c r="J513" s="68" t="e">
        <f aca="false">VLOOKUP(A513,BD_ORDENES!A:BE,19,FALSE())</f>
        <v>#N/A</v>
      </c>
      <c r="K513" s="68" t="e">
        <f aca="false">VLOOKUP(A513,BD_ORDENES!A:BE,20,FALSE())</f>
        <v>#N/A</v>
      </c>
      <c r="L513" s="68" t="e">
        <f aca="false">VLOOKUP(A513,BD_ORDENES!A:BE,21,FALSE())</f>
        <v>#N/A</v>
      </c>
      <c r="M513" s="69" t="e">
        <f aca="false">VLOOKUP(A513,BD_ORDENES!A:BE,14,FALSE())</f>
        <v>#N/A</v>
      </c>
      <c r="N513" s="68" t="e">
        <f aca="false">VLOOKUP(A513,BD_ORDENES!A:BE,15,FALSE())</f>
        <v>#N/A</v>
      </c>
      <c r="O513" s="68" t="e">
        <f aca="false">VLOOKUP(A513,BD_ORDENES!A:BE,33,FALSE())</f>
        <v>#N/A</v>
      </c>
      <c r="P513" s="68" t="e">
        <f aca="false">VLOOKUP(A513,BD_ORDENES!A:BE,23,FALSE())</f>
        <v>#N/A</v>
      </c>
      <c r="Q513" s="68" t="e">
        <f aca="false">VLOOKUP(A513,BD_ORDENES!A:BE,52,FALSE())</f>
        <v>#N/A</v>
      </c>
      <c r="R513" s="68" t="e">
        <f aca="false">VLOOKUP(A513,BD_ORDENES!A:BE,25,FALSE())</f>
        <v>#N/A</v>
      </c>
      <c r="S513" s="68" t="e">
        <f aca="false">VLOOKUP(A513,BD_ORDENES!A:BE,22,FALSE())</f>
        <v>#N/A</v>
      </c>
      <c r="T513" s="65" t="e">
        <f aca="false">VLOOKUP(A513,BD_ORDENES!A:BE,55,FALSE())</f>
        <v>#N/A</v>
      </c>
      <c r="U513" s="68" t="e">
        <f aca="false">VLOOKUP(A513,BD_ORDENES!A:BE,57,FALSE())</f>
        <v>#N/A</v>
      </c>
      <c r="V513" s="70"/>
      <c r="W513" s="71"/>
    </row>
    <row r="514" s="72" customFormat="true" ht="98.25" hidden="false" customHeight="true" outlineLevel="0" collapsed="false">
      <c r="A514" s="62" t="n">
        <f aca="false">A513+1</f>
        <v>507</v>
      </c>
      <c r="B514" s="63" t="e">
        <f aca="false">VLOOKUP(A514,BD_ORDENES!A:BG,12,FALSE())</f>
        <v>#N/A</v>
      </c>
      <c r="C514" s="64" t="n">
        <v>507</v>
      </c>
      <c r="D514" s="65" t="e">
        <f aca="false">VLOOKUP(A514,BD_ORDENES!A:BE,10,0)</f>
        <v>#N/A</v>
      </c>
      <c r="E514" s="66" t="e">
        <f aca="false">VLOOKUP(A514,BD_ORDENES!A:BG,4,FALSE())</f>
        <v>#N/A</v>
      </c>
      <c r="F514" s="66" t="e">
        <f aca="false">VLOOKUP(A514,BD_ORDENES!A:BE,56,FALSE())</f>
        <v>#N/A</v>
      </c>
      <c r="G514" s="67" t="e">
        <f aca="false">VLOOKUP(A514,BD_ORDENES!A:BE,13,FALSE())</f>
        <v>#N/A</v>
      </c>
      <c r="H514" s="68" t="e">
        <f aca="false">VLOOKUP(A514,BD_ORDENES!A:BE,17,FALSE())</f>
        <v>#N/A</v>
      </c>
      <c r="I514" s="68" t="e">
        <f aca="false">VLOOKUP(A514,BD_ORDENES!A:BE,18,FALSE())</f>
        <v>#N/A</v>
      </c>
      <c r="J514" s="68" t="e">
        <f aca="false">VLOOKUP(A514,BD_ORDENES!A:BE,19,FALSE())</f>
        <v>#N/A</v>
      </c>
      <c r="K514" s="68" t="e">
        <f aca="false">VLOOKUP(A514,BD_ORDENES!A:BE,20,FALSE())</f>
        <v>#N/A</v>
      </c>
      <c r="L514" s="68" t="e">
        <f aca="false">VLOOKUP(A514,BD_ORDENES!A:BE,21,FALSE())</f>
        <v>#N/A</v>
      </c>
      <c r="M514" s="69" t="e">
        <f aca="false">VLOOKUP(A514,BD_ORDENES!A:BE,14,FALSE())</f>
        <v>#N/A</v>
      </c>
      <c r="N514" s="68" t="e">
        <f aca="false">VLOOKUP(A514,BD_ORDENES!A:BE,15,FALSE())</f>
        <v>#N/A</v>
      </c>
      <c r="O514" s="68" t="e">
        <f aca="false">VLOOKUP(A514,BD_ORDENES!A:BE,33,FALSE())</f>
        <v>#N/A</v>
      </c>
      <c r="P514" s="68" t="e">
        <f aca="false">VLOOKUP(A514,BD_ORDENES!A:BE,23,FALSE())</f>
        <v>#N/A</v>
      </c>
      <c r="Q514" s="68" t="e">
        <f aca="false">VLOOKUP(A514,BD_ORDENES!A:BE,52,FALSE())</f>
        <v>#N/A</v>
      </c>
      <c r="R514" s="68" t="e">
        <f aca="false">VLOOKUP(A514,BD_ORDENES!A:BE,25,FALSE())</f>
        <v>#N/A</v>
      </c>
      <c r="S514" s="68" t="e">
        <f aca="false">VLOOKUP(A514,BD_ORDENES!A:BE,22,FALSE())</f>
        <v>#N/A</v>
      </c>
      <c r="T514" s="65" t="e">
        <f aca="false">VLOOKUP(A514,BD_ORDENES!A:BE,55,FALSE())</f>
        <v>#N/A</v>
      </c>
      <c r="U514" s="68" t="e">
        <f aca="false">VLOOKUP(A514,BD_ORDENES!A:BE,57,FALSE())</f>
        <v>#N/A</v>
      </c>
      <c r="V514" s="70"/>
      <c r="W514" s="71"/>
    </row>
    <row r="515" s="72" customFormat="true" ht="98.25" hidden="false" customHeight="true" outlineLevel="0" collapsed="false">
      <c r="A515" s="62" t="n">
        <f aca="false">A514+1</f>
        <v>508</v>
      </c>
      <c r="B515" s="63" t="e">
        <f aca="false">VLOOKUP(A515,BD_ORDENES!A:BG,12,FALSE())</f>
        <v>#N/A</v>
      </c>
      <c r="C515" s="64" t="n">
        <v>508</v>
      </c>
      <c r="D515" s="65" t="e">
        <f aca="false">VLOOKUP(A515,BD_ORDENES!A:BE,10,0)</f>
        <v>#N/A</v>
      </c>
      <c r="E515" s="66" t="e">
        <f aca="false">VLOOKUP(A515,BD_ORDENES!A:BG,4,FALSE())</f>
        <v>#N/A</v>
      </c>
      <c r="F515" s="66" t="e">
        <f aca="false">VLOOKUP(A515,BD_ORDENES!A:BE,56,FALSE())</f>
        <v>#N/A</v>
      </c>
      <c r="G515" s="67" t="e">
        <f aca="false">VLOOKUP(A515,BD_ORDENES!A:BE,13,FALSE())</f>
        <v>#N/A</v>
      </c>
      <c r="H515" s="68" t="e">
        <f aca="false">VLOOKUP(A515,BD_ORDENES!A:BE,17,FALSE())</f>
        <v>#N/A</v>
      </c>
      <c r="I515" s="68" t="e">
        <f aca="false">VLOOKUP(A515,BD_ORDENES!A:BE,18,FALSE())</f>
        <v>#N/A</v>
      </c>
      <c r="J515" s="68" t="e">
        <f aca="false">VLOOKUP(A515,BD_ORDENES!A:BE,19,FALSE())</f>
        <v>#N/A</v>
      </c>
      <c r="K515" s="68" t="e">
        <f aca="false">VLOOKUP(A515,BD_ORDENES!A:BE,20,FALSE())</f>
        <v>#N/A</v>
      </c>
      <c r="L515" s="68" t="e">
        <f aca="false">VLOOKUP(A515,BD_ORDENES!A:BE,21,FALSE())</f>
        <v>#N/A</v>
      </c>
      <c r="M515" s="69" t="e">
        <f aca="false">VLOOKUP(A515,BD_ORDENES!A:BE,14,FALSE())</f>
        <v>#N/A</v>
      </c>
      <c r="N515" s="68" t="e">
        <f aca="false">VLOOKUP(A515,BD_ORDENES!A:BE,15,FALSE())</f>
        <v>#N/A</v>
      </c>
      <c r="O515" s="68" t="e">
        <f aca="false">VLOOKUP(A515,BD_ORDENES!A:BE,33,FALSE())</f>
        <v>#N/A</v>
      </c>
      <c r="P515" s="68" t="e">
        <f aca="false">VLOOKUP(A515,BD_ORDENES!A:BE,23,FALSE())</f>
        <v>#N/A</v>
      </c>
      <c r="Q515" s="68" t="e">
        <f aca="false">VLOOKUP(A515,BD_ORDENES!A:BE,52,FALSE())</f>
        <v>#N/A</v>
      </c>
      <c r="R515" s="68" t="e">
        <f aca="false">VLOOKUP(A515,BD_ORDENES!A:BE,25,FALSE())</f>
        <v>#N/A</v>
      </c>
      <c r="S515" s="68" t="e">
        <f aca="false">VLOOKUP(A515,BD_ORDENES!A:BE,22,FALSE())</f>
        <v>#N/A</v>
      </c>
      <c r="T515" s="65" t="e">
        <f aca="false">VLOOKUP(A515,BD_ORDENES!A:BE,55,FALSE())</f>
        <v>#N/A</v>
      </c>
      <c r="U515" s="68" t="e">
        <f aca="false">VLOOKUP(A515,BD_ORDENES!A:BE,57,FALSE())</f>
        <v>#N/A</v>
      </c>
      <c r="V515" s="70"/>
      <c r="W515" s="71"/>
    </row>
    <row r="516" s="72" customFormat="true" ht="98.25" hidden="false" customHeight="true" outlineLevel="0" collapsed="false">
      <c r="A516" s="62" t="n">
        <f aca="false">A515+1</f>
        <v>509</v>
      </c>
      <c r="B516" s="63" t="e">
        <f aca="false">VLOOKUP(A516,BD_ORDENES!A:BG,12,FALSE())</f>
        <v>#N/A</v>
      </c>
      <c r="C516" s="64" t="n">
        <v>509</v>
      </c>
      <c r="D516" s="65" t="e">
        <f aca="false">VLOOKUP(A516,BD_ORDENES!A:BE,10,0)</f>
        <v>#N/A</v>
      </c>
      <c r="E516" s="66" t="e">
        <f aca="false">VLOOKUP(A516,BD_ORDENES!A:BG,4,FALSE())</f>
        <v>#N/A</v>
      </c>
      <c r="F516" s="66" t="e">
        <f aca="false">VLOOKUP(A516,BD_ORDENES!A:BE,56,FALSE())</f>
        <v>#N/A</v>
      </c>
      <c r="G516" s="67" t="e">
        <f aca="false">VLOOKUP(A516,BD_ORDENES!A:BE,13,FALSE())</f>
        <v>#N/A</v>
      </c>
      <c r="H516" s="68" t="e">
        <f aca="false">VLOOKUP(A516,BD_ORDENES!A:BE,17,FALSE())</f>
        <v>#N/A</v>
      </c>
      <c r="I516" s="68" t="e">
        <f aca="false">VLOOKUP(A516,BD_ORDENES!A:BE,18,FALSE())</f>
        <v>#N/A</v>
      </c>
      <c r="J516" s="68" t="e">
        <f aca="false">VLOOKUP(A516,BD_ORDENES!A:BE,19,FALSE())</f>
        <v>#N/A</v>
      </c>
      <c r="K516" s="68" t="e">
        <f aca="false">VLOOKUP(A516,BD_ORDENES!A:BE,20,FALSE())</f>
        <v>#N/A</v>
      </c>
      <c r="L516" s="68" t="e">
        <f aca="false">VLOOKUP(A516,BD_ORDENES!A:BE,21,FALSE())</f>
        <v>#N/A</v>
      </c>
      <c r="M516" s="69" t="e">
        <f aca="false">VLOOKUP(A516,BD_ORDENES!A:BE,14,FALSE())</f>
        <v>#N/A</v>
      </c>
      <c r="N516" s="68" t="e">
        <f aca="false">VLOOKUP(A516,BD_ORDENES!A:BE,15,FALSE())</f>
        <v>#N/A</v>
      </c>
      <c r="O516" s="68" t="e">
        <f aca="false">VLOOKUP(A516,BD_ORDENES!A:BE,33,FALSE())</f>
        <v>#N/A</v>
      </c>
      <c r="P516" s="68" t="e">
        <f aca="false">VLOOKUP(A516,BD_ORDENES!A:BE,23,FALSE())</f>
        <v>#N/A</v>
      </c>
      <c r="Q516" s="68" t="e">
        <f aca="false">VLOOKUP(A516,BD_ORDENES!A:BE,52,FALSE())</f>
        <v>#N/A</v>
      </c>
      <c r="R516" s="68" t="e">
        <f aca="false">VLOOKUP(A516,BD_ORDENES!A:BE,25,FALSE())</f>
        <v>#N/A</v>
      </c>
      <c r="S516" s="68" t="e">
        <f aca="false">VLOOKUP(A516,BD_ORDENES!A:BE,22,FALSE())</f>
        <v>#N/A</v>
      </c>
      <c r="T516" s="65" t="e">
        <f aca="false">VLOOKUP(A516,BD_ORDENES!A:BE,55,FALSE())</f>
        <v>#N/A</v>
      </c>
      <c r="U516" s="68" t="e">
        <f aca="false">VLOOKUP(A516,BD_ORDENES!A:BE,57,FALSE())</f>
        <v>#N/A</v>
      </c>
      <c r="V516" s="70"/>
      <c r="W516" s="71"/>
    </row>
    <row r="517" s="72" customFormat="true" ht="98.25" hidden="false" customHeight="true" outlineLevel="0" collapsed="false">
      <c r="A517" s="62" t="n">
        <f aca="false">A516+1</f>
        <v>510</v>
      </c>
      <c r="B517" s="63" t="e">
        <f aca="false">VLOOKUP(A517,BD_ORDENES!A:BG,12,FALSE())</f>
        <v>#N/A</v>
      </c>
      <c r="C517" s="64" t="n">
        <v>510</v>
      </c>
      <c r="D517" s="65" t="e">
        <f aca="false">VLOOKUP(A517,BD_ORDENES!A:BE,10,0)</f>
        <v>#N/A</v>
      </c>
      <c r="E517" s="66" t="e">
        <f aca="false">VLOOKUP(A517,BD_ORDENES!A:BG,4,FALSE())</f>
        <v>#N/A</v>
      </c>
      <c r="F517" s="66" t="e">
        <f aca="false">VLOOKUP(A517,BD_ORDENES!A:BE,56,FALSE())</f>
        <v>#N/A</v>
      </c>
      <c r="G517" s="67" t="e">
        <f aca="false">VLOOKUP(A517,BD_ORDENES!A:BE,13,FALSE())</f>
        <v>#N/A</v>
      </c>
      <c r="H517" s="68" t="e">
        <f aca="false">VLOOKUP(A517,BD_ORDENES!A:BE,17,FALSE())</f>
        <v>#N/A</v>
      </c>
      <c r="I517" s="68" t="e">
        <f aca="false">VLOOKUP(A517,BD_ORDENES!A:BE,18,FALSE())</f>
        <v>#N/A</v>
      </c>
      <c r="J517" s="68" t="e">
        <f aca="false">VLOOKUP(A517,BD_ORDENES!A:BE,19,FALSE())</f>
        <v>#N/A</v>
      </c>
      <c r="K517" s="68" t="e">
        <f aca="false">VLOOKUP(A517,BD_ORDENES!A:BE,20,FALSE())</f>
        <v>#N/A</v>
      </c>
      <c r="L517" s="68" t="e">
        <f aca="false">VLOOKUP(A517,BD_ORDENES!A:BE,21,FALSE())</f>
        <v>#N/A</v>
      </c>
      <c r="M517" s="69" t="e">
        <f aca="false">VLOOKUP(A517,BD_ORDENES!A:BE,14,FALSE())</f>
        <v>#N/A</v>
      </c>
      <c r="N517" s="68" t="e">
        <f aca="false">VLOOKUP(A517,BD_ORDENES!A:BE,15,FALSE())</f>
        <v>#N/A</v>
      </c>
      <c r="O517" s="68" t="e">
        <f aca="false">VLOOKUP(A517,BD_ORDENES!A:BE,33,FALSE())</f>
        <v>#N/A</v>
      </c>
      <c r="P517" s="68" t="e">
        <f aca="false">VLOOKUP(A517,BD_ORDENES!A:BE,23,FALSE())</f>
        <v>#N/A</v>
      </c>
      <c r="Q517" s="68" t="e">
        <f aca="false">VLOOKUP(A517,BD_ORDENES!A:BE,52,FALSE())</f>
        <v>#N/A</v>
      </c>
      <c r="R517" s="68" t="e">
        <f aca="false">VLOOKUP(A517,BD_ORDENES!A:BE,25,FALSE())</f>
        <v>#N/A</v>
      </c>
      <c r="S517" s="68" t="e">
        <f aca="false">VLOOKUP(A517,BD_ORDENES!A:BE,22,FALSE())</f>
        <v>#N/A</v>
      </c>
      <c r="T517" s="65" t="e">
        <f aca="false">VLOOKUP(A517,BD_ORDENES!A:BE,55,FALSE())</f>
        <v>#N/A</v>
      </c>
      <c r="U517" s="68" t="e">
        <f aca="false">VLOOKUP(A517,BD_ORDENES!A:BE,57,FALSE())</f>
        <v>#N/A</v>
      </c>
      <c r="V517" s="70"/>
      <c r="W517" s="71"/>
    </row>
    <row r="518" s="72" customFormat="true" ht="98.25" hidden="false" customHeight="true" outlineLevel="0" collapsed="false">
      <c r="A518" s="62" t="n">
        <f aca="false">A517+1</f>
        <v>511</v>
      </c>
      <c r="B518" s="63" t="e">
        <f aca="false">VLOOKUP(A518,BD_ORDENES!A:BG,12,FALSE())</f>
        <v>#N/A</v>
      </c>
      <c r="C518" s="64" t="n">
        <v>511</v>
      </c>
      <c r="D518" s="65" t="e">
        <f aca="false">VLOOKUP(A518,BD_ORDENES!A:BE,10,0)</f>
        <v>#N/A</v>
      </c>
      <c r="E518" s="66" t="e">
        <f aca="false">VLOOKUP(A518,BD_ORDENES!A:BG,4,FALSE())</f>
        <v>#N/A</v>
      </c>
      <c r="F518" s="66" t="e">
        <f aca="false">VLOOKUP(A518,BD_ORDENES!A:BE,56,FALSE())</f>
        <v>#N/A</v>
      </c>
      <c r="G518" s="67" t="e">
        <f aca="false">VLOOKUP(A518,BD_ORDENES!A:BE,13,FALSE())</f>
        <v>#N/A</v>
      </c>
      <c r="H518" s="68" t="e">
        <f aca="false">VLOOKUP(A518,BD_ORDENES!A:BE,17,FALSE())</f>
        <v>#N/A</v>
      </c>
      <c r="I518" s="68" t="e">
        <f aca="false">VLOOKUP(A518,BD_ORDENES!A:BE,18,FALSE())</f>
        <v>#N/A</v>
      </c>
      <c r="J518" s="68" t="e">
        <f aca="false">VLOOKUP(A518,BD_ORDENES!A:BE,19,FALSE())</f>
        <v>#N/A</v>
      </c>
      <c r="K518" s="68" t="e">
        <f aca="false">VLOOKUP(A518,BD_ORDENES!A:BE,20,FALSE())</f>
        <v>#N/A</v>
      </c>
      <c r="L518" s="68" t="e">
        <f aca="false">VLOOKUP(A518,BD_ORDENES!A:BE,21,FALSE())</f>
        <v>#N/A</v>
      </c>
      <c r="M518" s="69" t="e">
        <f aca="false">VLOOKUP(A518,BD_ORDENES!A:BE,14,FALSE())</f>
        <v>#N/A</v>
      </c>
      <c r="N518" s="68" t="e">
        <f aca="false">VLOOKUP(A518,BD_ORDENES!A:BE,15,FALSE())</f>
        <v>#N/A</v>
      </c>
      <c r="O518" s="68" t="e">
        <f aca="false">VLOOKUP(A518,BD_ORDENES!A:BE,33,FALSE())</f>
        <v>#N/A</v>
      </c>
      <c r="P518" s="68" t="e">
        <f aca="false">VLOOKUP(A518,BD_ORDENES!A:BE,23,FALSE())</f>
        <v>#N/A</v>
      </c>
      <c r="Q518" s="68" t="e">
        <f aca="false">VLOOKUP(A518,BD_ORDENES!A:BE,52,FALSE())</f>
        <v>#N/A</v>
      </c>
      <c r="R518" s="68" t="e">
        <f aca="false">VLOOKUP(A518,BD_ORDENES!A:BE,25,FALSE())</f>
        <v>#N/A</v>
      </c>
      <c r="S518" s="68" t="e">
        <f aca="false">VLOOKUP(A518,BD_ORDENES!A:BE,22,FALSE())</f>
        <v>#N/A</v>
      </c>
      <c r="T518" s="65" t="e">
        <f aca="false">VLOOKUP(A518,BD_ORDENES!A:BE,55,FALSE())</f>
        <v>#N/A</v>
      </c>
      <c r="U518" s="68" t="e">
        <f aca="false">VLOOKUP(A518,BD_ORDENES!A:BE,57,FALSE())</f>
        <v>#N/A</v>
      </c>
      <c r="V518" s="70"/>
      <c r="W518" s="71"/>
    </row>
    <row r="519" s="72" customFormat="true" ht="98.25" hidden="false" customHeight="true" outlineLevel="0" collapsed="false">
      <c r="A519" s="62" t="n">
        <f aca="false">A518+1</f>
        <v>512</v>
      </c>
      <c r="B519" s="63" t="e">
        <f aca="false">VLOOKUP(A519,BD_ORDENES!A:BG,12,FALSE())</f>
        <v>#N/A</v>
      </c>
      <c r="C519" s="64" t="n">
        <v>512</v>
      </c>
      <c r="D519" s="65" t="e">
        <f aca="false">VLOOKUP(A519,BD_ORDENES!A:BE,10,0)</f>
        <v>#N/A</v>
      </c>
      <c r="E519" s="66" t="e">
        <f aca="false">VLOOKUP(A519,BD_ORDENES!A:BG,4,FALSE())</f>
        <v>#N/A</v>
      </c>
      <c r="F519" s="66" t="e">
        <f aca="false">VLOOKUP(A519,BD_ORDENES!A:BE,56,FALSE())</f>
        <v>#N/A</v>
      </c>
      <c r="G519" s="67" t="e">
        <f aca="false">VLOOKUP(A519,BD_ORDENES!A:BE,13,FALSE())</f>
        <v>#N/A</v>
      </c>
      <c r="H519" s="68" t="e">
        <f aca="false">VLOOKUP(A519,BD_ORDENES!A:BE,17,FALSE())</f>
        <v>#N/A</v>
      </c>
      <c r="I519" s="68" t="e">
        <f aca="false">VLOOKUP(A519,BD_ORDENES!A:BE,18,FALSE())</f>
        <v>#N/A</v>
      </c>
      <c r="J519" s="68" t="e">
        <f aca="false">VLOOKUP(A519,BD_ORDENES!A:BE,19,FALSE())</f>
        <v>#N/A</v>
      </c>
      <c r="K519" s="68" t="e">
        <f aca="false">VLOOKUP(A519,BD_ORDENES!A:BE,20,FALSE())</f>
        <v>#N/A</v>
      </c>
      <c r="L519" s="68" t="e">
        <f aca="false">VLOOKUP(A519,BD_ORDENES!A:BE,21,FALSE())</f>
        <v>#N/A</v>
      </c>
      <c r="M519" s="69" t="e">
        <f aca="false">VLOOKUP(A519,BD_ORDENES!A:BE,14,FALSE())</f>
        <v>#N/A</v>
      </c>
      <c r="N519" s="68" t="e">
        <f aca="false">VLOOKUP(A519,BD_ORDENES!A:BE,15,FALSE())</f>
        <v>#N/A</v>
      </c>
      <c r="O519" s="68" t="e">
        <f aca="false">VLOOKUP(A519,BD_ORDENES!A:BE,33,FALSE())</f>
        <v>#N/A</v>
      </c>
      <c r="P519" s="68" t="e">
        <f aca="false">VLOOKUP(A519,BD_ORDENES!A:BE,23,FALSE())</f>
        <v>#N/A</v>
      </c>
      <c r="Q519" s="68" t="e">
        <f aca="false">VLOOKUP(A519,BD_ORDENES!A:BE,52,FALSE())</f>
        <v>#N/A</v>
      </c>
      <c r="R519" s="68" t="e">
        <f aca="false">VLOOKUP(A519,BD_ORDENES!A:BE,25,FALSE())</f>
        <v>#N/A</v>
      </c>
      <c r="S519" s="68" t="e">
        <f aca="false">VLOOKUP(A519,BD_ORDENES!A:BE,22,FALSE())</f>
        <v>#N/A</v>
      </c>
      <c r="T519" s="65" t="e">
        <f aca="false">VLOOKUP(A519,BD_ORDENES!A:BE,55,FALSE())</f>
        <v>#N/A</v>
      </c>
      <c r="U519" s="68" t="e">
        <f aca="false">VLOOKUP(A519,BD_ORDENES!A:BE,57,FALSE())</f>
        <v>#N/A</v>
      </c>
      <c r="V519" s="70"/>
      <c r="W519" s="71"/>
    </row>
    <row r="520" s="72" customFormat="true" ht="98.25" hidden="false" customHeight="true" outlineLevel="0" collapsed="false">
      <c r="A520" s="62" t="n">
        <f aca="false">A519+1</f>
        <v>513</v>
      </c>
      <c r="B520" s="63" t="e">
        <f aca="false">VLOOKUP(A520,BD_ORDENES!A:BG,12,FALSE())</f>
        <v>#N/A</v>
      </c>
      <c r="C520" s="64" t="n">
        <v>513</v>
      </c>
      <c r="D520" s="65" t="e">
        <f aca="false">VLOOKUP(A520,BD_ORDENES!A:BE,10,0)</f>
        <v>#N/A</v>
      </c>
      <c r="E520" s="66" t="e">
        <f aca="false">VLOOKUP(A520,BD_ORDENES!A:BG,4,FALSE())</f>
        <v>#N/A</v>
      </c>
      <c r="F520" s="66" t="e">
        <f aca="false">VLOOKUP(A520,BD_ORDENES!A:BE,56,FALSE())</f>
        <v>#N/A</v>
      </c>
      <c r="G520" s="67" t="e">
        <f aca="false">VLOOKUP(A520,BD_ORDENES!A:BE,13,FALSE())</f>
        <v>#N/A</v>
      </c>
      <c r="H520" s="68" t="e">
        <f aca="false">VLOOKUP(A520,BD_ORDENES!A:BE,17,FALSE())</f>
        <v>#N/A</v>
      </c>
      <c r="I520" s="68" t="e">
        <f aca="false">VLOOKUP(A520,BD_ORDENES!A:BE,18,FALSE())</f>
        <v>#N/A</v>
      </c>
      <c r="J520" s="68" t="e">
        <f aca="false">VLOOKUP(A520,BD_ORDENES!A:BE,19,FALSE())</f>
        <v>#N/A</v>
      </c>
      <c r="K520" s="68" t="e">
        <f aca="false">VLOOKUP(A520,BD_ORDENES!A:BE,20,FALSE())</f>
        <v>#N/A</v>
      </c>
      <c r="L520" s="68" t="e">
        <f aca="false">VLOOKUP(A520,BD_ORDENES!A:BE,21,FALSE())</f>
        <v>#N/A</v>
      </c>
      <c r="M520" s="69" t="e">
        <f aca="false">VLOOKUP(A520,BD_ORDENES!A:BE,14,FALSE())</f>
        <v>#N/A</v>
      </c>
      <c r="N520" s="68" t="e">
        <f aca="false">VLOOKUP(A520,BD_ORDENES!A:BE,15,FALSE())</f>
        <v>#N/A</v>
      </c>
      <c r="O520" s="68" t="e">
        <f aca="false">VLOOKUP(A520,BD_ORDENES!A:BE,33,FALSE())</f>
        <v>#N/A</v>
      </c>
      <c r="P520" s="68" t="e">
        <f aca="false">VLOOKUP(A520,BD_ORDENES!A:BE,23,FALSE())</f>
        <v>#N/A</v>
      </c>
      <c r="Q520" s="68" t="e">
        <f aca="false">VLOOKUP(A520,BD_ORDENES!A:BE,52,FALSE())</f>
        <v>#N/A</v>
      </c>
      <c r="R520" s="68" t="e">
        <f aca="false">VLOOKUP(A520,BD_ORDENES!A:BE,25,FALSE())</f>
        <v>#N/A</v>
      </c>
      <c r="S520" s="68" t="e">
        <f aca="false">VLOOKUP(A520,BD_ORDENES!A:BE,22,FALSE())</f>
        <v>#N/A</v>
      </c>
      <c r="T520" s="65" t="e">
        <f aca="false">VLOOKUP(A520,BD_ORDENES!A:BE,55,FALSE())</f>
        <v>#N/A</v>
      </c>
      <c r="U520" s="68" t="e">
        <f aca="false">VLOOKUP(A520,BD_ORDENES!A:BE,57,FALSE())</f>
        <v>#N/A</v>
      </c>
      <c r="V520" s="70"/>
      <c r="W520" s="71"/>
    </row>
    <row r="521" s="72" customFormat="true" ht="98.25" hidden="false" customHeight="true" outlineLevel="0" collapsed="false">
      <c r="A521" s="62" t="n">
        <f aca="false">A520+1</f>
        <v>514</v>
      </c>
      <c r="B521" s="63" t="e">
        <f aca="false">VLOOKUP(A521,BD_ORDENES!A:BG,12,FALSE())</f>
        <v>#N/A</v>
      </c>
      <c r="C521" s="64" t="n">
        <v>514</v>
      </c>
      <c r="D521" s="65" t="e">
        <f aca="false">VLOOKUP(A521,BD_ORDENES!A:BE,10,0)</f>
        <v>#N/A</v>
      </c>
      <c r="E521" s="66" t="e">
        <f aca="false">VLOOKUP(A521,BD_ORDENES!A:BG,4,FALSE())</f>
        <v>#N/A</v>
      </c>
      <c r="F521" s="66" t="e">
        <f aca="false">VLOOKUP(A521,BD_ORDENES!A:BE,56,FALSE())</f>
        <v>#N/A</v>
      </c>
      <c r="G521" s="67" t="e">
        <f aca="false">VLOOKUP(A521,BD_ORDENES!A:BE,13,FALSE())</f>
        <v>#N/A</v>
      </c>
      <c r="H521" s="68" t="e">
        <f aca="false">VLOOKUP(A521,BD_ORDENES!A:BE,17,FALSE())</f>
        <v>#N/A</v>
      </c>
      <c r="I521" s="68" t="e">
        <f aca="false">VLOOKUP(A521,BD_ORDENES!A:BE,18,FALSE())</f>
        <v>#N/A</v>
      </c>
      <c r="J521" s="68" t="e">
        <f aca="false">VLOOKUP(A521,BD_ORDENES!A:BE,19,FALSE())</f>
        <v>#N/A</v>
      </c>
      <c r="K521" s="68" t="e">
        <f aca="false">VLOOKUP(A521,BD_ORDENES!A:BE,20,FALSE())</f>
        <v>#N/A</v>
      </c>
      <c r="L521" s="68" t="e">
        <f aca="false">VLOOKUP(A521,BD_ORDENES!A:BE,21,FALSE())</f>
        <v>#N/A</v>
      </c>
      <c r="M521" s="69" t="e">
        <f aca="false">VLOOKUP(A521,BD_ORDENES!A:BE,14,FALSE())</f>
        <v>#N/A</v>
      </c>
      <c r="N521" s="68" t="e">
        <f aca="false">VLOOKUP(A521,BD_ORDENES!A:BE,15,FALSE())</f>
        <v>#N/A</v>
      </c>
      <c r="O521" s="68" t="e">
        <f aca="false">VLOOKUP(A521,BD_ORDENES!A:BE,33,FALSE())</f>
        <v>#N/A</v>
      </c>
      <c r="P521" s="68" t="e">
        <f aca="false">VLOOKUP(A521,BD_ORDENES!A:BE,23,FALSE())</f>
        <v>#N/A</v>
      </c>
      <c r="Q521" s="68" t="e">
        <f aca="false">VLOOKUP(A521,BD_ORDENES!A:BE,52,FALSE())</f>
        <v>#N/A</v>
      </c>
      <c r="R521" s="68" t="e">
        <f aca="false">VLOOKUP(A521,BD_ORDENES!A:BE,25,FALSE())</f>
        <v>#N/A</v>
      </c>
      <c r="S521" s="68" t="e">
        <f aca="false">VLOOKUP(A521,BD_ORDENES!A:BE,22,FALSE())</f>
        <v>#N/A</v>
      </c>
      <c r="T521" s="65" t="e">
        <f aca="false">VLOOKUP(A521,BD_ORDENES!A:BE,55,FALSE())</f>
        <v>#N/A</v>
      </c>
      <c r="U521" s="68" t="e">
        <f aca="false">VLOOKUP(A521,BD_ORDENES!A:BE,57,FALSE())</f>
        <v>#N/A</v>
      </c>
      <c r="V521" s="70"/>
      <c r="W521" s="71"/>
    </row>
    <row r="522" s="72" customFormat="true" ht="98.25" hidden="false" customHeight="true" outlineLevel="0" collapsed="false">
      <c r="A522" s="62" t="n">
        <f aca="false">A521+1</f>
        <v>515</v>
      </c>
      <c r="B522" s="63" t="e">
        <f aca="false">VLOOKUP(A522,BD_ORDENES!A:BG,12,FALSE())</f>
        <v>#N/A</v>
      </c>
      <c r="C522" s="64" t="n">
        <v>515</v>
      </c>
      <c r="D522" s="65" t="e">
        <f aca="false">VLOOKUP(A522,BD_ORDENES!A:BE,10,0)</f>
        <v>#N/A</v>
      </c>
      <c r="E522" s="66" t="e">
        <f aca="false">VLOOKUP(A522,BD_ORDENES!A:BG,4,FALSE())</f>
        <v>#N/A</v>
      </c>
      <c r="F522" s="66" t="e">
        <f aca="false">VLOOKUP(A522,BD_ORDENES!A:BE,56,FALSE())</f>
        <v>#N/A</v>
      </c>
      <c r="G522" s="67" t="e">
        <f aca="false">VLOOKUP(A522,BD_ORDENES!A:BE,13,FALSE())</f>
        <v>#N/A</v>
      </c>
      <c r="H522" s="68" t="e">
        <f aca="false">VLOOKUP(A522,BD_ORDENES!A:BE,17,FALSE())</f>
        <v>#N/A</v>
      </c>
      <c r="I522" s="68" t="e">
        <f aca="false">VLOOKUP(A522,BD_ORDENES!A:BE,18,FALSE())</f>
        <v>#N/A</v>
      </c>
      <c r="J522" s="68" t="e">
        <f aca="false">VLOOKUP(A522,BD_ORDENES!A:BE,19,FALSE())</f>
        <v>#N/A</v>
      </c>
      <c r="K522" s="68" t="e">
        <f aca="false">VLOOKUP(A522,BD_ORDENES!A:BE,20,FALSE())</f>
        <v>#N/A</v>
      </c>
      <c r="L522" s="68" t="e">
        <f aca="false">VLOOKUP(A522,BD_ORDENES!A:BE,21,FALSE())</f>
        <v>#N/A</v>
      </c>
      <c r="M522" s="69" t="e">
        <f aca="false">VLOOKUP(A522,BD_ORDENES!A:BE,14,FALSE())</f>
        <v>#N/A</v>
      </c>
      <c r="N522" s="68" t="e">
        <f aca="false">VLOOKUP(A522,BD_ORDENES!A:BE,15,FALSE())</f>
        <v>#N/A</v>
      </c>
      <c r="O522" s="68" t="e">
        <f aca="false">VLOOKUP(A522,BD_ORDENES!A:BE,33,FALSE())</f>
        <v>#N/A</v>
      </c>
      <c r="P522" s="68" t="e">
        <f aca="false">VLOOKUP(A522,BD_ORDENES!A:BE,23,FALSE())</f>
        <v>#N/A</v>
      </c>
      <c r="Q522" s="68" t="e">
        <f aca="false">VLOOKUP(A522,BD_ORDENES!A:BE,52,FALSE())</f>
        <v>#N/A</v>
      </c>
      <c r="R522" s="68" t="e">
        <f aca="false">VLOOKUP(A522,BD_ORDENES!A:BE,25,FALSE())</f>
        <v>#N/A</v>
      </c>
      <c r="S522" s="68" t="e">
        <f aca="false">VLOOKUP(A522,BD_ORDENES!A:BE,22,FALSE())</f>
        <v>#N/A</v>
      </c>
      <c r="T522" s="65" t="e">
        <f aca="false">VLOOKUP(A522,BD_ORDENES!A:BE,55,FALSE())</f>
        <v>#N/A</v>
      </c>
      <c r="U522" s="68" t="e">
        <f aca="false">VLOOKUP(A522,BD_ORDENES!A:BE,57,FALSE())</f>
        <v>#N/A</v>
      </c>
      <c r="V522" s="70"/>
      <c r="W522" s="71"/>
    </row>
    <row r="523" s="72" customFormat="true" ht="98.25" hidden="false" customHeight="true" outlineLevel="0" collapsed="false">
      <c r="A523" s="62" t="n">
        <f aca="false">A522+1</f>
        <v>516</v>
      </c>
      <c r="B523" s="63" t="e">
        <f aca="false">VLOOKUP(A523,BD_ORDENES!A:BG,12,FALSE())</f>
        <v>#N/A</v>
      </c>
      <c r="C523" s="64" t="n">
        <v>516</v>
      </c>
      <c r="D523" s="65" t="e">
        <f aca="false">VLOOKUP(A523,BD_ORDENES!A:BE,10,0)</f>
        <v>#N/A</v>
      </c>
      <c r="E523" s="66" t="e">
        <f aca="false">VLOOKUP(A523,BD_ORDENES!A:BG,4,FALSE())</f>
        <v>#N/A</v>
      </c>
      <c r="F523" s="66" t="e">
        <f aca="false">VLOOKUP(A523,BD_ORDENES!A:BE,56,FALSE())</f>
        <v>#N/A</v>
      </c>
      <c r="G523" s="67" t="e">
        <f aca="false">VLOOKUP(A523,BD_ORDENES!A:BE,13,FALSE())</f>
        <v>#N/A</v>
      </c>
      <c r="H523" s="68" t="e">
        <f aca="false">VLOOKUP(A523,BD_ORDENES!A:BE,17,FALSE())</f>
        <v>#N/A</v>
      </c>
      <c r="I523" s="68" t="e">
        <f aca="false">VLOOKUP(A523,BD_ORDENES!A:BE,18,FALSE())</f>
        <v>#N/A</v>
      </c>
      <c r="J523" s="68" t="e">
        <f aca="false">VLOOKUP(A523,BD_ORDENES!A:BE,19,FALSE())</f>
        <v>#N/A</v>
      </c>
      <c r="K523" s="68" t="e">
        <f aca="false">VLOOKUP(A523,BD_ORDENES!A:BE,20,FALSE())</f>
        <v>#N/A</v>
      </c>
      <c r="L523" s="68" t="e">
        <f aca="false">VLOOKUP(A523,BD_ORDENES!A:BE,21,FALSE())</f>
        <v>#N/A</v>
      </c>
      <c r="M523" s="69" t="e">
        <f aca="false">VLOOKUP(A523,BD_ORDENES!A:BE,14,FALSE())</f>
        <v>#N/A</v>
      </c>
      <c r="N523" s="68" t="e">
        <f aca="false">VLOOKUP(A523,BD_ORDENES!A:BE,15,FALSE())</f>
        <v>#N/A</v>
      </c>
      <c r="O523" s="68" t="e">
        <f aca="false">VLOOKUP(A523,BD_ORDENES!A:BE,33,FALSE())</f>
        <v>#N/A</v>
      </c>
      <c r="P523" s="68" t="e">
        <f aca="false">VLOOKUP(A523,BD_ORDENES!A:BE,23,FALSE())</f>
        <v>#N/A</v>
      </c>
      <c r="Q523" s="68" t="e">
        <f aca="false">VLOOKUP(A523,BD_ORDENES!A:BE,52,FALSE())</f>
        <v>#N/A</v>
      </c>
      <c r="R523" s="68" t="e">
        <f aca="false">VLOOKUP(A523,BD_ORDENES!A:BE,25,FALSE())</f>
        <v>#N/A</v>
      </c>
      <c r="S523" s="68" t="e">
        <f aca="false">VLOOKUP(A523,BD_ORDENES!A:BE,22,FALSE())</f>
        <v>#N/A</v>
      </c>
      <c r="T523" s="65" t="e">
        <f aca="false">VLOOKUP(A523,BD_ORDENES!A:BE,55,FALSE())</f>
        <v>#N/A</v>
      </c>
      <c r="U523" s="68" t="e">
        <f aca="false">VLOOKUP(A523,BD_ORDENES!A:BE,57,FALSE())</f>
        <v>#N/A</v>
      </c>
      <c r="V523" s="70"/>
      <c r="W523" s="71"/>
    </row>
    <row r="524" s="72" customFormat="true" ht="98.25" hidden="false" customHeight="true" outlineLevel="0" collapsed="false">
      <c r="A524" s="62" t="n">
        <f aca="false">A523+1</f>
        <v>517</v>
      </c>
      <c r="B524" s="63" t="e">
        <f aca="false">VLOOKUP(A524,BD_ORDENES!A:BG,12,FALSE())</f>
        <v>#N/A</v>
      </c>
      <c r="C524" s="64" t="n">
        <v>517</v>
      </c>
      <c r="D524" s="65" t="e">
        <f aca="false">VLOOKUP(A524,BD_ORDENES!A:BE,10,0)</f>
        <v>#N/A</v>
      </c>
      <c r="E524" s="66" t="e">
        <f aca="false">VLOOKUP(A524,BD_ORDENES!A:BG,4,FALSE())</f>
        <v>#N/A</v>
      </c>
      <c r="F524" s="66" t="e">
        <f aca="false">VLOOKUP(A524,BD_ORDENES!A:BE,56,FALSE())</f>
        <v>#N/A</v>
      </c>
      <c r="G524" s="67" t="e">
        <f aca="false">VLOOKUP(A524,BD_ORDENES!A:BE,13,FALSE())</f>
        <v>#N/A</v>
      </c>
      <c r="H524" s="68" t="e">
        <f aca="false">VLOOKUP(A524,BD_ORDENES!A:BE,17,FALSE())</f>
        <v>#N/A</v>
      </c>
      <c r="I524" s="68" t="e">
        <f aca="false">VLOOKUP(A524,BD_ORDENES!A:BE,18,FALSE())</f>
        <v>#N/A</v>
      </c>
      <c r="J524" s="68" t="e">
        <f aca="false">VLOOKUP(A524,BD_ORDENES!A:BE,19,FALSE())</f>
        <v>#N/A</v>
      </c>
      <c r="K524" s="68" t="e">
        <f aca="false">VLOOKUP(A524,BD_ORDENES!A:BE,20,FALSE())</f>
        <v>#N/A</v>
      </c>
      <c r="L524" s="68" t="e">
        <f aca="false">VLOOKUP(A524,BD_ORDENES!A:BE,21,FALSE())</f>
        <v>#N/A</v>
      </c>
      <c r="M524" s="69" t="e">
        <f aca="false">VLOOKUP(A524,BD_ORDENES!A:BE,14,FALSE())</f>
        <v>#N/A</v>
      </c>
      <c r="N524" s="68" t="e">
        <f aca="false">VLOOKUP(A524,BD_ORDENES!A:BE,15,FALSE())</f>
        <v>#N/A</v>
      </c>
      <c r="O524" s="68" t="e">
        <f aca="false">VLOOKUP(A524,BD_ORDENES!A:BE,33,FALSE())</f>
        <v>#N/A</v>
      </c>
      <c r="P524" s="68" t="e">
        <f aca="false">VLOOKUP(A524,BD_ORDENES!A:BE,23,FALSE())</f>
        <v>#N/A</v>
      </c>
      <c r="Q524" s="68" t="e">
        <f aca="false">VLOOKUP(A524,BD_ORDENES!A:BE,52,FALSE())</f>
        <v>#N/A</v>
      </c>
      <c r="R524" s="68" t="e">
        <f aca="false">VLOOKUP(A524,BD_ORDENES!A:BE,25,FALSE())</f>
        <v>#N/A</v>
      </c>
      <c r="S524" s="68" t="e">
        <f aca="false">VLOOKUP(A524,BD_ORDENES!A:BE,22,FALSE())</f>
        <v>#N/A</v>
      </c>
      <c r="T524" s="65" t="e">
        <f aca="false">VLOOKUP(A524,BD_ORDENES!A:BE,55,FALSE())</f>
        <v>#N/A</v>
      </c>
      <c r="U524" s="68" t="e">
        <f aca="false">VLOOKUP(A524,BD_ORDENES!A:BE,57,FALSE())</f>
        <v>#N/A</v>
      </c>
      <c r="V524" s="70"/>
      <c r="W524" s="71"/>
    </row>
    <row r="525" s="72" customFormat="true" ht="98.25" hidden="false" customHeight="true" outlineLevel="0" collapsed="false">
      <c r="A525" s="62" t="n">
        <f aca="false">A524+1</f>
        <v>518</v>
      </c>
      <c r="B525" s="63" t="e">
        <f aca="false">VLOOKUP(A525,BD_ORDENES!A:BG,12,FALSE())</f>
        <v>#N/A</v>
      </c>
      <c r="C525" s="64" t="n">
        <v>518</v>
      </c>
      <c r="D525" s="65" t="e">
        <f aca="false">VLOOKUP(A525,BD_ORDENES!A:BE,10,0)</f>
        <v>#N/A</v>
      </c>
      <c r="E525" s="66" t="e">
        <f aca="false">VLOOKUP(A525,BD_ORDENES!A:BG,4,FALSE())</f>
        <v>#N/A</v>
      </c>
      <c r="F525" s="66" t="e">
        <f aca="false">VLOOKUP(A525,BD_ORDENES!A:BE,56,FALSE())</f>
        <v>#N/A</v>
      </c>
      <c r="G525" s="67" t="e">
        <f aca="false">VLOOKUP(A525,BD_ORDENES!A:BE,13,FALSE())</f>
        <v>#N/A</v>
      </c>
      <c r="H525" s="68" t="e">
        <f aca="false">VLOOKUP(A525,BD_ORDENES!A:BE,17,FALSE())</f>
        <v>#N/A</v>
      </c>
      <c r="I525" s="68" t="e">
        <f aca="false">VLOOKUP(A525,BD_ORDENES!A:BE,18,FALSE())</f>
        <v>#N/A</v>
      </c>
      <c r="J525" s="68" t="e">
        <f aca="false">VLOOKUP(A525,BD_ORDENES!A:BE,19,FALSE())</f>
        <v>#N/A</v>
      </c>
      <c r="K525" s="68" t="e">
        <f aca="false">VLOOKUP(A525,BD_ORDENES!A:BE,20,FALSE())</f>
        <v>#N/A</v>
      </c>
      <c r="L525" s="68" t="e">
        <f aca="false">VLOOKUP(A525,BD_ORDENES!A:BE,21,FALSE())</f>
        <v>#N/A</v>
      </c>
      <c r="M525" s="69" t="e">
        <f aca="false">VLOOKUP(A525,BD_ORDENES!A:BE,14,FALSE())</f>
        <v>#N/A</v>
      </c>
      <c r="N525" s="68" t="e">
        <f aca="false">VLOOKUP(A525,BD_ORDENES!A:BE,15,FALSE())</f>
        <v>#N/A</v>
      </c>
      <c r="O525" s="68" t="e">
        <f aca="false">VLOOKUP(A525,BD_ORDENES!A:BE,33,FALSE())</f>
        <v>#N/A</v>
      </c>
      <c r="P525" s="68" t="e">
        <f aca="false">VLOOKUP(A525,BD_ORDENES!A:BE,23,FALSE())</f>
        <v>#N/A</v>
      </c>
      <c r="Q525" s="68" t="e">
        <f aca="false">VLOOKUP(A525,BD_ORDENES!A:BE,52,FALSE())</f>
        <v>#N/A</v>
      </c>
      <c r="R525" s="68" t="e">
        <f aca="false">VLOOKUP(A525,BD_ORDENES!A:BE,25,FALSE())</f>
        <v>#N/A</v>
      </c>
      <c r="S525" s="68" t="e">
        <f aca="false">VLOOKUP(A525,BD_ORDENES!A:BE,22,FALSE())</f>
        <v>#N/A</v>
      </c>
      <c r="T525" s="65" t="e">
        <f aca="false">VLOOKUP(A525,BD_ORDENES!A:BE,55,FALSE())</f>
        <v>#N/A</v>
      </c>
      <c r="U525" s="68" t="e">
        <f aca="false">VLOOKUP(A525,BD_ORDENES!A:BE,57,FALSE())</f>
        <v>#N/A</v>
      </c>
      <c r="V525" s="70"/>
      <c r="W525" s="71"/>
    </row>
    <row r="526" s="72" customFormat="true" ht="98.25" hidden="false" customHeight="true" outlineLevel="0" collapsed="false">
      <c r="A526" s="62" t="n">
        <f aca="false">A525+1</f>
        <v>519</v>
      </c>
      <c r="B526" s="63" t="e">
        <f aca="false">VLOOKUP(A526,BD_ORDENES!A:BG,12,FALSE())</f>
        <v>#N/A</v>
      </c>
      <c r="C526" s="64" t="n">
        <v>519</v>
      </c>
      <c r="D526" s="65" t="e">
        <f aca="false">VLOOKUP(A526,BD_ORDENES!A:BE,10,0)</f>
        <v>#N/A</v>
      </c>
      <c r="E526" s="66" t="e">
        <f aca="false">VLOOKUP(A526,BD_ORDENES!A:BG,4,FALSE())</f>
        <v>#N/A</v>
      </c>
      <c r="F526" s="66" t="e">
        <f aca="false">VLOOKUP(A526,BD_ORDENES!A:BE,56,FALSE())</f>
        <v>#N/A</v>
      </c>
      <c r="G526" s="67" t="e">
        <f aca="false">VLOOKUP(A526,BD_ORDENES!A:BE,13,FALSE())</f>
        <v>#N/A</v>
      </c>
      <c r="H526" s="68" t="e">
        <f aca="false">VLOOKUP(A526,BD_ORDENES!A:BE,17,FALSE())</f>
        <v>#N/A</v>
      </c>
      <c r="I526" s="68" t="e">
        <f aca="false">VLOOKUP(A526,BD_ORDENES!A:BE,18,FALSE())</f>
        <v>#N/A</v>
      </c>
      <c r="J526" s="68" t="e">
        <f aca="false">VLOOKUP(A526,BD_ORDENES!A:BE,19,FALSE())</f>
        <v>#N/A</v>
      </c>
      <c r="K526" s="68" t="e">
        <f aca="false">VLOOKUP(A526,BD_ORDENES!A:BE,20,FALSE())</f>
        <v>#N/A</v>
      </c>
      <c r="L526" s="68" t="e">
        <f aca="false">VLOOKUP(A526,BD_ORDENES!A:BE,21,FALSE())</f>
        <v>#N/A</v>
      </c>
      <c r="M526" s="69" t="e">
        <f aca="false">VLOOKUP(A526,BD_ORDENES!A:BE,14,FALSE())</f>
        <v>#N/A</v>
      </c>
      <c r="N526" s="68" t="e">
        <f aca="false">VLOOKUP(A526,BD_ORDENES!A:BE,15,FALSE())</f>
        <v>#N/A</v>
      </c>
      <c r="O526" s="68" t="e">
        <f aca="false">VLOOKUP(A526,BD_ORDENES!A:BE,33,FALSE())</f>
        <v>#N/A</v>
      </c>
      <c r="P526" s="68" t="e">
        <f aca="false">VLOOKUP(A526,BD_ORDENES!A:BE,23,FALSE())</f>
        <v>#N/A</v>
      </c>
      <c r="Q526" s="68" t="e">
        <f aca="false">VLOOKUP(A526,BD_ORDENES!A:BE,52,FALSE())</f>
        <v>#N/A</v>
      </c>
      <c r="R526" s="68" t="e">
        <f aca="false">VLOOKUP(A526,BD_ORDENES!A:BE,25,FALSE())</f>
        <v>#N/A</v>
      </c>
      <c r="S526" s="68" t="e">
        <f aca="false">VLOOKUP(A526,BD_ORDENES!A:BE,22,FALSE())</f>
        <v>#N/A</v>
      </c>
      <c r="T526" s="65" t="e">
        <f aca="false">VLOOKUP(A526,BD_ORDENES!A:BE,55,FALSE())</f>
        <v>#N/A</v>
      </c>
      <c r="U526" s="68" t="e">
        <f aca="false">VLOOKUP(A526,BD_ORDENES!A:BE,57,FALSE())</f>
        <v>#N/A</v>
      </c>
      <c r="V526" s="70"/>
      <c r="W526" s="71"/>
    </row>
    <row r="527" s="72" customFormat="true" ht="98.25" hidden="false" customHeight="true" outlineLevel="0" collapsed="false">
      <c r="A527" s="62" t="n">
        <f aca="false">A526+1</f>
        <v>520</v>
      </c>
      <c r="B527" s="63" t="e">
        <f aca="false">VLOOKUP(A527,BD_ORDENES!A:BG,12,FALSE())</f>
        <v>#N/A</v>
      </c>
      <c r="C527" s="64" t="n">
        <v>520</v>
      </c>
      <c r="D527" s="65" t="e">
        <f aca="false">VLOOKUP(A527,BD_ORDENES!A:BE,10,0)</f>
        <v>#N/A</v>
      </c>
      <c r="E527" s="66" t="e">
        <f aca="false">VLOOKUP(A527,BD_ORDENES!A:BG,4,FALSE())</f>
        <v>#N/A</v>
      </c>
      <c r="F527" s="66" t="e">
        <f aca="false">VLOOKUP(A527,BD_ORDENES!A:BE,56,FALSE())</f>
        <v>#N/A</v>
      </c>
      <c r="G527" s="67" t="e">
        <f aca="false">VLOOKUP(A527,BD_ORDENES!A:BE,13,FALSE())</f>
        <v>#N/A</v>
      </c>
      <c r="H527" s="68" t="e">
        <f aca="false">VLOOKUP(A527,BD_ORDENES!A:BE,17,FALSE())</f>
        <v>#N/A</v>
      </c>
      <c r="I527" s="68" t="e">
        <f aca="false">VLOOKUP(A527,BD_ORDENES!A:BE,18,FALSE())</f>
        <v>#N/A</v>
      </c>
      <c r="J527" s="68" t="e">
        <f aca="false">VLOOKUP(A527,BD_ORDENES!A:BE,19,FALSE())</f>
        <v>#N/A</v>
      </c>
      <c r="K527" s="68" t="e">
        <f aca="false">VLOOKUP(A527,BD_ORDENES!A:BE,20,FALSE())</f>
        <v>#N/A</v>
      </c>
      <c r="L527" s="68" t="e">
        <f aca="false">VLOOKUP(A527,BD_ORDENES!A:BE,21,FALSE())</f>
        <v>#N/A</v>
      </c>
      <c r="M527" s="69" t="e">
        <f aca="false">VLOOKUP(A527,BD_ORDENES!A:BE,14,FALSE())</f>
        <v>#N/A</v>
      </c>
      <c r="N527" s="68" t="e">
        <f aca="false">VLOOKUP(A527,BD_ORDENES!A:BE,15,FALSE())</f>
        <v>#N/A</v>
      </c>
      <c r="O527" s="68" t="e">
        <f aca="false">VLOOKUP(A527,BD_ORDENES!A:BE,33,FALSE())</f>
        <v>#N/A</v>
      </c>
      <c r="P527" s="68" t="e">
        <f aca="false">VLOOKUP(A527,BD_ORDENES!A:BE,23,FALSE())</f>
        <v>#N/A</v>
      </c>
      <c r="Q527" s="68" t="e">
        <f aca="false">VLOOKUP(A527,BD_ORDENES!A:BE,52,FALSE())</f>
        <v>#N/A</v>
      </c>
      <c r="R527" s="68" t="e">
        <f aca="false">VLOOKUP(A527,BD_ORDENES!A:BE,25,FALSE())</f>
        <v>#N/A</v>
      </c>
      <c r="S527" s="68" t="e">
        <f aca="false">VLOOKUP(A527,BD_ORDENES!A:BE,22,FALSE())</f>
        <v>#N/A</v>
      </c>
      <c r="T527" s="65" t="e">
        <f aca="false">VLOOKUP(A527,BD_ORDENES!A:BE,55,FALSE())</f>
        <v>#N/A</v>
      </c>
      <c r="U527" s="68" t="e">
        <f aca="false">VLOOKUP(A527,BD_ORDENES!A:BE,57,FALSE())</f>
        <v>#N/A</v>
      </c>
      <c r="V527" s="70"/>
      <c r="W527" s="71"/>
    </row>
    <row r="528" s="72" customFormat="true" ht="98.25" hidden="false" customHeight="true" outlineLevel="0" collapsed="false">
      <c r="A528" s="62" t="n">
        <f aca="false">A527+1</f>
        <v>521</v>
      </c>
      <c r="B528" s="63" t="e">
        <f aca="false">VLOOKUP(A528,BD_ORDENES!A:BG,12,FALSE())</f>
        <v>#N/A</v>
      </c>
      <c r="C528" s="64" t="n">
        <v>521</v>
      </c>
      <c r="D528" s="65" t="e">
        <f aca="false">VLOOKUP(A528,BD_ORDENES!A:BE,10,0)</f>
        <v>#N/A</v>
      </c>
      <c r="E528" s="66" t="e">
        <f aca="false">VLOOKUP(A528,BD_ORDENES!A:BG,4,FALSE())</f>
        <v>#N/A</v>
      </c>
      <c r="F528" s="66" t="e">
        <f aca="false">VLOOKUP(A528,BD_ORDENES!A:BE,56,FALSE())</f>
        <v>#N/A</v>
      </c>
      <c r="G528" s="67" t="e">
        <f aca="false">VLOOKUP(A528,BD_ORDENES!A:BE,13,FALSE())</f>
        <v>#N/A</v>
      </c>
      <c r="H528" s="68" t="e">
        <f aca="false">VLOOKUP(A528,BD_ORDENES!A:BE,17,FALSE())</f>
        <v>#N/A</v>
      </c>
      <c r="I528" s="68" t="e">
        <f aca="false">VLOOKUP(A528,BD_ORDENES!A:BE,18,FALSE())</f>
        <v>#N/A</v>
      </c>
      <c r="J528" s="68" t="e">
        <f aca="false">VLOOKUP(A528,BD_ORDENES!A:BE,19,FALSE())</f>
        <v>#N/A</v>
      </c>
      <c r="K528" s="68" t="e">
        <f aca="false">VLOOKUP(A528,BD_ORDENES!A:BE,20,FALSE())</f>
        <v>#N/A</v>
      </c>
      <c r="L528" s="68" t="e">
        <f aca="false">VLOOKUP(A528,BD_ORDENES!A:BE,21,FALSE())</f>
        <v>#N/A</v>
      </c>
      <c r="M528" s="69" t="e">
        <f aca="false">VLOOKUP(A528,BD_ORDENES!A:BE,14,FALSE())</f>
        <v>#N/A</v>
      </c>
      <c r="N528" s="68" t="e">
        <f aca="false">VLOOKUP(A528,BD_ORDENES!A:BE,15,FALSE())</f>
        <v>#N/A</v>
      </c>
      <c r="O528" s="68" t="e">
        <f aca="false">VLOOKUP(A528,BD_ORDENES!A:BE,33,FALSE())</f>
        <v>#N/A</v>
      </c>
      <c r="P528" s="68" t="e">
        <f aca="false">VLOOKUP(A528,BD_ORDENES!A:BE,23,FALSE())</f>
        <v>#N/A</v>
      </c>
      <c r="Q528" s="68" t="e">
        <f aca="false">VLOOKUP(A528,BD_ORDENES!A:BE,52,FALSE())</f>
        <v>#N/A</v>
      </c>
      <c r="R528" s="68" t="e">
        <f aca="false">VLOOKUP(A528,BD_ORDENES!A:BE,25,FALSE())</f>
        <v>#N/A</v>
      </c>
      <c r="S528" s="68" t="e">
        <f aca="false">VLOOKUP(A528,BD_ORDENES!A:BE,22,FALSE())</f>
        <v>#N/A</v>
      </c>
      <c r="T528" s="65" t="e">
        <f aca="false">VLOOKUP(A528,BD_ORDENES!A:BE,55,FALSE())</f>
        <v>#N/A</v>
      </c>
      <c r="U528" s="68" t="e">
        <f aca="false">VLOOKUP(A528,BD_ORDENES!A:BE,57,FALSE())</f>
        <v>#N/A</v>
      </c>
      <c r="V528" s="70"/>
      <c r="W528" s="71"/>
    </row>
    <row r="529" s="72" customFormat="true" ht="98.25" hidden="false" customHeight="true" outlineLevel="0" collapsed="false">
      <c r="A529" s="62" t="n">
        <f aca="false">A528+1</f>
        <v>522</v>
      </c>
      <c r="B529" s="63" t="e">
        <f aca="false">VLOOKUP(A529,BD_ORDENES!A:BG,12,FALSE())</f>
        <v>#N/A</v>
      </c>
      <c r="C529" s="64" t="n">
        <v>522</v>
      </c>
      <c r="D529" s="65" t="e">
        <f aca="false">VLOOKUP(A529,BD_ORDENES!A:BE,10,0)</f>
        <v>#N/A</v>
      </c>
      <c r="E529" s="66" t="e">
        <f aca="false">VLOOKUP(A529,BD_ORDENES!A:BG,4,FALSE())</f>
        <v>#N/A</v>
      </c>
      <c r="F529" s="66" t="e">
        <f aca="false">VLOOKUP(A529,BD_ORDENES!A:BE,56,FALSE())</f>
        <v>#N/A</v>
      </c>
      <c r="G529" s="67" t="e">
        <f aca="false">VLOOKUP(A529,BD_ORDENES!A:BE,13,FALSE())</f>
        <v>#N/A</v>
      </c>
      <c r="H529" s="68" t="e">
        <f aca="false">VLOOKUP(A529,BD_ORDENES!A:BE,17,FALSE())</f>
        <v>#N/A</v>
      </c>
      <c r="I529" s="68" t="e">
        <f aca="false">VLOOKUP(A529,BD_ORDENES!A:BE,18,FALSE())</f>
        <v>#N/A</v>
      </c>
      <c r="J529" s="68" t="e">
        <f aca="false">VLOOKUP(A529,BD_ORDENES!A:BE,19,FALSE())</f>
        <v>#N/A</v>
      </c>
      <c r="K529" s="68" t="e">
        <f aca="false">VLOOKUP(A529,BD_ORDENES!A:BE,20,FALSE())</f>
        <v>#N/A</v>
      </c>
      <c r="L529" s="68" t="e">
        <f aca="false">VLOOKUP(A529,BD_ORDENES!A:BE,21,FALSE())</f>
        <v>#N/A</v>
      </c>
      <c r="M529" s="69" t="e">
        <f aca="false">VLOOKUP(A529,BD_ORDENES!A:BE,14,FALSE())</f>
        <v>#N/A</v>
      </c>
      <c r="N529" s="68" t="e">
        <f aca="false">VLOOKUP(A529,BD_ORDENES!A:BE,15,FALSE())</f>
        <v>#N/A</v>
      </c>
      <c r="O529" s="68" t="e">
        <f aca="false">VLOOKUP(A529,BD_ORDENES!A:BE,33,FALSE())</f>
        <v>#N/A</v>
      </c>
      <c r="P529" s="68" t="e">
        <f aca="false">VLOOKUP(A529,BD_ORDENES!A:BE,23,FALSE())</f>
        <v>#N/A</v>
      </c>
      <c r="Q529" s="68" t="e">
        <f aca="false">VLOOKUP(A529,BD_ORDENES!A:BE,52,FALSE())</f>
        <v>#N/A</v>
      </c>
      <c r="R529" s="68" t="e">
        <f aca="false">VLOOKUP(A529,BD_ORDENES!A:BE,25,FALSE())</f>
        <v>#N/A</v>
      </c>
      <c r="S529" s="68" t="e">
        <f aca="false">VLOOKUP(A529,BD_ORDENES!A:BE,22,FALSE())</f>
        <v>#N/A</v>
      </c>
      <c r="T529" s="65" t="e">
        <f aca="false">VLOOKUP(A529,BD_ORDENES!A:BE,55,FALSE())</f>
        <v>#N/A</v>
      </c>
      <c r="U529" s="68" t="e">
        <f aca="false">VLOOKUP(A529,BD_ORDENES!A:BE,57,FALSE())</f>
        <v>#N/A</v>
      </c>
      <c r="V529" s="70"/>
      <c r="W529" s="71"/>
    </row>
    <row r="530" s="72" customFormat="true" ht="98.25" hidden="false" customHeight="true" outlineLevel="0" collapsed="false">
      <c r="A530" s="62" t="n">
        <f aca="false">A529+1</f>
        <v>523</v>
      </c>
      <c r="B530" s="63" t="e">
        <f aca="false">VLOOKUP(A530,BD_ORDENES!A:BG,12,FALSE())</f>
        <v>#N/A</v>
      </c>
      <c r="C530" s="64" t="n">
        <v>523</v>
      </c>
      <c r="D530" s="65" t="e">
        <f aca="false">VLOOKUP(A530,BD_ORDENES!A:BE,10,0)</f>
        <v>#N/A</v>
      </c>
      <c r="E530" s="66" t="e">
        <f aca="false">VLOOKUP(A530,BD_ORDENES!A:BG,4,FALSE())</f>
        <v>#N/A</v>
      </c>
      <c r="F530" s="66" t="e">
        <f aca="false">VLOOKUP(A530,BD_ORDENES!A:BE,56,FALSE())</f>
        <v>#N/A</v>
      </c>
      <c r="G530" s="67" t="e">
        <f aca="false">VLOOKUP(A530,BD_ORDENES!A:BE,13,FALSE())</f>
        <v>#N/A</v>
      </c>
      <c r="H530" s="68" t="e">
        <f aca="false">VLOOKUP(A530,BD_ORDENES!A:BE,17,FALSE())</f>
        <v>#N/A</v>
      </c>
      <c r="I530" s="68" t="e">
        <f aca="false">VLOOKUP(A530,BD_ORDENES!A:BE,18,FALSE())</f>
        <v>#N/A</v>
      </c>
      <c r="J530" s="68" t="e">
        <f aca="false">VLOOKUP(A530,BD_ORDENES!A:BE,19,FALSE())</f>
        <v>#N/A</v>
      </c>
      <c r="K530" s="68" t="e">
        <f aca="false">VLOOKUP(A530,BD_ORDENES!A:BE,20,FALSE())</f>
        <v>#N/A</v>
      </c>
      <c r="L530" s="68" t="e">
        <f aca="false">VLOOKUP(A530,BD_ORDENES!A:BE,21,FALSE())</f>
        <v>#N/A</v>
      </c>
      <c r="M530" s="69" t="e">
        <f aca="false">VLOOKUP(A530,BD_ORDENES!A:BE,14,FALSE())</f>
        <v>#N/A</v>
      </c>
      <c r="N530" s="68" t="e">
        <f aca="false">VLOOKUP(A530,BD_ORDENES!A:BE,15,FALSE())</f>
        <v>#N/A</v>
      </c>
      <c r="O530" s="68" t="e">
        <f aca="false">VLOOKUP(A530,BD_ORDENES!A:BE,33,FALSE())</f>
        <v>#N/A</v>
      </c>
      <c r="P530" s="68" t="e">
        <f aca="false">VLOOKUP(A530,BD_ORDENES!A:BE,23,FALSE())</f>
        <v>#N/A</v>
      </c>
      <c r="Q530" s="68" t="e">
        <f aca="false">VLOOKUP(A530,BD_ORDENES!A:BE,52,FALSE())</f>
        <v>#N/A</v>
      </c>
      <c r="R530" s="68" t="e">
        <f aca="false">VLOOKUP(A530,BD_ORDENES!A:BE,25,FALSE())</f>
        <v>#N/A</v>
      </c>
      <c r="S530" s="68" t="e">
        <f aca="false">VLOOKUP(A530,BD_ORDENES!A:BE,22,FALSE())</f>
        <v>#N/A</v>
      </c>
      <c r="T530" s="65" t="e">
        <f aca="false">VLOOKUP(A530,BD_ORDENES!A:BE,55,FALSE())</f>
        <v>#N/A</v>
      </c>
      <c r="U530" s="68" t="e">
        <f aca="false">VLOOKUP(A530,BD_ORDENES!A:BE,57,FALSE())</f>
        <v>#N/A</v>
      </c>
      <c r="V530" s="70"/>
      <c r="W530" s="71"/>
    </row>
    <row r="531" s="72" customFormat="true" ht="98.25" hidden="false" customHeight="true" outlineLevel="0" collapsed="false">
      <c r="A531" s="62" t="n">
        <f aca="false">A530+1</f>
        <v>524</v>
      </c>
      <c r="B531" s="63" t="e">
        <f aca="false">VLOOKUP(A531,BD_ORDENES!A:BG,12,FALSE())</f>
        <v>#N/A</v>
      </c>
      <c r="C531" s="64" t="n">
        <v>524</v>
      </c>
      <c r="D531" s="65" t="e">
        <f aca="false">VLOOKUP(A531,BD_ORDENES!A:BE,10,0)</f>
        <v>#N/A</v>
      </c>
      <c r="E531" s="66" t="e">
        <f aca="false">VLOOKUP(A531,BD_ORDENES!A:BG,4,FALSE())</f>
        <v>#N/A</v>
      </c>
      <c r="F531" s="66" t="e">
        <f aca="false">VLOOKUP(A531,BD_ORDENES!A:BE,56,FALSE())</f>
        <v>#N/A</v>
      </c>
      <c r="G531" s="67" t="e">
        <f aca="false">VLOOKUP(A531,BD_ORDENES!A:BE,13,FALSE())</f>
        <v>#N/A</v>
      </c>
      <c r="H531" s="68" t="e">
        <f aca="false">VLOOKUP(A531,BD_ORDENES!A:BE,17,FALSE())</f>
        <v>#N/A</v>
      </c>
      <c r="I531" s="68" t="e">
        <f aca="false">VLOOKUP(A531,BD_ORDENES!A:BE,18,FALSE())</f>
        <v>#N/A</v>
      </c>
      <c r="J531" s="68" t="e">
        <f aca="false">VLOOKUP(A531,BD_ORDENES!A:BE,19,FALSE())</f>
        <v>#N/A</v>
      </c>
      <c r="K531" s="68" t="e">
        <f aca="false">VLOOKUP(A531,BD_ORDENES!A:BE,20,FALSE())</f>
        <v>#N/A</v>
      </c>
      <c r="L531" s="68" t="e">
        <f aca="false">VLOOKUP(A531,BD_ORDENES!A:BE,21,FALSE())</f>
        <v>#N/A</v>
      </c>
      <c r="M531" s="69" t="e">
        <f aca="false">VLOOKUP(A531,BD_ORDENES!A:BE,14,FALSE())</f>
        <v>#N/A</v>
      </c>
      <c r="N531" s="68" t="e">
        <f aca="false">VLOOKUP(A531,BD_ORDENES!A:BE,15,FALSE())</f>
        <v>#N/A</v>
      </c>
      <c r="O531" s="68" t="e">
        <f aca="false">VLOOKUP(A531,BD_ORDENES!A:BE,33,FALSE())</f>
        <v>#N/A</v>
      </c>
      <c r="P531" s="68" t="e">
        <f aca="false">VLOOKUP(A531,BD_ORDENES!A:BE,23,FALSE())</f>
        <v>#N/A</v>
      </c>
      <c r="Q531" s="68" t="e">
        <f aca="false">VLOOKUP(A531,BD_ORDENES!A:BE,52,FALSE())</f>
        <v>#N/A</v>
      </c>
      <c r="R531" s="68" t="e">
        <f aca="false">VLOOKUP(A531,BD_ORDENES!A:BE,25,FALSE())</f>
        <v>#N/A</v>
      </c>
      <c r="S531" s="68" t="e">
        <f aca="false">VLOOKUP(A531,BD_ORDENES!A:BE,22,FALSE())</f>
        <v>#N/A</v>
      </c>
      <c r="T531" s="65" t="e">
        <f aca="false">VLOOKUP(A531,BD_ORDENES!A:BE,55,FALSE())</f>
        <v>#N/A</v>
      </c>
      <c r="U531" s="68" t="e">
        <f aca="false">VLOOKUP(A531,BD_ORDENES!A:BE,57,FALSE())</f>
        <v>#N/A</v>
      </c>
      <c r="V531" s="70"/>
      <c r="W531" s="71"/>
    </row>
    <row r="532" s="72" customFormat="true" ht="98.25" hidden="false" customHeight="true" outlineLevel="0" collapsed="false">
      <c r="A532" s="62" t="n">
        <f aca="false">A531+1</f>
        <v>525</v>
      </c>
      <c r="B532" s="63" t="e">
        <f aca="false">VLOOKUP(A532,BD_ORDENES!A:BG,12,FALSE())</f>
        <v>#N/A</v>
      </c>
      <c r="C532" s="64" t="n">
        <v>525</v>
      </c>
      <c r="D532" s="65" t="e">
        <f aca="false">VLOOKUP(A532,BD_ORDENES!A:BE,10,0)</f>
        <v>#N/A</v>
      </c>
      <c r="E532" s="66" t="e">
        <f aca="false">VLOOKUP(A532,BD_ORDENES!A:BG,4,FALSE())</f>
        <v>#N/A</v>
      </c>
      <c r="F532" s="66" t="e">
        <f aca="false">VLOOKUP(A532,BD_ORDENES!A:BE,56,FALSE())</f>
        <v>#N/A</v>
      </c>
      <c r="G532" s="67" t="e">
        <f aca="false">VLOOKUP(A532,BD_ORDENES!A:BE,13,FALSE())</f>
        <v>#N/A</v>
      </c>
      <c r="H532" s="68" t="e">
        <f aca="false">VLOOKUP(A532,BD_ORDENES!A:BE,17,FALSE())</f>
        <v>#N/A</v>
      </c>
      <c r="I532" s="68" t="e">
        <f aca="false">VLOOKUP(A532,BD_ORDENES!A:BE,18,FALSE())</f>
        <v>#N/A</v>
      </c>
      <c r="J532" s="68" t="e">
        <f aca="false">VLOOKUP(A532,BD_ORDENES!A:BE,19,FALSE())</f>
        <v>#N/A</v>
      </c>
      <c r="K532" s="68" t="e">
        <f aca="false">VLOOKUP(A532,BD_ORDENES!A:BE,20,FALSE())</f>
        <v>#N/A</v>
      </c>
      <c r="L532" s="68" t="e">
        <f aca="false">VLOOKUP(A532,BD_ORDENES!A:BE,21,FALSE())</f>
        <v>#N/A</v>
      </c>
      <c r="M532" s="69" t="e">
        <f aca="false">VLOOKUP(A532,BD_ORDENES!A:BE,14,FALSE())</f>
        <v>#N/A</v>
      </c>
      <c r="N532" s="68" t="e">
        <f aca="false">VLOOKUP(A532,BD_ORDENES!A:BE,15,FALSE())</f>
        <v>#N/A</v>
      </c>
      <c r="O532" s="68" t="e">
        <f aca="false">VLOOKUP(A532,BD_ORDENES!A:BE,33,FALSE())</f>
        <v>#N/A</v>
      </c>
      <c r="P532" s="68" t="e">
        <f aca="false">VLOOKUP(A532,BD_ORDENES!A:BE,23,FALSE())</f>
        <v>#N/A</v>
      </c>
      <c r="Q532" s="68" t="e">
        <f aca="false">VLOOKUP(A532,BD_ORDENES!A:BE,52,FALSE())</f>
        <v>#N/A</v>
      </c>
      <c r="R532" s="68" t="e">
        <f aca="false">VLOOKUP(A532,BD_ORDENES!A:BE,25,FALSE())</f>
        <v>#N/A</v>
      </c>
      <c r="S532" s="68" t="e">
        <f aca="false">VLOOKUP(A532,BD_ORDENES!A:BE,22,FALSE())</f>
        <v>#N/A</v>
      </c>
      <c r="T532" s="65" t="e">
        <f aca="false">VLOOKUP(A532,BD_ORDENES!A:BE,55,FALSE())</f>
        <v>#N/A</v>
      </c>
      <c r="U532" s="68" t="e">
        <f aca="false">VLOOKUP(A532,BD_ORDENES!A:BE,57,FALSE())</f>
        <v>#N/A</v>
      </c>
      <c r="V532" s="70"/>
      <c r="W532" s="71"/>
    </row>
    <row r="533" s="72" customFormat="true" ht="98.25" hidden="false" customHeight="true" outlineLevel="0" collapsed="false">
      <c r="A533" s="62" t="n">
        <f aca="false">A532+1</f>
        <v>526</v>
      </c>
      <c r="B533" s="63" t="e">
        <f aca="false">VLOOKUP(A533,BD_ORDENES!A:BG,12,FALSE())</f>
        <v>#N/A</v>
      </c>
      <c r="C533" s="64" t="n">
        <v>526</v>
      </c>
      <c r="D533" s="65" t="e">
        <f aca="false">VLOOKUP(A533,BD_ORDENES!A:BE,10,0)</f>
        <v>#N/A</v>
      </c>
      <c r="E533" s="66" t="e">
        <f aca="false">VLOOKUP(A533,BD_ORDENES!A:BG,4,FALSE())</f>
        <v>#N/A</v>
      </c>
      <c r="F533" s="66" t="e">
        <f aca="false">VLOOKUP(A533,BD_ORDENES!A:BE,56,FALSE())</f>
        <v>#N/A</v>
      </c>
      <c r="G533" s="67" t="e">
        <f aca="false">VLOOKUP(A533,BD_ORDENES!A:BE,13,FALSE())</f>
        <v>#N/A</v>
      </c>
      <c r="H533" s="68" t="e">
        <f aca="false">VLOOKUP(A533,BD_ORDENES!A:BE,17,FALSE())</f>
        <v>#N/A</v>
      </c>
      <c r="I533" s="68" t="e">
        <f aca="false">VLOOKUP(A533,BD_ORDENES!A:BE,18,FALSE())</f>
        <v>#N/A</v>
      </c>
      <c r="J533" s="68" t="e">
        <f aca="false">VLOOKUP(A533,BD_ORDENES!A:BE,19,FALSE())</f>
        <v>#N/A</v>
      </c>
      <c r="K533" s="68" t="e">
        <f aca="false">VLOOKUP(A533,BD_ORDENES!A:BE,20,FALSE())</f>
        <v>#N/A</v>
      </c>
      <c r="L533" s="68" t="e">
        <f aca="false">VLOOKUP(A533,BD_ORDENES!A:BE,21,FALSE())</f>
        <v>#N/A</v>
      </c>
      <c r="M533" s="69" t="e">
        <f aca="false">VLOOKUP(A533,BD_ORDENES!A:BE,14,FALSE())</f>
        <v>#N/A</v>
      </c>
      <c r="N533" s="68" t="e">
        <f aca="false">VLOOKUP(A533,BD_ORDENES!A:BE,15,FALSE())</f>
        <v>#N/A</v>
      </c>
      <c r="O533" s="68" t="e">
        <f aca="false">VLOOKUP(A533,BD_ORDENES!A:BE,33,FALSE())</f>
        <v>#N/A</v>
      </c>
      <c r="P533" s="68" t="e">
        <f aca="false">VLOOKUP(A533,BD_ORDENES!A:BE,23,FALSE())</f>
        <v>#N/A</v>
      </c>
      <c r="Q533" s="68" t="e">
        <f aca="false">VLOOKUP(A533,BD_ORDENES!A:BE,52,FALSE())</f>
        <v>#N/A</v>
      </c>
      <c r="R533" s="68" t="e">
        <f aca="false">VLOOKUP(A533,BD_ORDENES!A:BE,25,FALSE())</f>
        <v>#N/A</v>
      </c>
      <c r="S533" s="68" t="e">
        <f aca="false">VLOOKUP(A533,BD_ORDENES!A:BE,22,FALSE())</f>
        <v>#N/A</v>
      </c>
      <c r="T533" s="65" t="e">
        <f aca="false">VLOOKUP(A533,BD_ORDENES!A:BE,55,FALSE())</f>
        <v>#N/A</v>
      </c>
      <c r="U533" s="68" t="e">
        <f aca="false">VLOOKUP(A533,BD_ORDENES!A:BE,57,FALSE())</f>
        <v>#N/A</v>
      </c>
      <c r="V533" s="70"/>
      <c r="W533" s="71"/>
    </row>
    <row r="534" s="72" customFormat="true" ht="98.25" hidden="false" customHeight="true" outlineLevel="0" collapsed="false">
      <c r="A534" s="62" t="n">
        <f aca="false">A533+1</f>
        <v>527</v>
      </c>
      <c r="B534" s="63" t="e">
        <f aca="false">VLOOKUP(A534,BD_ORDENES!A:BG,12,FALSE())</f>
        <v>#N/A</v>
      </c>
      <c r="C534" s="64" t="n">
        <v>527</v>
      </c>
      <c r="D534" s="65" t="e">
        <f aca="false">VLOOKUP(A534,BD_ORDENES!A:BE,10,0)</f>
        <v>#N/A</v>
      </c>
      <c r="E534" s="66" t="e">
        <f aca="false">VLOOKUP(A534,BD_ORDENES!A:BG,4,FALSE())</f>
        <v>#N/A</v>
      </c>
      <c r="F534" s="66" t="e">
        <f aca="false">VLOOKUP(A534,BD_ORDENES!A:BE,56,FALSE())</f>
        <v>#N/A</v>
      </c>
      <c r="G534" s="67" t="e">
        <f aca="false">VLOOKUP(A534,BD_ORDENES!A:BE,13,FALSE())</f>
        <v>#N/A</v>
      </c>
      <c r="H534" s="68" t="e">
        <f aca="false">VLOOKUP(A534,BD_ORDENES!A:BE,17,FALSE())</f>
        <v>#N/A</v>
      </c>
      <c r="I534" s="68" t="e">
        <f aca="false">VLOOKUP(A534,BD_ORDENES!A:BE,18,FALSE())</f>
        <v>#N/A</v>
      </c>
      <c r="J534" s="68" t="e">
        <f aca="false">VLOOKUP(A534,BD_ORDENES!A:BE,19,FALSE())</f>
        <v>#N/A</v>
      </c>
      <c r="K534" s="68" t="e">
        <f aca="false">VLOOKUP(A534,BD_ORDENES!A:BE,20,FALSE())</f>
        <v>#N/A</v>
      </c>
      <c r="L534" s="68" t="e">
        <f aca="false">VLOOKUP(A534,BD_ORDENES!A:BE,21,FALSE())</f>
        <v>#N/A</v>
      </c>
      <c r="M534" s="69" t="e">
        <f aca="false">VLOOKUP(A534,BD_ORDENES!A:BE,14,FALSE())</f>
        <v>#N/A</v>
      </c>
      <c r="N534" s="68" t="e">
        <f aca="false">VLOOKUP(A534,BD_ORDENES!A:BE,15,FALSE())</f>
        <v>#N/A</v>
      </c>
      <c r="O534" s="68" t="e">
        <f aca="false">VLOOKUP(A534,BD_ORDENES!A:BE,33,FALSE())</f>
        <v>#N/A</v>
      </c>
      <c r="P534" s="68" t="e">
        <f aca="false">VLOOKUP(A534,BD_ORDENES!A:BE,23,FALSE())</f>
        <v>#N/A</v>
      </c>
      <c r="Q534" s="68" t="e">
        <f aca="false">VLOOKUP(A534,BD_ORDENES!A:BE,52,FALSE())</f>
        <v>#N/A</v>
      </c>
      <c r="R534" s="68" t="e">
        <f aca="false">VLOOKUP(A534,BD_ORDENES!A:BE,25,FALSE())</f>
        <v>#N/A</v>
      </c>
      <c r="S534" s="68" t="e">
        <f aca="false">VLOOKUP(A534,BD_ORDENES!A:BE,22,FALSE())</f>
        <v>#N/A</v>
      </c>
      <c r="T534" s="65" t="e">
        <f aca="false">VLOOKUP(A534,BD_ORDENES!A:BE,55,FALSE())</f>
        <v>#N/A</v>
      </c>
      <c r="U534" s="68" t="e">
        <f aca="false">VLOOKUP(A534,BD_ORDENES!A:BE,57,FALSE())</f>
        <v>#N/A</v>
      </c>
      <c r="V534" s="70"/>
      <c r="W534" s="71"/>
    </row>
    <row r="535" s="72" customFormat="true" ht="98.25" hidden="false" customHeight="true" outlineLevel="0" collapsed="false">
      <c r="A535" s="62" t="n">
        <f aca="false">A534+1</f>
        <v>528</v>
      </c>
      <c r="B535" s="63" t="e">
        <f aca="false">VLOOKUP(A535,BD_ORDENES!A:BG,12,FALSE())</f>
        <v>#N/A</v>
      </c>
      <c r="C535" s="64" t="n">
        <v>528</v>
      </c>
      <c r="D535" s="65" t="e">
        <f aca="false">VLOOKUP(A535,BD_ORDENES!A:BE,10,0)</f>
        <v>#N/A</v>
      </c>
      <c r="E535" s="66" t="e">
        <f aca="false">VLOOKUP(A535,BD_ORDENES!A:BG,4,FALSE())</f>
        <v>#N/A</v>
      </c>
      <c r="F535" s="66" t="e">
        <f aca="false">VLOOKUP(A535,BD_ORDENES!A:BE,56,FALSE())</f>
        <v>#N/A</v>
      </c>
      <c r="G535" s="67" t="e">
        <f aca="false">VLOOKUP(A535,BD_ORDENES!A:BE,13,FALSE())</f>
        <v>#N/A</v>
      </c>
      <c r="H535" s="68" t="e">
        <f aca="false">VLOOKUP(A535,BD_ORDENES!A:BE,17,FALSE())</f>
        <v>#N/A</v>
      </c>
      <c r="I535" s="68" t="e">
        <f aca="false">VLOOKUP(A535,BD_ORDENES!A:BE,18,FALSE())</f>
        <v>#N/A</v>
      </c>
      <c r="J535" s="68" t="e">
        <f aca="false">VLOOKUP(A535,BD_ORDENES!A:BE,19,FALSE())</f>
        <v>#N/A</v>
      </c>
      <c r="K535" s="68" t="e">
        <f aca="false">VLOOKUP(A535,BD_ORDENES!A:BE,20,FALSE())</f>
        <v>#N/A</v>
      </c>
      <c r="L535" s="68" t="e">
        <f aca="false">VLOOKUP(A535,BD_ORDENES!A:BE,21,FALSE())</f>
        <v>#N/A</v>
      </c>
      <c r="M535" s="69" t="e">
        <f aca="false">VLOOKUP(A535,BD_ORDENES!A:BE,14,FALSE())</f>
        <v>#N/A</v>
      </c>
      <c r="N535" s="68" t="e">
        <f aca="false">VLOOKUP(A535,BD_ORDENES!A:BE,15,FALSE())</f>
        <v>#N/A</v>
      </c>
      <c r="O535" s="68" t="e">
        <f aca="false">VLOOKUP(A535,BD_ORDENES!A:BE,33,FALSE())</f>
        <v>#N/A</v>
      </c>
      <c r="P535" s="68" t="e">
        <f aca="false">VLOOKUP(A535,BD_ORDENES!A:BE,23,FALSE())</f>
        <v>#N/A</v>
      </c>
      <c r="Q535" s="68" t="e">
        <f aca="false">VLOOKUP(A535,BD_ORDENES!A:BE,52,FALSE())</f>
        <v>#N/A</v>
      </c>
      <c r="R535" s="68" t="e">
        <f aca="false">VLOOKUP(A535,BD_ORDENES!A:BE,25,FALSE())</f>
        <v>#N/A</v>
      </c>
      <c r="S535" s="68" t="e">
        <f aca="false">VLOOKUP(A535,BD_ORDENES!A:BE,22,FALSE())</f>
        <v>#N/A</v>
      </c>
      <c r="T535" s="65" t="e">
        <f aca="false">VLOOKUP(A535,BD_ORDENES!A:BE,55,FALSE())</f>
        <v>#N/A</v>
      </c>
      <c r="U535" s="68" t="e">
        <f aca="false">VLOOKUP(A535,BD_ORDENES!A:BE,57,FALSE())</f>
        <v>#N/A</v>
      </c>
      <c r="V535" s="70"/>
      <c r="W535" s="71"/>
    </row>
    <row r="536" s="72" customFormat="true" ht="98.25" hidden="false" customHeight="true" outlineLevel="0" collapsed="false">
      <c r="A536" s="62" t="n">
        <f aca="false">A535+1</f>
        <v>529</v>
      </c>
      <c r="B536" s="63" t="e">
        <f aca="false">VLOOKUP(A536,BD_ORDENES!A:BG,12,FALSE())</f>
        <v>#N/A</v>
      </c>
      <c r="C536" s="64" t="n">
        <v>529</v>
      </c>
      <c r="D536" s="65" t="e">
        <f aca="false">VLOOKUP(A536,BD_ORDENES!A:BE,10,0)</f>
        <v>#N/A</v>
      </c>
      <c r="E536" s="66" t="e">
        <f aca="false">VLOOKUP(A536,BD_ORDENES!A:BG,4,FALSE())</f>
        <v>#N/A</v>
      </c>
      <c r="F536" s="66" t="e">
        <f aca="false">VLOOKUP(A536,BD_ORDENES!A:BE,56,FALSE())</f>
        <v>#N/A</v>
      </c>
      <c r="G536" s="67" t="e">
        <f aca="false">VLOOKUP(A536,BD_ORDENES!A:BE,13,FALSE())</f>
        <v>#N/A</v>
      </c>
      <c r="H536" s="68" t="e">
        <f aca="false">VLOOKUP(A536,BD_ORDENES!A:BE,17,FALSE())</f>
        <v>#N/A</v>
      </c>
      <c r="I536" s="68" t="e">
        <f aca="false">VLOOKUP(A536,BD_ORDENES!A:BE,18,FALSE())</f>
        <v>#N/A</v>
      </c>
      <c r="J536" s="68" t="e">
        <f aca="false">VLOOKUP(A536,BD_ORDENES!A:BE,19,FALSE())</f>
        <v>#N/A</v>
      </c>
      <c r="K536" s="68" t="e">
        <f aca="false">VLOOKUP(A536,BD_ORDENES!A:BE,20,FALSE())</f>
        <v>#N/A</v>
      </c>
      <c r="L536" s="68" t="e">
        <f aca="false">VLOOKUP(A536,BD_ORDENES!A:BE,21,FALSE())</f>
        <v>#N/A</v>
      </c>
      <c r="M536" s="69" t="e">
        <f aca="false">VLOOKUP(A536,BD_ORDENES!A:BE,14,FALSE())</f>
        <v>#N/A</v>
      </c>
      <c r="N536" s="68" t="e">
        <f aca="false">VLOOKUP(A536,BD_ORDENES!A:BE,15,FALSE())</f>
        <v>#N/A</v>
      </c>
      <c r="O536" s="68" t="e">
        <f aca="false">VLOOKUP(A536,BD_ORDENES!A:BE,33,FALSE())</f>
        <v>#N/A</v>
      </c>
      <c r="P536" s="68" t="e">
        <f aca="false">VLOOKUP(A536,BD_ORDENES!A:BE,23,FALSE())</f>
        <v>#N/A</v>
      </c>
      <c r="Q536" s="68" t="e">
        <f aca="false">VLOOKUP(A536,BD_ORDENES!A:BE,52,FALSE())</f>
        <v>#N/A</v>
      </c>
      <c r="R536" s="68" t="e">
        <f aca="false">VLOOKUP(A536,BD_ORDENES!A:BE,25,FALSE())</f>
        <v>#N/A</v>
      </c>
      <c r="S536" s="68" t="e">
        <f aca="false">VLOOKUP(A536,BD_ORDENES!A:BE,22,FALSE())</f>
        <v>#N/A</v>
      </c>
      <c r="T536" s="65" t="e">
        <f aca="false">VLOOKUP(A536,BD_ORDENES!A:BE,55,FALSE())</f>
        <v>#N/A</v>
      </c>
      <c r="U536" s="68" t="e">
        <f aca="false">VLOOKUP(A536,BD_ORDENES!A:BE,57,FALSE())</f>
        <v>#N/A</v>
      </c>
      <c r="V536" s="70"/>
      <c r="W536" s="71"/>
    </row>
    <row r="537" s="72" customFormat="true" ht="98.25" hidden="false" customHeight="true" outlineLevel="0" collapsed="false">
      <c r="A537" s="62" t="n">
        <f aca="false">A536+1</f>
        <v>530</v>
      </c>
      <c r="B537" s="63" t="e">
        <f aca="false">VLOOKUP(A537,BD_ORDENES!A:BG,12,FALSE())</f>
        <v>#N/A</v>
      </c>
      <c r="C537" s="64" t="n">
        <v>530</v>
      </c>
      <c r="D537" s="65" t="e">
        <f aca="false">VLOOKUP(A537,BD_ORDENES!A:BE,10,0)</f>
        <v>#N/A</v>
      </c>
      <c r="E537" s="66" t="e">
        <f aca="false">VLOOKUP(A537,BD_ORDENES!A:BG,4,FALSE())</f>
        <v>#N/A</v>
      </c>
      <c r="F537" s="66" t="e">
        <f aca="false">VLOOKUP(A537,BD_ORDENES!A:BE,56,FALSE())</f>
        <v>#N/A</v>
      </c>
      <c r="G537" s="67" t="e">
        <f aca="false">VLOOKUP(A537,BD_ORDENES!A:BE,13,FALSE())</f>
        <v>#N/A</v>
      </c>
      <c r="H537" s="68" t="e">
        <f aca="false">VLOOKUP(A537,BD_ORDENES!A:BE,17,FALSE())</f>
        <v>#N/A</v>
      </c>
      <c r="I537" s="68" t="e">
        <f aca="false">VLOOKUP(A537,BD_ORDENES!A:BE,18,FALSE())</f>
        <v>#N/A</v>
      </c>
      <c r="J537" s="68" t="e">
        <f aca="false">VLOOKUP(A537,BD_ORDENES!A:BE,19,FALSE())</f>
        <v>#N/A</v>
      </c>
      <c r="K537" s="68" t="e">
        <f aca="false">VLOOKUP(A537,BD_ORDENES!A:BE,20,FALSE())</f>
        <v>#N/A</v>
      </c>
      <c r="L537" s="68" t="e">
        <f aca="false">VLOOKUP(A537,BD_ORDENES!A:BE,21,FALSE())</f>
        <v>#N/A</v>
      </c>
      <c r="M537" s="69" t="e">
        <f aca="false">VLOOKUP(A537,BD_ORDENES!A:BE,14,FALSE())</f>
        <v>#N/A</v>
      </c>
      <c r="N537" s="68" t="e">
        <f aca="false">VLOOKUP(A537,BD_ORDENES!A:BE,15,FALSE())</f>
        <v>#N/A</v>
      </c>
      <c r="O537" s="68" t="e">
        <f aca="false">VLOOKUP(A537,BD_ORDENES!A:BE,33,FALSE())</f>
        <v>#N/A</v>
      </c>
      <c r="P537" s="68" t="e">
        <f aca="false">VLOOKUP(A537,BD_ORDENES!A:BE,23,FALSE())</f>
        <v>#N/A</v>
      </c>
      <c r="Q537" s="68" t="e">
        <f aca="false">VLOOKUP(A537,BD_ORDENES!A:BE,52,FALSE())</f>
        <v>#N/A</v>
      </c>
      <c r="R537" s="68" t="e">
        <f aca="false">VLOOKUP(A537,BD_ORDENES!A:BE,25,FALSE())</f>
        <v>#N/A</v>
      </c>
      <c r="S537" s="68" t="e">
        <f aca="false">VLOOKUP(A537,BD_ORDENES!A:BE,22,FALSE())</f>
        <v>#N/A</v>
      </c>
      <c r="T537" s="65" t="e">
        <f aca="false">VLOOKUP(A537,BD_ORDENES!A:BE,55,FALSE())</f>
        <v>#N/A</v>
      </c>
      <c r="U537" s="68" t="e">
        <f aca="false">VLOOKUP(A537,BD_ORDENES!A:BE,57,FALSE())</f>
        <v>#N/A</v>
      </c>
      <c r="V537" s="70"/>
      <c r="W537" s="71"/>
    </row>
    <row r="538" s="72" customFormat="true" ht="98.25" hidden="false" customHeight="true" outlineLevel="0" collapsed="false">
      <c r="A538" s="62" t="n">
        <f aca="false">A537+1</f>
        <v>531</v>
      </c>
      <c r="B538" s="63" t="e">
        <f aca="false">VLOOKUP(A538,BD_ORDENES!A:BG,12,FALSE())</f>
        <v>#N/A</v>
      </c>
      <c r="C538" s="64" t="n">
        <v>531</v>
      </c>
      <c r="D538" s="65" t="e">
        <f aca="false">VLOOKUP(A538,BD_ORDENES!A:BE,10,0)</f>
        <v>#N/A</v>
      </c>
      <c r="E538" s="66" t="e">
        <f aca="false">VLOOKUP(A538,BD_ORDENES!A:BG,4,FALSE())</f>
        <v>#N/A</v>
      </c>
      <c r="F538" s="66" t="e">
        <f aca="false">VLOOKUP(A538,BD_ORDENES!A:BE,56,FALSE())</f>
        <v>#N/A</v>
      </c>
      <c r="G538" s="67" t="e">
        <f aca="false">VLOOKUP(A538,BD_ORDENES!A:BE,13,FALSE())</f>
        <v>#N/A</v>
      </c>
      <c r="H538" s="68" t="e">
        <f aca="false">VLOOKUP(A538,BD_ORDENES!A:BE,17,FALSE())</f>
        <v>#N/A</v>
      </c>
      <c r="I538" s="68" t="e">
        <f aca="false">VLOOKUP(A538,BD_ORDENES!A:BE,18,FALSE())</f>
        <v>#N/A</v>
      </c>
      <c r="J538" s="68" t="e">
        <f aca="false">VLOOKUP(A538,BD_ORDENES!A:BE,19,FALSE())</f>
        <v>#N/A</v>
      </c>
      <c r="K538" s="68" t="e">
        <f aca="false">VLOOKUP(A538,BD_ORDENES!A:BE,20,FALSE())</f>
        <v>#N/A</v>
      </c>
      <c r="L538" s="68" t="e">
        <f aca="false">VLOOKUP(A538,BD_ORDENES!A:BE,21,FALSE())</f>
        <v>#N/A</v>
      </c>
      <c r="M538" s="69" t="e">
        <f aca="false">VLOOKUP(A538,BD_ORDENES!A:BE,14,FALSE())</f>
        <v>#N/A</v>
      </c>
      <c r="N538" s="68" t="e">
        <f aca="false">VLOOKUP(A538,BD_ORDENES!A:BE,15,FALSE())</f>
        <v>#N/A</v>
      </c>
      <c r="O538" s="68" t="e">
        <f aca="false">VLOOKUP(A538,BD_ORDENES!A:BE,33,FALSE())</f>
        <v>#N/A</v>
      </c>
      <c r="P538" s="68" t="e">
        <f aca="false">VLOOKUP(A538,BD_ORDENES!A:BE,23,FALSE())</f>
        <v>#N/A</v>
      </c>
      <c r="Q538" s="68" t="e">
        <f aca="false">VLOOKUP(A538,BD_ORDENES!A:BE,52,FALSE())</f>
        <v>#N/A</v>
      </c>
      <c r="R538" s="68" t="e">
        <f aca="false">VLOOKUP(A538,BD_ORDENES!A:BE,25,FALSE())</f>
        <v>#N/A</v>
      </c>
      <c r="S538" s="68" t="e">
        <f aca="false">VLOOKUP(A538,BD_ORDENES!A:BE,22,FALSE())</f>
        <v>#N/A</v>
      </c>
      <c r="T538" s="65" t="e">
        <f aca="false">VLOOKUP(A538,BD_ORDENES!A:BE,55,FALSE())</f>
        <v>#N/A</v>
      </c>
      <c r="U538" s="68" t="e">
        <f aca="false">VLOOKUP(A538,BD_ORDENES!A:BE,57,FALSE())</f>
        <v>#N/A</v>
      </c>
      <c r="V538" s="70"/>
      <c r="W538" s="71"/>
    </row>
    <row r="539" s="72" customFormat="true" ht="98.25" hidden="false" customHeight="true" outlineLevel="0" collapsed="false">
      <c r="A539" s="62" t="n">
        <f aca="false">A538+1</f>
        <v>532</v>
      </c>
      <c r="B539" s="63" t="e">
        <f aca="false">VLOOKUP(A539,BD_ORDENES!A:BG,12,FALSE())</f>
        <v>#N/A</v>
      </c>
      <c r="C539" s="64" t="n">
        <v>532</v>
      </c>
      <c r="D539" s="65" t="e">
        <f aca="false">VLOOKUP(A539,BD_ORDENES!A:BE,10,0)</f>
        <v>#N/A</v>
      </c>
      <c r="E539" s="66" t="e">
        <f aca="false">VLOOKUP(A539,BD_ORDENES!A:BG,4,FALSE())</f>
        <v>#N/A</v>
      </c>
      <c r="F539" s="66" t="e">
        <f aca="false">VLOOKUP(A539,BD_ORDENES!A:BE,56,FALSE())</f>
        <v>#N/A</v>
      </c>
      <c r="G539" s="67" t="e">
        <f aca="false">VLOOKUP(A539,BD_ORDENES!A:BE,13,FALSE())</f>
        <v>#N/A</v>
      </c>
      <c r="H539" s="68" t="e">
        <f aca="false">VLOOKUP(A539,BD_ORDENES!A:BE,17,FALSE())</f>
        <v>#N/A</v>
      </c>
      <c r="I539" s="68" t="e">
        <f aca="false">VLOOKUP(A539,BD_ORDENES!A:BE,18,FALSE())</f>
        <v>#N/A</v>
      </c>
      <c r="J539" s="68" t="e">
        <f aca="false">VLOOKUP(A539,BD_ORDENES!A:BE,19,FALSE())</f>
        <v>#N/A</v>
      </c>
      <c r="K539" s="68" t="e">
        <f aca="false">VLOOKUP(A539,BD_ORDENES!A:BE,20,FALSE())</f>
        <v>#N/A</v>
      </c>
      <c r="L539" s="68" t="e">
        <f aca="false">VLOOKUP(A539,BD_ORDENES!A:BE,21,FALSE())</f>
        <v>#N/A</v>
      </c>
      <c r="M539" s="69" t="e">
        <f aca="false">VLOOKUP(A539,BD_ORDENES!A:BE,14,FALSE())</f>
        <v>#N/A</v>
      </c>
      <c r="N539" s="68" t="e">
        <f aca="false">VLOOKUP(A539,BD_ORDENES!A:BE,15,FALSE())</f>
        <v>#N/A</v>
      </c>
      <c r="O539" s="68" t="e">
        <f aca="false">VLOOKUP(A539,BD_ORDENES!A:BE,33,FALSE())</f>
        <v>#N/A</v>
      </c>
      <c r="P539" s="68" t="e">
        <f aca="false">VLOOKUP(A539,BD_ORDENES!A:BE,23,FALSE())</f>
        <v>#N/A</v>
      </c>
      <c r="Q539" s="68" t="e">
        <f aca="false">VLOOKUP(A539,BD_ORDENES!A:BE,52,FALSE())</f>
        <v>#N/A</v>
      </c>
      <c r="R539" s="68" t="e">
        <f aca="false">VLOOKUP(A539,BD_ORDENES!A:BE,25,FALSE())</f>
        <v>#N/A</v>
      </c>
      <c r="S539" s="68" t="e">
        <f aca="false">VLOOKUP(A539,BD_ORDENES!A:BE,22,FALSE())</f>
        <v>#N/A</v>
      </c>
      <c r="T539" s="65" t="e">
        <f aca="false">VLOOKUP(A539,BD_ORDENES!A:BE,55,FALSE())</f>
        <v>#N/A</v>
      </c>
      <c r="U539" s="68" t="e">
        <f aca="false">VLOOKUP(A539,BD_ORDENES!A:BE,57,FALSE())</f>
        <v>#N/A</v>
      </c>
      <c r="V539" s="70"/>
      <c r="W539" s="71"/>
    </row>
    <row r="540" s="72" customFormat="true" ht="98.25" hidden="false" customHeight="true" outlineLevel="0" collapsed="false">
      <c r="A540" s="62" t="n">
        <f aca="false">A539+1</f>
        <v>533</v>
      </c>
      <c r="B540" s="63" t="e">
        <f aca="false">VLOOKUP(A540,BD_ORDENES!A:BG,12,FALSE())</f>
        <v>#N/A</v>
      </c>
      <c r="C540" s="64" t="n">
        <v>533</v>
      </c>
      <c r="D540" s="65" t="e">
        <f aca="false">VLOOKUP(A540,BD_ORDENES!A:BE,10,0)</f>
        <v>#N/A</v>
      </c>
      <c r="E540" s="66" t="e">
        <f aca="false">VLOOKUP(A540,BD_ORDENES!A:BG,4,FALSE())</f>
        <v>#N/A</v>
      </c>
      <c r="F540" s="66" t="e">
        <f aca="false">VLOOKUP(A540,BD_ORDENES!A:BE,56,FALSE())</f>
        <v>#N/A</v>
      </c>
      <c r="G540" s="67" t="e">
        <f aca="false">VLOOKUP(A540,BD_ORDENES!A:BE,13,FALSE())</f>
        <v>#N/A</v>
      </c>
      <c r="H540" s="68" t="e">
        <f aca="false">VLOOKUP(A540,BD_ORDENES!A:BE,17,FALSE())</f>
        <v>#N/A</v>
      </c>
      <c r="I540" s="68" t="e">
        <f aca="false">VLOOKUP(A540,BD_ORDENES!A:BE,18,FALSE())</f>
        <v>#N/A</v>
      </c>
      <c r="J540" s="68" t="e">
        <f aca="false">VLOOKUP(A540,BD_ORDENES!A:BE,19,FALSE())</f>
        <v>#N/A</v>
      </c>
      <c r="K540" s="68" t="e">
        <f aca="false">VLOOKUP(A540,BD_ORDENES!A:BE,20,FALSE())</f>
        <v>#N/A</v>
      </c>
      <c r="L540" s="68" t="e">
        <f aca="false">VLOOKUP(A540,BD_ORDENES!A:BE,21,FALSE())</f>
        <v>#N/A</v>
      </c>
      <c r="M540" s="69" t="e">
        <f aca="false">VLOOKUP(A540,BD_ORDENES!A:BE,14,FALSE())</f>
        <v>#N/A</v>
      </c>
      <c r="N540" s="68" t="e">
        <f aca="false">VLOOKUP(A540,BD_ORDENES!A:BE,15,FALSE())</f>
        <v>#N/A</v>
      </c>
      <c r="O540" s="68" t="e">
        <f aca="false">VLOOKUP(A540,BD_ORDENES!A:BE,33,FALSE())</f>
        <v>#N/A</v>
      </c>
      <c r="P540" s="68" t="e">
        <f aca="false">VLOOKUP(A540,BD_ORDENES!A:BE,23,FALSE())</f>
        <v>#N/A</v>
      </c>
      <c r="Q540" s="68" t="e">
        <f aca="false">VLOOKUP(A540,BD_ORDENES!A:BE,52,FALSE())</f>
        <v>#N/A</v>
      </c>
      <c r="R540" s="68" t="e">
        <f aca="false">VLOOKUP(A540,BD_ORDENES!A:BE,25,FALSE())</f>
        <v>#N/A</v>
      </c>
      <c r="S540" s="68" t="e">
        <f aca="false">VLOOKUP(A540,BD_ORDENES!A:BE,22,FALSE())</f>
        <v>#N/A</v>
      </c>
      <c r="T540" s="65" t="e">
        <f aca="false">VLOOKUP(A540,BD_ORDENES!A:BE,55,FALSE())</f>
        <v>#N/A</v>
      </c>
      <c r="U540" s="68" t="e">
        <f aca="false">VLOOKUP(A540,BD_ORDENES!A:BE,57,FALSE())</f>
        <v>#N/A</v>
      </c>
      <c r="V540" s="70"/>
      <c r="W540" s="71"/>
    </row>
    <row r="541" s="72" customFormat="true" ht="98.25" hidden="false" customHeight="true" outlineLevel="0" collapsed="false">
      <c r="A541" s="62" t="n">
        <f aca="false">A540+1</f>
        <v>534</v>
      </c>
      <c r="B541" s="63" t="e">
        <f aca="false">VLOOKUP(A541,BD_ORDENES!A:BG,12,FALSE())</f>
        <v>#N/A</v>
      </c>
      <c r="C541" s="64" t="n">
        <v>534</v>
      </c>
      <c r="D541" s="65" t="e">
        <f aca="false">VLOOKUP(A541,BD_ORDENES!A:BE,10,0)</f>
        <v>#N/A</v>
      </c>
      <c r="E541" s="66" t="e">
        <f aca="false">VLOOKUP(A541,BD_ORDENES!A:BG,4,FALSE())</f>
        <v>#N/A</v>
      </c>
      <c r="F541" s="66" t="e">
        <f aca="false">VLOOKUP(A541,BD_ORDENES!A:BE,56,FALSE())</f>
        <v>#N/A</v>
      </c>
      <c r="G541" s="67" t="e">
        <f aca="false">VLOOKUP(A541,BD_ORDENES!A:BE,13,FALSE())</f>
        <v>#N/A</v>
      </c>
      <c r="H541" s="68" t="e">
        <f aca="false">VLOOKUP(A541,BD_ORDENES!A:BE,17,FALSE())</f>
        <v>#N/A</v>
      </c>
      <c r="I541" s="68" t="e">
        <f aca="false">VLOOKUP(A541,BD_ORDENES!A:BE,18,FALSE())</f>
        <v>#N/A</v>
      </c>
      <c r="J541" s="68" t="e">
        <f aca="false">VLOOKUP(A541,BD_ORDENES!A:BE,19,FALSE())</f>
        <v>#N/A</v>
      </c>
      <c r="K541" s="68" t="e">
        <f aca="false">VLOOKUP(A541,BD_ORDENES!A:BE,20,FALSE())</f>
        <v>#N/A</v>
      </c>
      <c r="L541" s="68" t="e">
        <f aca="false">VLOOKUP(A541,BD_ORDENES!A:BE,21,FALSE())</f>
        <v>#N/A</v>
      </c>
      <c r="M541" s="69" t="e">
        <f aca="false">VLOOKUP(A541,BD_ORDENES!A:BE,14,FALSE())</f>
        <v>#N/A</v>
      </c>
      <c r="N541" s="68" t="e">
        <f aca="false">VLOOKUP(A541,BD_ORDENES!A:BE,15,FALSE())</f>
        <v>#N/A</v>
      </c>
      <c r="O541" s="68" t="e">
        <f aca="false">VLOOKUP(A541,BD_ORDENES!A:BE,33,FALSE())</f>
        <v>#N/A</v>
      </c>
      <c r="P541" s="68" t="e">
        <f aca="false">VLOOKUP(A541,BD_ORDENES!A:BE,23,FALSE())</f>
        <v>#N/A</v>
      </c>
      <c r="Q541" s="68" t="e">
        <f aca="false">VLOOKUP(A541,BD_ORDENES!A:BE,52,FALSE())</f>
        <v>#N/A</v>
      </c>
      <c r="R541" s="68" t="e">
        <f aca="false">VLOOKUP(A541,BD_ORDENES!A:BE,25,FALSE())</f>
        <v>#N/A</v>
      </c>
      <c r="S541" s="68" t="e">
        <f aca="false">VLOOKUP(A541,BD_ORDENES!A:BE,22,FALSE())</f>
        <v>#N/A</v>
      </c>
      <c r="T541" s="65" t="e">
        <f aca="false">VLOOKUP(A541,BD_ORDENES!A:BE,55,FALSE())</f>
        <v>#N/A</v>
      </c>
      <c r="U541" s="68" t="e">
        <f aca="false">VLOOKUP(A541,BD_ORDENES!A:BE,57,FALSE())</f>
        <v>#N/A</v>
      </c>
      <c r="V541" s="70"/>
      <c r="W541" s="71"/>
    </row>
    <row r="542" s="72" customFormat="true" ht="98.25" hidden="false" customHeight="true" outlineLevel="0" collapsed="false">
      <c r="A542" s="62" t="n">
        <f aca="false">A541+1</f>
        <v>535</v>
      </c>
      <c r="B542" s="63" t="e">
        <f aca="false">VLOOKUP(A542,BD_ORDENES!A:BG,12,FALSE())</f>
        <v>#N/A</v>
      </c>
      <c r="C542" s="64" t="n">
        <v>535</v>
      </c>
      <c r="D542" s="65" t="e">
        <f aca="false">VLOOKUP(A542,BD_ORDENES!A:BE,10,0)</f>
        <v>#N/A</v>
      </c>
      <c r="E542" s="66" t="e">
        <f aca="false">VLOOKUP(A542,BD_ORDENES!A:BG,4,FALSE())</f>
        <v>#N/A</v>
      </c>
      <c r="F542" s="66" t="e">
        <f aca="false">VLOOKUP(A542,BD_ORDENES!A:BE,56,FALSE())</f>
        <v>#N/A</v>
      </c>
      <c r="G542" s="67" t="e">
        <f aca="false">VLOOKUP(A542,BD_ORDENES!A:BE,13,FALSE())</f>
        <v>#N/A</v>
      </c>
      <c r="H542" s="68" t="e">
        <f aca="false">VLOOKUP(A542,BD_ORDENES!A:BE,17,FALSE())</f>
        <v>#N/A</v>
      </c>
      <c r="I542" s="68" t="e">
        <f aca="false">VLOOKUP(A542,BD_ORDENES!A:BE,18,FALSE())</f>
        <v>#N/A</v>
      </c>
      <c r="J542" s="68" t="e">
        <f aca="false">VLOOKUP(A542,BD_ORDENES!A:BE,19,FALSE())</f>
        <v>#N/A</v>
      </c>
      <c r="K542" s="68" t="e">
        <f aca="false">VLOOKUP(A542,BD_ORDENES!A:BE,20,FALSE())</f>
        <v>#N/A</v>
      </c>
      <c r="L542" s="68" t="e">
        <f aca="false">VLOOKUP(A542,BD_ORDENES!A:BE,21,FALSE())</f>
        <v>#N/A</v>
      </c>
      <c r="M542" s="69" t="e">
        <f aca="false">VLOOKUP(A542,BD_ORDENES!A:BE,14,FALSE())</f>
        <v>#N/A</v>
      </c>
      <c r="N542" s="68" t="e">
        <f aca="false">VLOOKUP(A542,BD_ORDENES!A:BE,15,FALSE())</f>
        <v>#N/A</v>
      </c>
      <c r="O542" s="68" t="e">
        <f aca="false">VLOOKUP(A542,BD_ORDENES!A:BE,33,FALSE())</f>
        <v>#N/A</v>
      </c>
      <c r="P542" s="68" t="e">
        <f aca="false">VLOOKUP(A542,BD_ORDENES!A:BE,23,FALSE())</f>
        <v>#N/A</v>
      </c>
      <c r="Q542" s="68" t="e">
        <f aca="false">VLOOKUP(A542,BD_ORDENES!A:BE,52,FALSE())</f>
        <v>#N/A</v>
      </c>
      <c r="R542" s="68" t="e">
        <f aca="false">VLOOKUP(A542,BD_ORDENES!A:BE,25,FALSE())</f>
        <v>#N/A</v>
      </c>
      <c r="S542" s="68" t="e">
        <f aca="false">VLOOKUP(A542,BD_ORDENES!A:BE,22,FALSE())</f>
        <v>#N/A</v>
      </c>
      <c r="T542" s="65" t="e">
        <f aca="false">VLOOKUP(A542,BD_ORDENES!A:BE,55,FALSE())</f>
        <v>#N/A</v>
      </c>
      <c r="U542" s="68" t="e">
        <f aca="false">VLOOKUP(A542,BD_ORDENES!A:BE,57,FALSE())</f>
        <v>#N/A</v>
      </c>
      <c r="V542" s="70"/>
      <c r="W542" s="71"/>
    </row>
    <row r="543" s="72" customFormat="true" ht="98.25" hidden="false" customHeight="true" outlineLevel="0" collapsed="false">
      <c r="A543" s="62" t="n">
        <f aca="false">A542+1</f>
        <v>536</v>
      </c>
      <c r="B543" s="63" t="e">
        <f aca="false">VLOOKUP(A543,BD_ORDENES!A:BG,12,FALSE())</f>
        <v>#N/A</v>
      </c>
      <c r="C543" s="64" t="n">
        <v>536</v>
      </c>
      <c r="D543" s="65" t="e">
        <f aca="false">VLOOKUP(A543,BD_ORDENES!A:BE,10,0)</f>
        <v>#N/A</v>
      </c>
      <c r="E543" s="66" t="e">
        <f aca="false">VLOOKUP(A543,BD_ORDENES!A:BG,4,FALSE())</f>
        <v>#N/A</v>
      </c>
      <c r="F543" s="66" t="e">
        <f aca="false">VLOOKUP(A543,BD_ORDENES!A:BE,56,FALSE())</f>
        <v>#N/A</v>
      </c>
      <c r="G543" s="67" t="e">
        <f aca="false">VLOOKUP(A543,BD_ORDENES!A:BE,13,FALSE())</f>
        <v>#N/A</v>
      </c>
      <c r="H543" s="68" t="e">
        <f aca="false">VLOOKUP(A543,BD_ORDENES!A:BE,17,FALSE())</f>
        <v>#N/A</v>
      </c>
      <c r="I543" s="68" t="e">
        <f aca="false">VLOOKUP(A543,BD_ORDENES!A:BE,18,FALSE())</f>
        <v>#N/A</v>
      </c>
      <c r="J543" s="68" t="e">
        <f aca="false">VLOOKUP(A543,BD_ORDENES!A:BE,19,FALSE())</f>
        <v>#N/A</v>
      </c>
      <c r="K543" s="68" t="e">
        <f aca="false">VLOOKUP(A543,BD_ORDENES!A:BE,20,FALSE())</f>
        <v>#N/A</v>
      </c>
      <c r="L543" s="68" t="e">
        <f aca="false">VLOOKUP(A543,BD_ORDENES!A:BE,21,FALSE())</f>
        <v>#N/A</v>
      </c>
      <c r="M543" s="69" t="e">
        <f aca="false">VLOOKUP(A543,BD_ORDENES!A:BE,14,FALSE())</f>
        <v>#N/A</v>
      </c>
      <c r="N543" s="68" t="e">
        <f aca="false">VLOOKUP(A543,BD_ORDENES!A:BE,15,FALSE())</f>
        <v>#N/A</v>
      </c>
      <c r="O543" s="68" t="e">
        <f aca="false">VLOOKUP(A543,BD_ORDENES!A:BE,33,FALSE())</f>
        <v>#N/A</v>
      </c>
      <c r="P543" s="68" t="e">
        <f aca="false">VLOOKUP(A543,BD_ORDENES!A:BE,23,FALSE())</f>
        <v>#N/A</v>
      </c>
      <c r="Q543" s="68" t="e">
        <f aca="false">VLOOKUP(A543,BD_ORDENES!A:BE,52,FALSE())</f>
        <v>#N/A</v>
      </c>
      <c r="R543" s="68" t="e">
        <f aca="false">VLOOKUP(A543,BD_ORDENES!A:BE,25,FALSE())</f>
        <v>#N/A</v>
      </c>
      <c r="S543" s="68" t="e">
        <f aca="false">VLOOKUP(A543,BD_ORDENES!A:BE,22,FALSE())</f>
        <v>#N/A</v>
      </c>
      <c r="T543" s="65" t="e">
        <f aca="false">VLOOKUP(A543,BD_ORDENES!A:BE,55,FALSE())</f>
        <v>#N/A</v>
      </c>
      <c r="U543" s="68" t="e">
        <f aca="false">VLOOKUP(A543,BD_ORDENES!A:BE,57,FALSE())</f>
        <v>#N/A</v>
      </c>
      <c r="V543" s="70"/>
      <c r="W543" s="71"/>
    </row>
    <row r="544" s="72" customFormat="true" ht="98.25" hidden="false" customHeight="true" outlineLevel="0" collapsed="false">
      <c r="A544" s="62" t="n">
        <f aca="false">A543+1</f>
        <v>537</v>
      </c>
      <c r="B544" s="63" t="e">
        <f aca="false">VLOOKUP(A544,BD_ORDENES!A:BG,12,FALSE())</f>
        <v>#N/A</v>
      </c>
      <c r="C544" s="64" t="n">
        <v>537</v>
      </c>
      <c r="D544" s="65" t="e">
        <f aca="false">VLOOKUP(A544,BD_ORDENES!A:BE,10,0)</f>
        <v>#N/A</v>
      </c>
      <c r="E544" s="66" t="e">
        <f aca="false">VLOOKUP(A544,BD_ORDENES!A:BG,4,FALSE())</f>
        <v>#N/A</v>
      </c>
      <c r="F544" s="66" t="e">
        <f aca="false">VLOOKUP(A544,BD_ORDENES!A:BE,56,FALSE())</f>
        <v>#N/A</v>
      </c>
      <c r="G544" s="67" t="e">
        <f aca="false">VLOOKUP(A544,BD_ORDENES!A:BE,13,FALSE())</f>
        <v>#N/A</v>
      </c>
      <c r="H544" s="68" t="e">
        <f aca="false">VLOOKUP(A544,BD_ORDENES!A:BE,17,FALSE())</f>
        <v>#N/A</v>
      </c>
      <c r="I544" s="68" t="e">
        <f aca="false">VLOOKUP(A544,BD_ORDENES!A:BE,18,FALSE())</f>
        <v>#N/A</v>
      </c>
      <c r="J544" s="68" t="e">
        <f aca="false">VLOOKUP(A544,BD_ORDENES!A:BE,19,FALSE())</f>
        <v>#N/A</v>
      </c>
      <c r="K544" s="68" t="e">
        <f aca="false">VLOOKUP(A544,BD_ORDENES!A:BE,20,FALSE())</f>
        <v>#N/A</v>
      </c>
      <c r="L544" s="68" t="e">
        <f aca="false">VLOOKUP(A544,BD_ORDENES!A:BE,21,FALSE())</f>
        <v>#N/A</v>
      </c>
      <c r="M544" s="69" t="e">
        <f aca="false">VLOOKUP(A544,BD_ORDENES!A:BE,14,FALSE())</f>
        <v>#N/A</v>
      </c>
      <c r="N544" s="68" t="e">
        <f aca="false">VLOOKUP(A544,BD_ORDENES!A:BE,15,FALSE())</f>
        <v>#N/A</v>
      </c>
      <c r="O544" s="68" t="e">
        <f aca="false">VLOOKUP(A544,BD_ORDENES!A:BE,33,FALSE())</f>
        <v>#N/A</v>
      </c>
      <c r="P544" s="68" t="e">
        <f aca="false">VLOOKUP(A544,BD_ORDENES!A:BE,23,FALSE())</f>
        <v>#N/A</v>
      </c>
      <c r="Q544" s="68" t="e">
        <f aca="false">VLOOKUP(A544,BD_ORDENES!A:BE,52,FALSE())</f>
        <v>#N/A</v>
      </c>
      <c r="R544" s="68" t="e">
        <f aca="false">VLOOKUP(A544,BD_ORDENES!A:BE,25,FALSE())</f>
        <v>#N/A</v>
      </c>
      <c r="S544" s="68" t="e">
        <f aca="false">VLOOKUP(A544,BD_ORDENES!A:BE,22,FALSE())</f>
        <v>#N/A</v>
      </c>
      <c r="T544" s="65" t="e">
        <f aca="false">VLOOKUP(A544,BD_ORDENES!A:BE,55,FALSE())</f>
        <v>#N/A</v>
      </c>
      <c r="U544" s="68" t="e">
        <f aca="false">VLOOKUP(A544,BD_ORDENES!A:BE,57,FALSE())</f>
        <v>#N/A</v>
      </c>
      <c r="V544" s="70"/>
      <c r="W544" s="71"/>
    </row>
    <row r="545" s="72" customFormat="true" ht="98.25" hidden="false" customHeight="true" outlineLevel="0" collapsed="false">
      <c r="A545" s="62" t="n">
        <f aca="false">A544+1</f>
        <v>538</v>
      </c>
      <c r="B545" s="63" t="e">
        <f aca="false">VLOOKUP(A545,BD_ORDENES!A:BG,12,FALSE())</f>
        <v>#N/A</v>
      </c>
      <c r="C545" s="64" t="n">
        <v>538</v>
      </c>
      <c r="D545" s="65" t="e">
        <f aca="false">VLOOKUP(A545,BD_ORDENES!A:BE,10,0)</f>
        <v>#N/A</v>
      </c>
      <c r="E545" s="66" t="e">
        <f aca="false">VLOOKUP(A545,BD_ORDENES!A:BG,4,FALSE())</f>
        <v>#N/A</v>
      </c>
      <c r="F545" s="66" t="e">
        <f aca="false">VLOOKUP(A545,BD_ORDENES!A:BE,56,FALSE())</f>
        <v>#N/A</v>
      </c>
      <c r="G545" s="67" t="e">
        <f aca="false">VLOOKUP(A545,BD_ORDENES!A:BE,13,FALSE())</f>
        <v>#N/A</v>
      </c>
      <c r="H545" s="68" t="e">
        <f aca="false">VLOOKUP(A545,BD_ORDENES!A:BE,17,FALSE())</f>
        <v>#N/A</v>
      </c>
      <c r="I545" s="68" t="e">
        <f aca="false">VLOOKUP(A545,BD_ORDENES!A:BE,18,FALSE())</f>
        <v>#N/A</v>
      </c>
      <c r="J545" s="68" t="e">
        <f aca="false">VLOOKUP(A545,BD_ORDENES!A:BE,19,FALSE())</f>
        <v>#N/A</v>
      </c>
      <c r="K545" s="68" t="e">
        <f aca="false">VLOOKUP(A545,BD_ORDENES!A:BE,20,FALSE())</f>
        <v>#N/A</v>
      </c>
      <c r="L545" s="68" t="e">
        <f aca="false">VLOOKUP(A545,BD_ORDENES!A:BE,21,FALSE())</f>
        <v>#N/A</v>
      </c>
      <c r="M545" s="69" t="e">
        <f aca="false">VLOOKUP(A545,BD_ORDENES!A:BE,14,FALSE())</f>
        <v>#N/A</v>
      </c>
      <c r="N545" s="68" t="e">
        <f aca="false">VLOOKUP(A545,BD_ORDENES!A:BE,15,FALSE())</f>
        <v>#N/A</v>
      </c>
      <c r="O545" s="68" t="e">
        <f aca="false">VLOOKUP(A545,BD_ORDENES!A:BE,33,FALSE())</f>
        <v>#N/A</v>
      </c>
      <c r="P545" s="68" t="e">
        <f aca="false">VLOOKUP(A545,BD_ORDENES!A:BE,23,FALSE())</f>
        <v>#N/A</v>
      </c>
      <c r="Q545" s="68" t="e">
        <f aca="false">VLOOKUP(A545,BD_ORDENES!A:BE,52,FALSE())</f>
        <v>#N/A</v>
      </c>
      <c r="R545" s="68" t="e">
        <f aca="false">VLOOKUP(A545,BD_ORDENES!A:BE,25,FALSE())</f>
        <v>#N/A</v>
      </c>
      <c r="S545" s="68" t="e">
        <f aca="false">VLOOKUP(A545,BD_ORDENES!A:BE,22,FALSE())</f>
        <v>#N/A</v>
      </c>
      <c r="T545" s="65" t="e">
        <f aca="false">VLOOKUP(A545,BD_ORDENES!A:BE,55,FALSE())</f>
        <v>#N/A</v>
      </c>
      <c r="U545" s="68" t="e">
        <f aca="false">VLOOKUP(A545,BD_ORDENES!A:BE,57,FALSE())</f>
        <v>#N/A</v>
      </c>
      <c r="V545" s="70"/>
      <c r="W545" s="71"/>
    </row>
    <row r="546" s="72" customFormat="true" ht="98.25" hidden="false" customHeight="true" outlineLevel="0" collapsed="false">
      <c r="A546" s="62" t="n">
        <f aca="false">A545+1</f>
        <v>539</v>
      </c>
      <c r="B546" s="63" t="e">
        <f aca="false">VLOOKUP(A546,BD_ORDENES!A:BG,12,FALSE())</f>
        <v>#N/A</v>
      </c>
      <c r="C546" s="64" t="n">
        <v>539</v>
      </c>
      <c r="D546" s="65" t="e">
        <f aca="false">VLOOKUP(A546,BD_ORDENES!A:BE,10,0)</f>
        <v>#N/A</v>
      </c>
      <c r="E546" s="66" t="e">
        <f aca="false">VLOOKUP(A546,BD_ORDENES!A:BG,4,FALSE())</f>
        <v>#N/A</v>
      </c>
      <c r="F546" s="66" t="e">
        <f aca="false">VLOOKUP(A546,BD_ORDENES!A:BE,56,FALSE())</f>
        <v>#N/A</v>
      </c>
      <c r="G546" s="67" t="e">
        <f aca="false">VLOOKUP(A546,BD_ORDENES!A:BE,13,FALSE())</f>
        <v>#N/A</v>
      </c>
      <c r="H546" s="68" t="e">
        <f aca="false">VLOOKUP(A546,BD_ORDENES!A:BE,17,FALSE())</f>
        <v>#N/A</v>
      </c>
      <c r="I546" s="68" t="e">
        <f aca="false">VLOOKUP(A546,BD_ORDENES!A:BE,18,FALSE())</f>
        <v>#N/A</v>
      </c>
      <c r="J546" s="68" t="e">
        <f aca="false">VLOOKUP(A546,BD_ORDENES!A:BE,19,FALSE())</f>
        <v>#N/A</v>
      </c>
      <c r="K546" s="68" t="e">
        <f aca="false">VLOOKUP(A546,BD_ORDENES!A:BE,20,FALSE())</f>
        <v>#N/A</v>
      </c>
      <c r="L546" s="68" t="e">
        <f aca="false">VLOOKUP(A546,BD_ORDENES!A:BE,21,FALSE())</f>
        <v>#N/A</v>
      </c>
      <c r="M546" s="69" t="e">
        <f aca="false">VLOOKUP(A546,BD_ORDENES!A:BE,14,FALSE())</f>
        <v>#N/A</v>
      </c>
      <c r="N546" s="68" t="e">
        <f aca="false">VLOOKUP(A546,BD_ORDENES!A:BE,15,FALSE())</f>
        <v>#N/A</v>
      </c>
      <c r="O546" s="68" t="e">
        <f aca="false">VLOOKUP(A546,BD_ORDENES!A:BE,33,FALSE())</f>
        <v>#N/A</v>
      </c>
      <c r="P546" s="68" t="e">
        <f aca="false">VLOOKUP(A546,BD_ORDENES!A:BE,23,FALSE())</f>
        <v>#N/A</v>
      </c>
      <c r="Q546" s="68" t="e">
        <f aca="false">VLOOKUP(A546,BD_ORDENES!A:BE,52,FALSE())</f>
        <v>#N/A</v>
      </c>
      <c r="R546" s="68" t="e">
        <f aca="false">VLOOKUP(A546,BD_ORDENES!A:BE,25,FALSE())</f>
        <v>#N/A</v>
      </c>
      <c r="S546" s="68" t="e">
        <f aca="false">VLOOKUP(A546,BD_ORDENES!A:BE,22,FALSE())</f>
        <v>#N/A</v>
      </c>
      <c r="T546" s="65" t="e">
        <f aca="false">VLOOKUP(A546,BD_ORDENES!A:BE,55,FALSE())</f>
        <v>#N/A</v>
      </c>
      <c r="U546" s="68" t="e">
        <f aca="false">VLOOKUP(A546,BD_ORDENES!A:BE,57,FALSE())</f>
        <v>#N/A</v>
      </c>
      <c r="V546" s="70"/>
      <c r="W546" s="71"/>
    </row>
    <row r="547" s="72" customFormat="true" ht="98.25" hidden="false" customHeight="true" outlineLevel="0" collapsed="false">
      <c r="A547" s="62" t="n">
        <f aca="false">A546+1</f>
        <v>540</v>
      </c>
      <c r="B547" s="63" t="e">
        <f aca="false">VLOOKUP(A547,BD_ORDENES!A:BG,12,FALSE())</f>
        <v>#N/A</v>
      </c>
      <c r="C547" s="64" t="n">
        <v>540</v>
      </c>
      <c r="D547" s="65" t="e">
        <f aca="false">VLOOKUP(A547,BD_ORDENES!A:BE,10,0)</f>
        <v>#N/A</v>
      </c>
      <c r="E547" s="66" t="e">
        <f aca="false">VLOOKUP(A547,BD_ORDENES!A:BG,4,FALSE())</f>
        <v>#N/A</v>
      </c>
      <c r="F547" s="66" t="e">
        <f aca="false">VLOOKUP(A547,BD_ORDENES!A:BE,56,FALSE())</f>
        <v>#N/A</v>
      </c>
      <c r="G547" s="67" t="e">
        <f aca="false">VLOOKUP(A547,BD_ORDENES!A:BE,13,FALSE())</f>
        <v>#N/A</v>
      </c>
      <c r="H547" s="68" t="e">
        <f aca="false">VLOOKUP(A547,BD_ORDENES!A:BE,17,FALSE())</f>
        <v>#N/A</v>
      </c>
      <c r="I547" s="68" t="e">
        <f aca="false">VLOOKUP(A547,BD_ORDENES!A:BE,18,FALSE())</f>
        <v>#N/A</v>
      </c>
      <c r="J547" s="68" t="e">
        <f aca="false">VLOOKUP(A547,BD_ORDENES!A:BE,19,FALSE())</f>
        <v>#N/A</v>
      </c>
      <c r="K547" s="68" t="e">
        <f aca="false">VLOOKUP(A547,BD_ORDENES!A:BE,20,FALSE())</f>
        <v>#N/A</v>
      </c>
      <c r="L547" s="68" t="e">
        <f aca="false">VLOOKUP(A547,BD_ORDENES!A:BE,21,FALSE())</f>
        <v>#N/A</v>
      </c>
      <c r="M547" s="69" t="e">
        <f aca="false">VLOOKUP(A547,BD_ORDENES!A:BE,14,FALSE())</f>
        <v>#N/A</v>
      </c>
      <c r="N547" s="68" t="e">
        <f aca="false">VLOOKUP(A547,BD_ORDENES!A:BE,15,FALSE())</f>
        <v>#N/A</v>
      </c>
      <c r="O547" s="68" t="e">
        <f aca="false">VLOOKUP(A547,BD_ORDENES!A:BE,33,FALSE())</f>
        <v>#N/A</v>
      </c>
      <c r="P547" s="68" t="e">
        <f aca="false">VLOOKUP(A547,BD_ORDENES!A:BE,23,FALSE())</f>
        <v>#N/A</v>
      </c>
      <c r="Q547" s="68" t="e">
        <f aca="false">VLOOKUP(A547,BD_ORDENES!A:BE,52,FALSE())</f>
        <v>#N/A</v>
      </c>
      <c r="R547" s="68" t="e">
        <f aca="false">VLOOKUP(A547,BD_ORDENES!A:BE,25,FALSE())</f>
        <v>#N/A</v>
      </c>
      <c r="S547" s="68" t="e">
        <f aca="false">VLOOKUP(A547,BD_ORDENES!A:BE,22,FALSE())</f>
        <v>#N/A</v>
      </c>
      <c r="T547" s="65" t="e">
        <f aca="false">VLOOKUP(A547,BD_ORDENES!A:BE,55,FALSE())</f>
        <v>#N/A</v>
      </c>
      <c r="U547" s="68" t="e">
        <f aca="false">VLOOKUP(A547,BD_ORDENES!A:BE,57,FALSE())</f>
        <v>#N/A</v>
      </c>
      <c r="V547" s="70"/>
      <c r="W547" s="71"/>
    </row>
    <row r="548" s="72" customFormat="true" ht="98.25" hidden="false" customHeight="true" outlineLevel="0" collapsed="false">
      <c r="A548" s="62" t="n">
        <f aca="false">A547+1</f>
        <v>541</v>
      </c>
      <c r="B548" s="63" t="e">
        <f aca="false">VLOOKUP(A548,BD_ORDENES!A:BG,12,FALSE())</f>
        <v>#N/A</v>
      </c>
      <c r="C548" s="64" t="n">
        <v>541</v>
      </c>
      <c r="D548" s="65" t="e">
        <f aca="false">VLOOKUP(A548,BD_ORDENES!A:BE,10,0)</f>
        <v>#N/A</v>
      </c>
      <c r="E548" s="66" t="e">
        <f aca="false">VLOOKUP(A548,BD_ORDENES!A:BG,4,FALSE())</f>
        <v>#N/A</v>
      </c>
      <c r="F548" s="66" t="e">
        <f aca="false">VLOOKUP(A548,BD_ORDENES!A:BE,56,FALSE())</f>
        <v>#N/A</v>
      </c>
      <c r="G548" s="67" t="e">
        <f aca="false">VLOOKUP(A548,BD_ORDENES!A:BE,13,FALSE())</f>
        <v>#N/A</v>
      </c>
      <c r="H548" s="68" t="e">
        <f aca="false">VLOOKUP(A548,BD_ORDENES!A:BE,17,FALSE())</f>
        <v>#N/A</v>
      </c>
      <c r="I548" s="68" t="e">
        <f aca="false">VLOOKUP(A548,BD_ORDENES!A:BE,18,FALSE())</f>
        <v>#N/A</v>
      </c>
      <c r="J548" s="68" t="e">
        <f aca="false">VLOOKUP(A548,BD_ORDENES!A:BE,19,FALSE())</f>
        <v>#N/A</v>
      </c>
      <c r="K548" s="68" t="e">
        <f aca="false">VLOOKUP(A548,BD_ORDENES!A:BE,20,FALSE())</f>
        <v>#N/A</v>
      </c>
      <c r="L548" s="68" t="e">
        <f aca="false">VLOOKUP(A548,BD_ORDENES!A:BE,21,FALSE())</f>
        <v>#N/A</v>
      </c>
      <c r="M548" s="69" t="e">
        <f aca="false">VLOOKUP(A548,BD_ORDENES!A:BE,14,FALSE())</f>
        <v>#N/A</v>
      </c>
      <c r="N548" s="68" t="e">
        <f aca="false">VLOOKUP(A548,BD_ORDENES!A:BE,15,FALSE())</f>
        <v>#N/A</v>
      </c>
      <c r="O548" s="68" t="e">
        <f aca="false">VLOOKUP(A548,BD_ORDENES!A:BE,33,FALSE())</f>
        <v>#N/A</v>
      </c>
      <c r="P548" s="68" t="e">
        <f aca="false">VLOOKUP(A548,BD_ORDENES!A:BE,23,FALSE())</f>
        <v>#N/A</v>
      </c>
      <c r="Q548" s="68" t="e">
        <f aca="false">VLOOKUP(A548,BD_ORDENES!A:BE,52,FALSE())</f>
        <v>#N/A</v>
      </c>
      <c r="R548" s="68" t="e">
        <f aca="false">VLOOKUP(A548,BD_ORDENES!A:BE,25,FALSE())</f>
        <v>#N/A</v>
      </c>
      <c r="S548" s="68" t="e">
        <f aca="false">VLOOKUP(A548,BD_ORDENES!A:BE,22,FALSE())</f>
        <v>#N/A</v>
      </c>
      <c r="T548" s="65" t="e">
        <f aca="false">VLOOKUP(A548,BD_ORDENES!A:BE,55,FALSE())</f>
        <v>#N/A</v>
      </c>
      <c r="U548" s="68" t="e">
        <f aca="false">VLOOKUP(A548,BD_ORDENES!A:BE,57,FALSE())</f>
        <v>#N/A</v>
      </c>
      <c r="V548" s="70"/>
      <c r="W548" s="71"/>
    </row>
    <row r="549" s="72" customFormat="true" ht="98.25" hidden="false" customHeight="true" outlineLevel="0" collapsed="false">
      <c r="A549" s="62" t="n">
        <f aca="false">A548+1</f>
        <v>542</v>
      </c>
      <c r="B549" s="63" t="e">
        <f aca="false">VLOOKUP(A549,BD_ORDENES!A:BG,12,FALSE())</f>
        <v>#N/A</v>
      </c>
      <c r="C549" s="64" t="n">
        <v>542</v>
      </c>
      <c r="D549" s="65" t="e">
        <f aca="false">VLOOKUP(A549,BD_ORDENES!A:BE,10,0)</f>
        <v>#N/A</v>
      </c>
      <c r="E549" s="66" t="e">
        <f aca="false">VLOOKUP(A549,BD_ORDENES!A:BG,4,FALSE())</f>
        <v>#N/A</v>
      </c>
      <c r="F549" s="66" t="e">
        <f aca="false">VLOOKUP(A549,BD_ORDENES!A:BE,56,FALSE())</f>
        <v>#N/A</v>
      </c>
      <c r="G549" s="67" t="e">
        <f aca="false">VLOOKUP(A549,BD_ORDENES!A:BE,13,FALSE())</f>
        <v>#N/A</v>
      </c>
      <c r="H549" s="68" t="e">
        <f aca="false">VLOOKUP(A549,BD_ORDENES!A:BE,17,FALSE())</f>
        <v>#N/A</v>
      </c>
      <c r="I549" s="68" t="e">
        <f aca="false">VLOOKUP(A549,BD_ORDENES!A:BE,18,FALSE())</f>
        <v>#N/A</v>
      </c>
      <c r="J549" s="68" t="e">
        <f aca="false">VLOOKUP(A549,BD_ORDENES!A:BE,19,FALSE())</f>
        <v>#N/A</v>
      </c>
      <c r="K549" s="68" t="e">
        <f aca="false">VLOOKUP(A549,BD_ORDENES!A:BE,20,FALSE())</f>
        <v>#N/A</v>
      </c>
      <c r="L549" s="68" t="e">
        <f aca="false">VLOOKUP(A549,BD_ORDENES!A:BE,21,FALSE())</f>
        <v>#N/A</v>
      </c>
      <c r="M549" s="69" t="e">
        <f aca="false">VLOOKUP(A549,BD_ORDENES!A:BE,14,FALSE())</f>
        <v>#N/A</v>
      </c>
      <c r="N549" s="68" t="e">
        <f aca="false">VLOOKUP(A549,BD_ORDENES!A:BE,15,FALSE())</f>
        <v>#N/A</v>
      </c>
      <c r="O549" s="68" t="e">
        <f aca="false">VLOOKUP(A549,BD_ORDENES!A:BE,33,FALSE())</f>
        <v>#N/A</v>
      </c>
      <c r="P549" s="68" t="e">
        <f aca="false">VLOOKUP(A549,BD_ORDENES!A:BE,23,FALSE())</f>
        <v>#N/A</v>
      </c>
      <c r="Q549" s="68" t="e">
        <f aca="false">VLOOKUP(A549,BD_ORDENES!A:BE,52,FALSE())</f>
        <v>#N/A</v>
      </c>
      <c r="R549" s="68" t="e">
        <f aca="false">VLOOKUP(A549,BD_ORDENES!A:BE,25,FALSE())</f>
        <v>#N/A</v>
      </c>
      <c r="S549" s="68" t="e">
        <f aca="false">VLOOKUP(A549,BD_ORDENES!A:BE,22,FALSE())</f>
        <v>#N/A</v>
      </c>
      <c r="T549" s="65" t="e">
        <f aca="false">VLOOKUP(A549,BD_ORDENES!A:BE,55,FALSE())</f>
        <v>#N/A</v>
      </c>
      <c r="U549" s="68" t="e">
        <f aca="false">VLOOKUP(A549,BD_ORDENES!A:BE,57,FALSE())</f>
        <v>#N/A</v>
      </c>
      <c r="V549" s="70"/>
      <c r="W549" s="71"/>
    </row>
    <row r="550" s="72" customFormat="true" ht="98.25" hidden="false" customHeight="true" outlineLevel="0" collapsed="false">
      <c r="A550" s="62" t="n">
        <f aca="false">A549+1</f>
        <v>543</v>
      </c>
      <c r="B550" s="63" t="e">
        <f aca="false">VLOOKUP(A550,BD_ORDENES!A:BG,12,FALSE())</f>
        <v>#N/A</v>
      </c>
      <c r="C550" s="64" t="n">
        <v>543</v>
      </c>
      <c r="D550" s="65" t="e">
        <f aca="false">VLOOKUP(A550,BD_ORDENES!A:BE,10,0)</f>
        <v>#N/A</v>
      </c>
      <c r="E550" s="66" t="e">
        <f aca="false">VLOOKUP(A550,BD_ORDENES!A:BG,4,FALSE())</f>
        <v>#N/A</v>
      </c>
      <c r="F550" s="66" t="e">
        <f aca="false">VLOOKUP(A550,BD_ORDENES!A:BE,56,FALSE())</f>
        <v>#N/A</v>
      </c>
      <c r="G550" s="67" t="e">
        <f aca="false">VLOOKUP(A550,BD_ORDENES!A:BE,13,FALSE())</f>
        <v>#N/A</v>
      </c>
      <c r="H550" s="68" t="e">
        <f aca="false">VLOOKUP(A550,BD_ORDENES!A:BE,17,FALSE())</f>
        <v>#N/A</v>
      </c>
      <c r="I550" s="68" t="e">
        <f aca="false">VLOOKUP(A550,BD_ORDENES!A:BE,18,FALSE())</f>
        <v>#N/A</v>
      </c>
      <c r="J550" s="68" t="e">
        <f aca="false">VLOOKUP(A550,BD_ORDENES!A:BE,19,FALSE())</f>
        <v>#N/A</v>
      </c>
      <c r="K550" s="68" t="e">
        <f aca="false">VLOOKUP(A550,BD_ORDENES!A:BE,20,FALSE())</f>
        <v>#N/A</v>
      </c>
      <c r="L550" s="68" t="e">
        <f aca="false">VLOOKUP(A550,BD_ORDENES!A:BE,21,FALSE())</f>
        <v>#N/A</v>
      </c>
      <c r="M550" s="69" t="e">
        <f aca="false">VLOOKUP(A550,BD_ORDENES!A:BE,14,FALSE())</f>
        <v>#N/A</v>
      </c>
      <c r="N550" s="68" t="e">
        <f aca="false">VLOOKUP(A550,BD_ORDENES!A:BE,15,FALSE())</f>
        <v>#N/A</v>
      </c>
      <c r="O550" s="68" t="e">
        <f aca="false">VLOOKUP(A550,BD_ORDENES!A:BE,33,FALSE())</f>
        <v>#N/A</v>
      </c>
      <c r="P550" s="68" t="e">
        <f aca="false">VLOOKUP(A550,BD_ORDENES!A:BE,23,FALSE())</f>
        <v>#N/A</v>
      </c>
      <c r="Q550" s="68" t="e">
        <f aca="false">VLOOKUP(A550,BD_ORDENES!A:BE,52,FALSE())</f>
        <v>#N/A</v>
      </c>
      <c r="R550" s="68" t="e">
        <f aca="false">VLOOKUP(A550,BD_ORDENES!A:BE,25,FALSE())</f>
        <v>#N/A</v>
      </c>
      <c r="S550" s="68" t="e">
        <f aca="false">VLOOKUP(A550,BD_ORDENES!A:BE,22,FALSE())</f>
        <v>#N/A</v>
      </c>
      <c r="T550" s="65" t="e">
        <f aca="false">VLOOKUP(A550,BD_ORDENES!A:BE,55,FALSE())</f>
        <v>#N/A</v>
      </c>
      <c r="U550" s="68" t="e">
        <f aca="false">VLOOKUP(A550,BD_ORDENES!A:BE,57,FALSE())</f>
        <v>#N/A</v>
      </c>
      <c r="V550" s="70"/>
      <c r="W550" s="71"/>
    </row>
    <row r="551" s="72" customFormat="true" ht="98.25" hidden="false" customHeight="true" outlineLevel="0" collapsed="false">
      <c r="A551" s="62" t="n">
        <f aca="false">A550+1</f>
        <v>544</v>
      </c>
      <c r="B551" s="63" t="e">
        <f aca="false">VLOOKUP(A551,BD_ORDENES!A:BG,12,FALSE())</f>
        <v>#N/A</v>
      </c>
      <c r="C551" s="64" t="n">
        <v>544</v>
      </c>
      <c r="D551" s="65" t="e">
        <f aca="false">VLOOKUP(A551,BD_ORDENES!A:BE,10,0)</f>
        <v>#N/A</v>
      </c>
      <c r="E551" s="66" t="e">
        <f aca="false">VLOOKUP(A551,BD_ORDENES!A:BG,4,FALSE())</f>
        <v>#N/A</v>
      </c>
      <c r="F551" s="66" t="e">
        <f aca="false">VLOOKUP(A551,BD_ORDENES!A:BE,56,FALSE())</f>
        <v>#N/A</v>
      </c>
      <c r="G551" s="67" t="e">
        <f aca="false">VLOOKUP(A551,BD_ORDENES!A:BE,13,FALSE())</f>
        <v>#N/A</v>
      </c>
      <c r="H551" s="68" t="e">
        <f aca="false">VLOOKUP(A551,BD_ORDENES!A:BE,17,FALSE())</f>
        <v>#N/A</v>
      </c>
      <c r="I551" s="68" t="e">
        <f aca="false">VLOOKUP(A551,BD_ORDENES!A:BE,18,FALSE())</f>
        <v>#N/A</v>
      </c>
      <c r="J551" s="68" t="e">
        <f aca="false">VLOOKUP(A551,BD_ORDENES!A:BE,19,FALSE())</f>
        <v>#N/A</v>
      </c>
      <c r="K551" s="68" t="e">
        <f aca="false">VLOOKUP(A551,BD_ORDENES!A:BE,20,FALSE())</f>
        <v>#N/A</v>
      </c>
      <c r="L551" s="68" t="e">
        <f aca="false">VLOOKUP(A551,BD_ORDENES!A:BE,21,FALSE())</f>
        <v>#N/A</v>
      </c>
      <c r="M551" s="69" t="e">
        <f aca="false">VLOOKUP(A551,BD_ORDENES!A:BE,14,FALSE())</f>
        <v>#N/A</v>
      </c>
      <c r="N551" s="68" t="e">
        <f aca="false">VLOOKUP(A551,BD_ORDENES!A:BE,15,FALSE())</f>
        <v>#N/A</v>
      </c>
      <c r="O551" s="68" t="e">
        <f aca="false">VLOOKUP(A551,BD_ORDENES!A:BE,33,FALSE())</f>
        <v>#N/A</v>
      </c>
      <c r="P551" s="68" t="e">
        <f aca="false">VLOOKUP(A551,BD_ORDENES!A:BE,23,FALSE())</f>
        <v>#N/A</v>
      </c>
      <c r="Q551" s="68" t="e">
        <f aca="false">VLOOKUP(A551,BD_ORDENES!A:BE,52,FALSE())</f>
        <v>#N/A</v>
      </c>
      <c r="R551" s="68" t="e">
        <f aca="false">VLOOKUP(A551,BD_ORDENES!A:BE,25,FALSE())</f>
        <v>#N/A</v>
      </c>
      <c r="S551" s="68" t="e">
        <f aca="false">VLOOKUP(A551,BD_ORDENES!A:BE,22,FALSE())</f>
        <v>#N/A</v>
      </c>
      <c r="T551" s="65" t="e">
        <f aca="false">VLOOKUP(A551,BD_ORDENES!A:BE,55,FALSE())</f>
        <v>#N/A</v>
      </c>
      <c r="U551" s="68" t="e">
        <f aca="false">VLOOKUP(A551,BD_ORDENES!A:BE,57,FALSE())</f>
        <v>#N/A</v>
      </c>
      <c r="V551" s="70"/>
      <c r="W551" s="71"/>
    </row>
    <row r="552" s="72" customFormat="true" ht="98.25" hidden="false" customHeight="true" outlineLevel="0" collapsed="false">
      <c r="A552" s="62" t="n">
        <f aca="false">A551+1</f>
        <v>545</v>
      </c>
      <c r="B552" s="63" t="e">
        <f aca="false">VLOOKUP(A552,BD_ORDENES!A:BG,12,FALSE())</f>
        <v>#N/A</v>
      </c>
      <c r="C552" s="64" t="n">
        <v>545</v>
      </c>
      <c r="D552" s="65" t="e">
        <f aca="false">VLOOKUP(A552,BD_ORDENES!A:BE,10,0)</f>
        <v>#N/A</v>
      </c>
      <c r="E552" s="66" t="e">
        <f aca="false">VLOOKUP(A552,BD_ORDENES!A:BG,4,FALSE())</f>
        <v>#N/A</v>
      </c>
      <c r="F552" s="66" t="e">
        <f aca="false">VLOOKUP(A552,BD_ORDENES!A:BE,56,FALSE())</f>
        <v>#N/A</v>
      </c>
      <c r="G552" s="67" t="e">
        <f aca="false">VLOOKUP(A552,BD_ORDENES!A:BE,13,FALSE())</f>
        <v>#N/A</v>
      </c>
      <c r="H552" s="68" t="e">
        <f aca="false">VLOOKUP(A552,BD_ORDENES!A:BE,17,FALSE())</f>
        <v>#N/A</v>
      </c>
      <c r="I552" s="68" t="e">
        <f aca="false">VLOOKUP(A552,BD_ORDENES!A:BE,18,FALSE())</f>
        <v>#N/A</v>
      </c>
      <c r="J552" s="68" t="e">
        <f aca="false">VLOOKUP(A552,BD_ORDENES!A:BE,19,FALSE())</f>
        <v>#N/A</v>
      </c>
      <c r="K552" s="68" t="e">
        <f aca="false">VLOOKUP(A552,BD_ORDENES!A:BE,20,FALSE())</f>
        <v>#N/A</v>
      </c>
      <c r="L552" s="68" t="e">
        <f aca="false">VLOOKUP(A552,BD_ORDENES!A:BE,21,FALSE())</f>
        <v>#N/A</v>
      </c>
      <c r="M552" s="69" t="e">
        <f aca="false">VLOOKUP(A552,BD_ORDENES!A:BE,14,FALSE())</f>
        <v>#N/A</v>
      </c>
      <c r="N552" s="68" t="e">
        <f aca="false">VLOOKUP(A552,BD_ORDENES!A:BE,15,FALSE())</f>
        <v>#N/A</v>
      </c>
      <c r="O552" s="68" t="e">
        <f aca="false">VLOOKUP(A552,BD_ORDENES!A:BE,33,FALSE())</f>
        <v>#N/A</v>
      </c>
      <c r="P552" s="68" t="e">
        <f aca="false">VLOOKUP(A552,BD_ORDENES!A:BE,23,FALSE())</f>
        <v>#N/A</v>
      </c>
      <c r="Q552" s="68" t="e">
        <f aca="false">VLOOKUP(A552,BD_ORDENES!A:BE,52,FALSE())</f>
        <v>#N/A</v>
      </c>
      <c r="R552" s="68" t="e">
        <f aca="false">VLOOKUP(A552,BD_ORDENES!A:BE,25,FALSE())</f>
        <v>#N/A</v>
      </c>
      <c r="S552" s="68" t="e">
        <f aca="false">VLOOKUP(A552,BD_ORDENES!A:BE,22,FALSE())</f>
        <v>#N/A</v>
      </c>
      <c r="T552" s="65" t="e">
        <f aca="false">VLOOKUP(A552,BD_ORDENES!A:BE,55,FALSE())</f>
        <v>#N/A</v>
      </c>
      <c r="U552" s="68" t="e">
        <f aca="false">VLOOKUP(A552,BD_ORDENES!A:BE,57,FALSE())</f>
        <v>#N/A</v>
      </c>
      <c r="V552" s="70"/>
      <c r="W552" s="71"/>
    </row>
    <row r="553" s="72" customFormat="true" ht="98.25" hidden="false" customHeight="true" outlineLevel="0" collapsed="false">
      <c r="A553" s="62" t="n">
        <f aca="false">A552+1</f>
        <v>546</v>
      </c>
      <c r="B553" s="63" t="e">
        <f aca="false">VLOOKUP(A553,BD_ORDENES!A:BG,12,FALSE())</f>
        <v>#N/A</v>
      </c>
      <c r="C553" s="64" t="n">
        <v>546</v>
      </c>
      <c r="D553" s="65" t="e">
        <f aca="false">VLOOKUP(A553,BD_ORDENES!A:BE,10,0)</f>
        <v>#N/A</v>
      </c>
      <c r="E553" s="66" t="e">
        <f aca="false">VLOOKUP(A553,BD_ORDENES!A:BG,4,FALSE())</f>
        <v>#N/A</v>
      </c>
      <c r="F553" s="66" t="e">
        <f aca="false">VLOOKUP(A553,BD_ORDENES!A:BE,56,FALSE())</f>
        <v>#N/A</v>
      </c>
      <c r="G553" s="67" t="e">
        <f aca="false">VLOOKUP(A553,BD_ORDENES!A:BE,13,FALSE())</f>
        <v>#N/A</v>
      </c>
      <c r="H553" s="68" t="e">
        <f aca="false">VLOOKUP(A553,BD_ORDENES!A:BE,17,FALSE())</f>
        <v>#N/A</v>
      </c>
      <c r="I553" s="68" t="e">
        <f aca="false">VLOOKUP(A553,BD_ORDENES!A:BE,18,FALSE())</f>
        <v>#N/A</v>
      </c>
      <c r="J553" s="68" t="e">
        <f aca="false">VLOOKUP(A553,BD_ORDENES!A:BE,19,FALSE())</f>
        <v>#N/A</v>
      </c>
      <c r="K553" s="68" t="e">
        <f aca="false">VLOOKUP(A553,BD_ORDENES!A:BE,20,FALSE())</f>
        <v>#N/A</v>
      </c>
      <c r="L553" s="68" t="e">
        <f aca="false">VLOOKUP(A553,BD_ORDENES!A:BE,21,FALSE())</f>
        <v>#N/A</v>
      </c>
      <c r="M553" s="69" t="e">
        <f aca="false">VLOOKUP(A553,BD_ORDENES!A:BE,14,FALSE())</f>
        <v>#N/A</v>
      </c>
      <c r="N553" s="68" t="e">
        <f aca="false">VLOOKUP(A553,BD_ORDENES!A:BE,15,FALSE())</f>
        <v>#N/A</v>
      </c>
      <c r="O553" s="68" t="e">
        <f aca="false">VLOOKUP(A553,BD_ORDENES!A:BE,33,FALSE())</f>
        <v>#N/A</v>
      </c>
      <c r="P553" s="68" t="e">
        <f aca="false">VLOOKUP(A553,BD_ORDENES!A:BE,23,FALSE())</f>
        <v>#N/A</v>
      </c>
      <c r="Q553" s="68" t="e">
        <f aca="false">VLOOKUP(A553,BD_ORDENES!A:BE,52,FALSE())</f>
        <v>#N/A</v>
      </c>
      <c r="R553" s="68" t="e">
        <f aca="false">VLOOKUP(A553,BD_ORDENES!A:BE,25,FALSE())</f>
        <v>#N/A</v>
      </c>
      <c r="S553" s="68" t="e">
        <f aca="false">VLOOKUP(A553,BD_ORDENES!A:BE,22,FALSE())</f>
        <v>#N/A</v>
      </c>
      <c r="T553" s="65" t="e">
        <f aca="false">VLOOKUP(A553,BD_ORDENES!A:BE,55,FALSE())</f>
        <v>#N/A</v>
      </c>
      <c r="U553" s="68" t="e">
        <f aca="false">VLOOKUP(A553,BD_ORDENES!A:BE,57,FALSE())</f>
        <v>#N/A</v>
      </c>
      <c r="V553" s="70"/>
      <c r="W553" s="71"/>
    </row>
    <row r="554" s="72" customFormat="true" ht="98.25" hidden="false" customHeight="true" outlineLevel="0" collapsed="false">
      <c r="A554" s="62" t="n">
        <f aca="false">A553+1</f>
        <v>547</v>
      </c>
      <c r="B554" s="63" t="e">
        <f aca="false">VLOOKUP(A554,BD_ORDENES!A:BG,12,FALSE())</f>
        <v>#N/A</v>
      </c>
      <c r="C554" s="64" t="n">
        <v>547</v>
      </c>
      <c r="D554" s="65" t="e">
        <f aca="false">VLOOKUP(A554,BD_ORDENES!A:BE,10,0)</f>
        <v>#N/A</v>
      </c>
      <c r="E554" s="66" t="e">
        <f aca="false">VLOOKUP(A554,BD_ORDENES!A:BG,4,FALSE())</f>
        <v>#N/A</v>
      </c>
      <c r="F554" s="66" t="e">
        <f aca="false">VLOOKUP(A554,BD_ORDENES!A:BE,56,FALSE())</f>
        <v>#N/A</v>
      </c>
      <c r="G554" s="67" t="e">
        <f aca="false">VLOOKUP(A554,BD_ORDENES!A:BE,13,FALSE())</f>
        <v>#N/A</v>
      </c>
      <c r="H554" s="68" t="e">
        <f aca="false">VLOOKUP(A554,BD_ORDENES!A:BE,17,FALSE())</f>
        <v>#N/A</v>
      </c>
      <c r="I554" s="68" t="e">
        <f aca="false">VLOOKUP(A554,BD_ORDENES!A:BE,18,FALSE())</f>
        <v>#N/A</v>
      </c>
      <c r="J554" s="68" t="e">
        <f aca="false">VLOOKUP(A554,BD_ORDENES!A:BE,19,FALSE())</f>
        <v>#N/A</v>
      </c>
      <c r="K554" s="68" t="e">
        <f aca="false">VLOOKUP(A554,BD_ORDENES!A:BE,20,FALSE())</f>
        <v>#N/A</v>
      </c>
      <c r="L554" s="68" t="e">
        <f aca="false">VLOOKUP(A554,BD_ORDENES!A:BE,21,FALSE())</f>
        <v>#N/A</v>
      </c>
      <c r="M554" s="69" t="e">
        <f aca="false">VLOOKUP(A554,BD_ORDENES!A:BE,14,FALSE())</f>
        <v>#N/A</v>
      </c>
      <c r="N554" s="68" t="e">
        <f aca="false">VLOOKUP(A554,BD_ORDENES!A:BE,15,FALSE())</f>
        <v>#N/A</v>
      </c>
      <c r="O554" s="68" t="e">
        <f aca="false">VLOOKUP(A554,BD_ORDENES!A:BE,33,FALSE())</f>
        <v>#N/A</v>
      </c>
      <c r="P554" s="68" t="e">
        <f aca="false">VLOOKUP(A554,BD_ORDENES!A:BE,23,FALSE())</f>
        <v>#N/A</v>
      </c>
      <c r="Q554" s="68" t="e">
        <f aca="false">VLOOKUP(A554,BD_ORDENES!A:BE,52,FALSE())</f>
        <v>#N/A</v>
      </c>
      <c r="R554" s="68" t="e">
        <f aca="false">VLOOKUP(A554,BD_ORDENES!A:BE,25,FALSE())</f>
        <v>#N/A</v>
      </c>
      <c r="S554" s="68" t="e">
        <f aca="false">VLOOKUP(A554,BD_ORDENES!A:BE,22,FALSE())</f>
        <v>#N/A</v>
      </c>
      <c r="T554" s="65" t="e">
        <f aca="false">VLOOKUP(A554,BD_ORDENES!A:BE,55,FALSE())</f>
        <v>#N/A</v>
      </c>
      <c r="U554" s="68" t="e">
        <f aca="false">VLOOKUP(A554,BD_ORDENES!A:BE,57,FALSE())</f>
        <v>#N/A</v>
      </c>
      <c r="V554" s="70"/>
      <c r="W554" s="71"/>
    </row>
    <row r="555" s="72" customFormat="true" ht="98.25" hidden="false" customHeight="true" outlineLevel="0" collapsed="false">
      <c r="A555" s="62" t="n">
        <f aca="false">A554+1</f>
        <v>548</v>
      </c>
      <c r="B555" s="63" t="e">
        <f aca="false">VLOOKUP(A555,BD_ORDENES!A:BG,12,FALSE())</f>
        <v>#N/A</v>
      </c>
      <c r="C555" s="64" t="n">
        <v>548</v>
      </c>
      <c r="D555" s="65" t="e">
        <f aca="false">VLOOKUP(A555,BD_ORDENES!A:BE,10,0)</f>
        <v>#N/A</v>
      </c>
      <c r="E555" s="66" t="e">
        <f aca="false">VLOOKUP(A555,BD_ORDENES!A:BG,4,FALSE())</f>
        <v>#N/A</v>
      </c>
      <c r="F555" s="66" t="e">
        <f aca="false">VLOOKUP(A555,BD_ORDENES!A:BE,56,FALSE())</f>
        <v>#N/A</v>
      </c>
      <c r="G555" s="67" t="e">
        <f aca="false">VLOOKUP(A555,BD_ORDENES!A:BE,13,FALSE())</f>
        <v>#N/A</v>
      </c>
      <c r="H555" s="68" t="e">
        <f aca="false">VLOOKUP(A555,BD_ORDENES!A:BE,17,FALSE())</f>
        <v>#N/A</v>
      </c>
      <c r="I555" s="68" t="e">
        <f aca="false">VLOOKUP(A555,BD_ORDENES!A:BE,18,FALSE())</f>
        <v>#N/A</v>
      </c>
      <c r="J555" s="68" t="e">
        <f aca="false">VLOOKUP(A555,BD_ORDENES!A:BE,19,FALSE())</f>
        <v>#N/A</v>
      </c>
      <c r="K555" s="68" t="e">
        <f aca="false">VLOOKUP(A555,BD_ORDENES!A:BE,20,FALSE())</f>
        <v>#N/A</v>
      </c>
      <c r="L555" s="68" t="e">
        <f aca="false">VLOOKUP(A555,BD_ORDENES!A:BE,21,FALSE())</f>
        <v>#N/A</v>
      </c>
      <c r="M555" s="69" t="e">
        <f aca="false">VLOOKUP(A555,BD_ORDENES!A:BE,14,FALSE())</f>
        <v>#N/A</v>
      </c>
      <c r="N555" s="68" t="e">
        <f aca="false">VLOOKUP(A555,BD_ORDENES!A:BE,15,FALSE())</f>
        <v>#N/A</v>
      </c>
      <c r="O555" s="68" t="e">
        <f aca="false">VLOOKUP(A555,BD_ORDENES!A:BE,33,FALSE())</f>
        <v>#N/A</v>
      </c>
      <c r="P555" s="68" t="e">
        <f aca="false">VLOOKUP(A555,BD_ORDENES!A:BE,23,FALSE())</f>
        <v>#N/A</v>
      </c>
      <c r="Q555" s="68" t="e">
        <f aca="false">VLOOKUP(A555,BD_ORDENES!A:BE,52,FALSE())</f>
        <v>#N/A</v>
      </c>
      <c r="R555" s="68" t="e">
        <f aca="false">VLOOKUP(A555,BD_ORDENES!A:BE,25,FALSE())</f>
        <v>#N/A</v>
      </c>
      <c r="S555" s="68" t="e">
        <f aca="false">VLOOKUP(A555,BD_ORDENES!A:BE,22,FALSE())</f>
        <v>#N/A</v>
      </c>
      <c r="T555" s="65" t="e">
        <f aca="false">VLOOKUP(A555,BD_ORDENES!A:BE,55,FALSE())</f>
        <v>#N/A</v>
      </c>
      <c r="U555" s="68" t="e">
        <f aca="false">VLOOKUP(A555,BD_ORDENES!A:BE,57,FALSE())</f>
        <v>#N/A</v>
      </c>
      <c r="V555" s="70"/>
      <c r="W555" s="71"/>
    </row>
    <row r="556" s="72" customFormat="true" ht="98.25" hidden="false" customHeight="true" outlineLevel="0" collapsed="false">
      <c r="A556" s="62" t="n">
        <f aca="false">A555+1</f>
        <v>549</v>
      </c>
      <c r="B556" s="63" t="e">
        <f aca="false">VLOOKUP(A556,BD_ORDENES!A:BG,12,FALSE())</f>
        <v>#N/A</v>
      </c>
      <c r="C556" s="64" t="n">
        <v>549</v>
      </c>
      <c r="D556" s="65" t="e">
        <f aca="false">VLOOKUP(A556,BD_ORDENES!A:BE,10,0)</f>
        <v>#N/A</v>
      </c>
      <c r="E556" s="66" t="e">
        <f aca="false">VLOOKUP(A556,BD_ORDENES!A:BG,4,FALSE())</f>
        <v>#N/A</v>
      </c>
      <c r="F556" s="66" t="e">
        <f aca="false">VLOOKUP(A556,BD_ORDENES!A:BE,56,FALSE())</f>
        <v>#N/A</v>
      </c>
      <c r="G556" s="67" t="e">
        <f aca="false">VLOOKUP(A556,BD_ORDENES!A:BE,13,FALSE())</f>
        <v>#N/A</v>
      </c>
      <c r="H556" s="68" t="e">
        <f aca="false">VLOOKUP(A556,BD_ORDENES!A:BE,17,FALSE())</f>
        <v>#N/A</v>
      </c>
      <c r="I556" s="68" t="e">
        <f aca="false">VLOOKUP(A556,BD_ORDENES!A:BE,18,FALSE())</f>
        <v>#N/A</v>
      </c>
      <c r="J556" s="68" t="e">
        <f aca="false">VLOOKUP(A556,BD_ORDENES!A:BE,19,FALSE())</f>
        <v>#N/A</v>
      </c>
      <c r="K556" s="68" t="e">
        <f aca="false">VLOOKUP(A556,BD_ORDENES!A:BE,20,FALSE())</f>
        <v>#N/A</v>
      </c>
      <c r="L556" s="68" t="e">
        <f aca="false">VLOOKUP(A556,BD_ORDENES!A:BE,21,FALSE())</f>
        <v>#N/A</v>
      </c>
      <c r="M556" s="69" t="e">
        <f aca="false">VLOOKUP(A556,BD_ORDENES!A:BE,14,FALSE())</f>
        <v>#N/A</v>
      </c>
      <c r="N556" s="68" t="e">
        <f aca="false">VLOOKUP(A556,BD_ORDENES!A:BE,15,FALSE())</f>
        <v>#N/A</v>
      </c>
      <c r="O556" s="68" t="e">
        <f aca="false">VLOOKUP(A556,BD_ORDENES!A:BE,33,FALSE())</f>
        <v>#N/A</v>
      </c>
      <c r="P556" s="68" t="e">
        <f aca="false">VLOOKUP(A556,BD_ORDENES!A:BE,23,FALSE())</f>
        <v>#N/A</v>
      </c>
      <c r="Q556" s="68" t="e">
        <f aca="false">VLOOKUP(A556,BD_ORDENES!A:BE,52,FALSE())</f>
        <v>#N/A</v>
      </c>
      <c r="R556" s="68" t="e">
        <f aca="false">VLOOKUP(A556,BD_ORDENES!A:BE,25,FALSE())</f>
        <v>#N/A</v>
      </c>
      <c r="S556" s="68" t="e">
        <f aca="false">VLOOKUP(A556,BD_ORDENES!A:BE,22,FALSE())</f>
        <v>#N/A</v>
      </c>
      <c r="T556" s="65" t="e">
        <f aca="false">VLOOKUP(A556,BD_ORDENES!A:BE,55,FALSE())</f>
        <v>#N/A</v>
      </c>
      <c r="U556" s="68" t="e">
        <f aca="false">VLOOKUP(A556,BD_ORDENES!A:BE,57,FALSE())</f>
        <v>#N/A</v>
      </c>
      <c r="V556" s="70"/>
      <c r="W556" s="71"/>
    </row>
    <row r="557" s="72" customFormat="true" ht="98.25" hidden="false" customHeight="true" outlineLevel="0" collapsed="false">
      <c r="A557" s="62" t="n">
        <f aca="false">A556+1</f>
        <v>550</v>
      </c>
      <c r="B557" s="63" t="e">
        <f aca="false">VLOOKUP(A557,BD_ORDENES!A:BG,12,FALSE())</f>
        <v>#N/A</v>
      </c>
      <c r="C557" s="64" t="n">
        <v>550</v>
      </c>
      <c r="D557" s="65" t="e">
        <f aca="false">VLOOKUP(A557,BD_ORDENES!A:BE,10,0)</f>
        <v>#N/A</v>
      </c>
      <c r="E557" s="66" t="e">
        <f aca="false">VLOOKUP(A557,BD_ORDENES!A:BG,4,FALSE())</f>
        <v>#N/A</v>
      </c>
      <c r="F557" s="66" t="e">
        <f aca="false">VLOOKUP(A557,BD_ORDENES!A:BE,56,FALSE())</f>
        <v>#N/A</v>
      </c>
      <c r="G557" s="67" t="e">
        <f aca="false">VLOOKUP(A557,BD_ORDENES!A:BE,13,FALSE())</f>
        <v>#N/A</v>
      </c>
      <c r="H557" s="68" t="e">
        <f aca="false">VLOOKUP(A557,BD_ORDENES!A:BE,17,FALSE())</f>
        <v>#N/A</v>
      </c>
      <c r="I557" s="68" t="e">
        <f aca="false">VLOOKUP(A557,BD_ORDENES!A:BE,18,FALSE())</f>
        <v>#N/A</v>
      </c>
      <c r="J557" s="68" t="e">
        <f aca="false">VLOOKUP(A557,BD_ORDENES!A:BE,19,FALSE())</f>
        <v>#N/A</v>
      </c>
      <c r="K557" s="68" t="e">
        <f aca="false">VLOOKUP(A557,BD_ORDENES!A:BE,20,FALSE())</f>
        <v>#N/A</v>
      </c>
      <c r="L557" s="68" t="e">
        <f aca="false">VLOOKUP(A557,BD_ORDENES!A:BE,21,FALSE())</f>
        <v>#N/A</v>
      </c>
      <c r="M557" s="69" t="e">
        <f aca="false">VLOOKUP(A557,BD_ORDENES!A:BE,14,FALSE())</f>
        <v>#N/A</v>
      </c>
      <c r="N557" s="68" t="e">
        <f aca="false">VLOOKUP(A557,BD_ORDENES!A:BE,15,FALSE())</f>
        <v>#N/A</v>
      </c>
      <c r="O557" s="68" t="e">
        <f aca="false">VLOOKUP(A557,BD_ORDENES!A:BE,33,FALSE())</f>
        <v>#N/A</v>
      </c>
      <c r="P557" s="68" t="e">
        <f aca="false">VLOOKUP(A557,BD_ORDENES!A:BE,23,FALSE())</f>
        <v>#N/A</v>
      </c>
      <c r="Q557" s="68" t="e">
        <f aca="false">VLOOKUP(A557,BD_ORDENES!A:BE,52,FALSE())</f>
        <v>#N/A</v>
      </c>
      <c r="R557" s="68" t="e">
        <f aca="false">VLOOKUP(A557,BD_ORDENES!A:BE,25,FALSE())</f>
        <v>#N/A</v>
      </c>
      <c r="S557" s="68" t="e">
        <f aca="false">VLOOKUP(A557,BD_ORDENES!A:BE,22,FALSE())</f>
        <v>#N/A</v>
      </c>
      <c r="T557" s="65" t="e">
        <f aca="false">VLOOKUP(A557,BD_ORDENES!A:BE,55,FALSE())</f>
        <v>#N/A</v>
      </c>
      <c r="U557" s="68" t="e">
        <f aca="false">VLOOKUP(A557,BD_ORDENES!A:BE,57,FALSE())</f>
        <v>#N/A</v>
      </c>
      <c r="V557" s="70"/>
      <c r="W557" s="71"/>
    </row>
    <row r="558" s="72" customFormat="true" ht="98.25" hidden="false" customHeight="true" outlineLevel="0" collapsed="false">
      <c r="A558" s="62" t="n">
        <f aca="false">A557+1</f>
        <v>551</v>
      </c>
      <c r="B558" s="63" t="e">
        <f aca="false">VLOOKUP(A558,BD_ORDENES!A:BG,12,FALSE())</f>
        <v>#N/A</v>
      </c>
      <c r="C558" s="64" t="n">
        <v>551</v>
      </c>
      <c r="D558" s="65" t="e">
        <f aca="false">VLOOKUP(A558,BD_ORDENES!A:BE,10,0)</f>
        <v>#N/A</v>
      </c>
      <c r="E558" s="66" t="e">
        <f aca="false">VLOOKUP(A558,BD_ORDENES!A:BG,4,FALSE())</f>
        <v>#N/A</v>
      </c>
      <c r="F558" s="66" t="e">
        <f aca="false">VLOOKUP(A558,BD_ORDENES!A:BE,56,FALSE())</f>
        <v>#N/A</v>
      </c>
      <c r="G558" s="67" t="e">
        <f aca="false">VLOOKUP(A558,BD_ORDENES!A:BE,13,FALSE())</f>
        <v>#N/A</v>
      </c>
      <c r="H558" s="68" t="e">
        <f aca="false">VLOOKUP(A558,BD_ORDENES!A:BE,17,FALSE())</f>
        <v>#N/A</v>
      </c>
      <c r="I558" s="68" t="e">
        <f aca="false">VLOOKUP(A558,BD_ORDENES!A:BE,18,FALSE())</f>
        <v>#N/A</v>
      </c>
      <c r="J558" s="68" t="e">
        <f aca="false">VLOOKUP(A558,BD_ORDENES!A:BE,19,FALSE())</f>
        <v>#N/A</v>
      </c>
      <c r="K558" s="68" t="e">
        <f aca="false">VLOOKUP(A558,BD_ORDENES!A:BE,20,FALSE())</f>
        <v>#N/A</v>
      </c>
      <c r="L558" s="68" t="e">
        <f aca="false">VLOOKUP(A558,BD_ORDENES!A:BE,21,FALSE())</f>
        <v>#N/A</v>
      </c>
      <c r="M558" s="69" t="e">
        <f aca="false">VLOOKUP(A558,BD_ORDENES!A:BE,14,FALSE())</f>
        <v>#N/A</v>
      </c>
      <c r="N558" s="68" t="e">
        <f aca="false">VLOOKUP(A558,BD_ORDENES!A:BE,15,FALSE())</f>
        <v>#N/A</v>
      </c>
      <c r="O558" s="68" t="e">
        <f aca="false">VLOOKUP(A558,BD_ORDENES!A:BE,33,FALSE())</f>
        <v>#N/A</v>
      </c>
      <c r="P558" s="68" t="e">
        <f aca="false">VLOOKUP(A558,BD_ORDENES!A:BE,23,FALSE())</f>
        <v>#N/A</v>
      </c>
      <c r="Q558" s="68" t="e">
        <f aca="false">VLOOKUP(A558,BD_ORDENES!A:BE,52,FALSE())</f>
        <v>#N/A</v>
      </c>
      <c r="R558" s="68" t="e">
        <f aca="false">VLOOKUP(A558,BD_ORDENES!A:BE,25,FALSE())</f>
        <v>#N/A</v>
      </c>
      <c r="S558" s="68" t="e">
        <f aca="false">VLOOKUP(A558,BD_ORDENES!A:BE,22,FALSE())</f>
        <v>#N/A</v>
      </c>
      <c r="T558" s="65" t="e">
        <f aca="false">VLOOKUP(A558,BD_ORDENES!A:BE,55,FALSE())</f>
        <v>#N/A</v>
      </c>
      <c r="U558" s="68" t="e">
        <f aca="false">VLOOKUP(A558,BD_ORDENES!A:BE,57,FALSE())</f>
        <v>#N/A</v>
      </c>
      <c r="V558" s="70"/>
      <c r="W558" s="71"/>
    </row>
    <row r="559" s="72" customFormat="true" ht="98.25" hidden="false" customHeight="true" outlineLevel="0" collapsed="false">
      <c r="A559" s="62" t="n">
        <f aca="false">A558+1</f>
        <v>552</v>
      </c>
      <c r="B559" s="63" t="e">
        <f aca="false">VLOOKUP(A559,BD_ORDENES!A:BG,12,FALSE())</f>
        <v>#N/A</v>
      </c>
      <c r="C559" s="64" t="n">
        <v>552</v>
      </c>
      <c r="D559" s="65" t="e">
        <f aca="false">VLOOKUP(A559,BD_ORDENES!A:BE,10,0)</f>
        <v>#N/A</v>
      </c>
      <c r="E559" s="66" t="e">
        <f aca="false">VLOOKUP(A559,BD_ORDENES!A:BG,4,FALSE())</f>
        <v>#N/A</v>
      </c>
      <c r="F559" s="66" t="e">
        <f aca="false">VLOOKUP(A559,BD_ORDENES!A:BE,56,FALSE())</f>
        <v>#N/A</v>
      </c>
      <c r="G559" s="67" t="e">
        <f aca="false">VLOOKUP(A559,BD_ORDENES!A:BE,13,FALSE())</f>
        <v>#N/A</v>
      </c>
      <c r="H559" s="68" t="e">
        <f aca="false">VLOOKUP(A559,BD_ORDENES!A:BE,17,FALSE())</f>
        <v>#N/A</v>
      </c>
      <c r="I559" s="68" t="e">
        <f aca="false">VLOOKUP(A559,BD_ORDENES!A:BE,18,FALSE())</f>
        <v>#N/A</v>
      </c>
      <c r="J559" s="68" t="e">
        <f aca="false">VLOOKUP(A559,BD_ORDENES!A:BE,19,FALSE())</f>
        <v>#N/A</v>
      </c>
      <c r="K559" s="68" t="e">
        <f aca="false">VLOOKUP(A559,BD_ORDENES!A:BE,20,FALSE())</f>
        <v>#N/A</v>
      </c>
      <c r="L559" s="68" t="e">
        <f aca="false">VLOOKUP(A559,BD_ORDENES!A:BE,21,FALSE())</f>
        <v>#N/A</v>
      </c>
      <c r="M559" s="69" t="e">
        <f aca="false">VLOOKUP(A559,BD_ORDENES!A:BE,14,FALSE())</f>
        <v>#N/A</v>
      </c>
      <c r="N559" s="68" t="e">
        <f aca="false">VLOOKUP(A559,BD_ORDENES!A:BE,15,FALSE())</f>
        <v>#N/A</v>
      </c>
      <c r="O559" s="68" t="e">
        <f aca="false">VLOOKUP(A559,BD_ORDENES!A:BE,33,FALSE())</f>
        <v>#N/A</v>
      </c>
      <c r="P559" s="68" t="e">
        <f aca="false">VLOOKUP(A559,BD_ORDENES!A:BE,23,FALSE())</f>
        <v>#N/A</v>
      </c>
      <c r="Q559" s="68" t="e">
        <f aca="false">VLOOKUP(A559,BD_ORDENES!A:BE,52,FALSE())</f>
        <v>#N/A</v>
      </c>
      <c r="R559" s="68" t="e">
        <f aca="false">VLOOKUP(A559,BD_ORDENES!A:BE,25,FALSE())</f>
        <v>#N/A</v>
      </c>
      <c r="S559" s="68" t="e">
        <f aca="false">VLOOKUP(A559,BD_ORDENES!A:BE,22,FALSE())</f>
        <v>#N/A</v>
      </c>
      <c r="T559" s="65" t="e">
        <f aca="false">VLOOKUP(A559,BD_ORDENES!A:BE,55,FALSE())</f>
        <v>#N/A</v>
      </c>
      <c r="U559" s="68" t="e">
        <f aca="false">VLOOKUP(A559,BD_ORDENES!A:BE,57,FALSE())</f>
        <v>#N/A</v>
      </c>
      <c r="V559" s="70"/>
      <c r="W559" s="71"/>
    </row>
    <row r="560" s="72" customFormat="true" ht="98.25" hidden="false" customHeight="true" outlineLevel="0" collapsed="false">
      <c r="A560" s="62" t="n">
        <f aca="false">A559+1</f>
        <v>553</v>
      </c>
      <c r="B560" s="63" t="e">
        <f aca="false">VLOOKUP(A560,BD_ORDENES!A:BG,12,FALSE())</f>
        <v>#N/A</v>
      </c>
      <c r="C560" s="64" t="n">
        <v>553</v>
      </c>
      <c r="D560" s="65" t="e">
        <f aca="false">VLOOKUP(A560,BD_ORDENES!A:BE,10,0)</f>
        <v>#N/A</v>
      </c>
      <c r="E560" s="66" t="e">
        <f aca="false">VLOOKUP(A560,BD_ORDENES!A:BG,4,FALSE())</f>
        <v>#N/A</v>
      </c>
      <c r="F560" s="66" t="e">
        <f aca="false">VLOOKUP(A560,BD_ORDENES!A:BE,56,FALSE())</f>
        <v>#N/A</v>
      </c>
      <c r="G560" s="67" t="e">
        <f aca="false">VLOOKUP(A560,BD_ORDENES!A:BE,13,FALSE())</f>
        <v>#N/A</v>
      </c>
      <c r="H560" s="68" t="e">
        <f aca="false">VLOOKUP(A560,BD_ORDENES!A:BE,17,FALSE())</f>
        <v>#N/A</v>
      </c>
      <c r="I560" s="68" t="e">
        <f aca="false">VLOOKUP(A560,BD_ORDENES!A:BE,18,FALSE())</f>
        <v>#N/A</v>
      </c>
      <c r="J560" s="68" t="e">
        <f aca="false">VLOOKUP(A560,BD_ORDENES!A:BE,19,FALSE())</f>
        <v>#N/A</v>
      </c>
      <c r="K560" s="68" t="e">
        <f aca="false">VLOOKUP(A560,BD_ORDENES!A:BE,20,FALSE())</f>
        <v>#N/A</v>
      </c>
      <c r="L560" s="68" t="e">
        <f aca="false">VLOOKUP(A560,BD_ORDENES!A:BE,21,FALSE())</f>
        <v>#N/A</v>
      </c>
      <c r="M560" s="69" t="e">
        <f aca="false">VLOOKUP(A560,BD_ORDENES!A:BE,14,FALSE())</f>
        <v>#N/A</v>
      </c>
      <c r="N560" s="68" t="e">
        <f aca="false">VLOOKUP(A560,BD_ORDENES!A:BE,15,FALSE())</f>
        <v>#N/A</v>
      </c>
      <c r="O560" s="68" t="e">
        <f aca="false">VLOOKUP(A560,BD_ORDENES!A:BE,33,FALSE())</f>
        <v>#N/A</v>
      </c>
      <c r="P560" s="68" t="e">
        <f aca="false">VLOOKUP(A560,BD_ORDENES!A:BE,23,FALSE())</f>
        <v>#N/A</v>
      </c>
      <c r="Q560" s="68" t="e">
        <f aca="false">VLOOKUP(A560,BD_ORDENES!A:BE,52,FALSE())</f>
        <v>#N/A</v>
      </c>
      <c r="R560" s="68" t="e">
        <f aca="false">VLOOKUP(A560,BD_ORDENES!A:BE,25,FALSE())</f>
        <v>#N/A</v>
      </c>
      <c r="S560" s="68" t="e">
        <f aca="false">VLOOKUP(A560,BD_ORDENES!A:BE,22,FALSE())</f>
        <v>#N/A</v>
      </c>
      <c r="T560" s="65" t="e">
        <f aca="false">VLOOKUP(A560,BD_ORDENES!A:BE,55,FALSE())</f>
        <v>#N/A</v>
      </c>
      <c r="U560" s="68" t="e">
        <f aca="false">VLOOKUP(A560,BD_ORDENES!A:BE,57,FALSE())</f>
        <v>#N/A</v>
      </c>
      <c r="V560" s="70"/>
      <c r="W560" s="71"/>
    </row>
    <row r="561" s="72" customFormat="true" ht="98.25" hidden="false" customHeight="true" outlineLevel="0" collapsed="false">
      <c r="A561" s="62" t="n">
        <f aca="false">A560+1</f>
        <v>554</v>
      </c>
      <c r="B561" s="63" t="e">
        <f aca="false">VLOOKUP(A561,BD_ORDENES!A:BG,12,FALSE())</f>
        <v>#N/A</v>
      </c>
      <c r="C561" s="64" t="n">
        <v>554</v>
      </c>
      <c r="D561" s="65" t="e">
        <f aca="false">VLOOKUP(A561,BD_ORDENES!A:BE,10,0)</f>
        <v>#N/A</v>
      </c>
      <c r="E561" s="66" t="e">
        <f aca="false">VLOOKUP(A561,BD_ORDENES!A:BG,4,FALSE())</f>
        <v>#N/A</v>
      </c>
      <c r="F561" s="66" t="e">
        <f aca="false">VLOOKUP(A561,BD_ORDENES!A:BE,56,FALSE())</f>
        <v>#N/A</v>
      </c>
      <c r="G561" s="67" t="e">
        <f aca="false">VLOOKUP(A561,BD_ORDENES!A:BE,13,FALSE())</f>
        <v>#N/A</v>
      </c>
      <c r="H561" s="68" t="e">
        <f aca="false">VLOOKUP(A561,BD_ORDENES!A:BE,17,FALSE())</f>
        <v>#N/A</v>
      </c>
      <c r="I561" s="68" t="e">
        <f aca="false">VLOOKUP(A561,BD_ORDENES!A:BE,18,FALSE())</f>
        <v>#N/A</v>
      </c>
      <c r="J561" s="68" t="e">
        <f aca="false">VLOOKUP(A561,BD_ORDENES!A:BE,19,FALSE())</f>
        <v>#N/A</v>
      </c>
      <c r="K561" s="68" t="e">
        <f aca="false">VLOOKUP(A561,BD_ORDENES!A:BE,20,FALSE())</f>
        <v>#N/A</v>
      </c>
      <c r="L561" s="68" t="e">
        <f aca="false">VLOOKUP(A561,BD_ORDENES!A:BE,21,FALSE())</f>
        <v>#N/A</v>
      </c>
      <c r="M561" s="69" t="e">
        <f aca="false">VLOOKUP(A561,BD_ORDENES!A:BE,14,FALSE())</f>
        <v>#N/A</v>
      </c>
      <c r="N561" s="68" t="e">
        <f aca="false">VLOOKUP(A561,BD_ORDENES!A:BE,15,FALSE())</f>
        <v>#N/A</v>
      </c>
      <c r="O561" s="68" t="e">
        <f aca="false">VLOOKUP(A561,BD_ORDENES!A:BE,33,FALSE())</f>
        <v>#N/A</v>
      </c>
      <c r="P561" s="68" t="e">
        <f aca="false">VLOOKUP(A561,BD_ORDENES!A:BE,23,FALSE())</f>
        <v>#N/A</v>
      </c>
      <c r="Q561" s="68" t="e">
        <f aca="false">VLOOKUP(A561,BD_ORDENES!A:BE,52,FALSE())</f>
        <v>#N/A</v>
      </c>
      <c r="R561" s="68" t="e">
        <f aca="false">VLOOKUP(A561,BD_ORDENES!A:BE,25,FALSE())</f>
        <v>#N/A</v>
      </c>
      <c r="S561" s="68" t="e">
        <f aca="false">VLOOKUP(A561,BD_ORDENES!A:BE,22,FALSE())</f>
        <v>#N/A</v>
      </c>
      <c r="T561" s="65" t="e">
        <f aca="false">VLOOKUP(A561,BD_ORDENES!A:BE,55,FALSE())</f>
        <v>#N/A</v>
      </c>
      <c r="U561" s="68" t="e">
        <f aca="false">VLOOKUP(A561,BD_ORDENES!A:BE,57,FALSE())</f>
        <v>#N/A</v>
      </c>
      <c r="V561" s="70"/>
      <c r="W561" s="71"/>
    </row>
    <row r="562" s="72" customFormat="true" ht="98.25" hidden="false" customHeight="true" outlineLevel="0" collapsed="false">
      <c r="A562" s="62" t="n">
        <f aca="false">A561+1</f>
        <v>555</v>
      </c>
      <c r="B562" s="63" t="e">
        <f aca="false">VLOOKUP(A562,BD_ORDENES!A:BG,12,FALSE())</f>
        <v>#N/A</v>
      </c>
      <c r="C562" s="64" t="n">
        <v>555</v>
      </c>
      <c r="D562" s="65" t="e">
        <f aca="false">VLOOKUP(A562,BD_ORDENES!A:BE,10,0)</f>
        <v>#N/A</v>
      </c>
      <c r="E562" s="66" t="e">
        <f aca="false">VLOOKUP(A562,BD_ORDENES!A:BG,4,FALSE())</f>
        <v>#N/A</v>
      </c>
      <c r="F562" s="66" t="e">
        <f aca="false">VLOOKUP(A562,BD_ORDENES!A:BE,56,FALSE())</f>
        <v>#N/A</v>
      </c>
      <c r="G562" s="67" t="e">
        <f aca="false">VLOOKUP(A562,BD_ORDENES!A:BE,13,FALSE())</f>
        <v>#N/A</v>
      </c>
      <c r="H562" s="68" t="e">
        <f aca="false">VLOOKUP(A562,BD_ORDENES!A:BE,17,FALSE())</f>
        <v>#N/A</v>
      </c>
      <c r="I562" s="68" t="e">
        <f aca="false">VLOOKUP(A562,BD_ORDENES!A:BE,18,FALSE())</f>
        <v>#N/A</v>
      </c>
      <c r="J562" s="68" t="e">
        <f aca="false">VLOOKUP(A562,BD_ORDENES!A:BE,19,FALSE())</f>
        <v>#N/A</v>
      </c>
      <c r="K562" s="68" t="e">
        <f aca="false">VLOOKUP(A562,BD_ORDENES!A:BE,20,FALSE())</f>
        <v>#N/A</v>
      </c>
      <c r="L562" s="68" t="e">
        <f aca="false">VLOOKUP(A562,BD_ORDENES!A:BE,21,FALSE())</f>
        <v>#N/A</v>
      </c>
      <c r="M562" s="69" t="e">
        <f aca="false">VLOOKUP(A562,BD_ORDENES!A:BE,14,FALSE())</f>
        <v>#N/A</v>
      </c>
      <c r="N562" s="68" t="e">
        <f aca="false">VLOOKUP(A562,BD_ORDENES!A:BE,15,FALSE())</f>
        <v>#N/A</v>
      </c>
      <c r="O562" s="68" t="e">
        <f aca="false">VLOOKUP(A562,BD_ORDENES!A:BE,33,FALSE())</f>
        <v>#N/A</v>
      </c>
      <c r="P562" s="68" t="e">
        <f aca="false">VLOOKUP(A562,BD_ORDENES!A:BE,23,FALSE())</f>
        <v>#N/A</v>
      </c>
      <c r="Q562" s="68" t="e">
        <f aca="false">VLOOKUP(A562,BD_ORDENES!A:BE,52,FALSE())</f>
        <v>#N/A</v>
      </c>
      <c r="R562" s="68" t="e">
        <f aca="false">VLOOKUP(A562,BD_ORDENES!A:BE,25,FALSE())</f>
        <v>#N/A</v>
      </c>
      <c r="S562" s="68" t="e">
        <f aca="false">VLOOKUP(A562,BD_ORDENES!A:BE,22,FALSE())</f>
        <v>#N/A</v>
      </c>
      <c r="T562" s="65" t="e">
        <f aca="false">VLOOKUP(A562,BD_ORDENES!A:BE,55,FALSE())</f>
        <v>#N/A</v>
      </c>
      <c r="U562" s="68" t="e">
        <f aca="false">VLOOKUP(A562,BD_ORDENES!A:BE,57,FALSE())</f>
        <v>#N/A</v>
      </c>
      <c r="V562" s="70"/>
      <c r="W562" s="71"/>
    </row>
    <row r="563" s="72" customFormat="true" ht="98.25" hidden="false" customHeight="true" outlineLevel="0" collapsed="false">
      <c r="A563" s="62" t="n">
        <f aca="false">A562+1</f>
        <v>556</v>
      </c>
      <c r="B563" s="63" t="e">
        <f aca="false">VLOOKUP(A563,BD_ORDENES!A:BG,12,FALSE())</f>
        <v>#N/A</v>
      </c>
      <c r="C563" s="64" t="n">
        <v>556</v>
      </c>
      <c r="D563" s="65" t="e">
        <f aca="false">VLOOKUP(A563,BD_ORDENES!A:BE,10,0)</f>
        <v>#N/A</v>
      </c>
      <c r="E563" s="66" t="e">
        <f aca="false">VLOOKUP(A563,BD_ORDENES!A:BG,4,FALSE())</f>
        <v>#N/A</v>
      </c>
      <c r="F563" s="66" t="e">
        <f aca="false">VLOOKUP(A563,BD_ORDENES!A:BE,56,FALSE())</f>
        <v>#N/A</v>
      </c>
      <c r="G563" s="67" t="e">
        <f aca="false">VLOOKUP(A563,BD_ORDENES!A:BE,13,FALSE())</f>
        <v>#N/A</v>
      </c>
      <c r="H563" s="68" t="e">
        <f aca="false">VLOOKUP(A563,BD_ORDENES!A:BE,17,FALSE())</f>
        <v>#N/A</v>
      </c>
      <c r="I563" s="68" t="e">
        <f aca="false">VLOOKUP(A563,BD_ORDENES!A:BE,18,FALSE())</f>
        <v>#N/A</v>
      </c>
      <c r="J563" s="68" t="e">
        <f aca="false">VLOOKUP(A563,BD_ORDENES!A:BE,19,FALSE())</f>
        <v>#N/A</v>
      </c>
      <c r="K563" s="68" t="e">
        <f aca="false">VLOOKUP(A563,BD_ORDENES!A:BE,20,FALSE())</f>
        <v>#N/A</v>
      </c>
      <c r="L563" s="68" t="e">
        <f aca="false">VLOOKUP(A563,BD_ORDENES!A:BE,21,FALSE())</f>
        <v>#N/A</v>
      </c>
      <c r="M563" s="69" t="e">
        <f aca="false">VLOOKUP(A563,BD_ORDENES!A:BE,14,FALSE())</f>
        <v>#N/A</v>
      </c>
      <c r="N563" s="68" t="e">
        <f aca="false">VLOOKUP(A563,BD_ORDENES!A:BE,15,FALSE())</f>
        <v>#N/A</v>
      </c>
      <c r="O563" s="68" t="e">
        <f aca="false">VLOOKUP(A563,BD_ORDENES!A:BE,33,FALSE())</f>
        <v>#N/A</v>
      </c>
      <c r="P563" s="68" t="e">
        <f aca="false">VLOOKUP(A563,BD_ORDENES!A:BE,23,FALSE())</f>
        <v>#N/A</v>
      </c>
      <c r="Q563" s="68" t="e">
        <f aca="false">VLOOKUP(A563,BD_ORDENES!A:BE,52,FALSE())</f>
        <v>#N/A</v>
      </c>
      <c r="R563" s="68" t="e">
        <f aca="false">VLOOKUP(A563,BD_ORDENES!A:BE,25,FALSE())</f>
        <v>#N/A</v>
      </c>
      <c r="S563" s="68" t="e">
        <f aca="false">VLOOKUP(A563,BD_ORDENES!A:BE,22,FALSE())</f>
        <v>#N/A</v>
      </c>
      <c r="T563" s="65" t="e">
        <f aca="false">VLOOKUP(A563,BD_ORDENES!A:BE,55,FALSE())</f>
        <v>#N/A</v>
      </c>
      <c r="U563" s="68" t="e">
        <f aca="false">VLOOKUP(A563,BD_ORDENES!A:BE,57,FALSE())</f>
        <v>#N/A</v>
      </c>
      <c r="V563" s="70"/>
      <c r="W563" s="71"/>
    </row>
    <row r="564" s="72" customFormat="true" ht="98.25" hidden="false" customHeight="true" outlineLevel="0" collapsed="false">
      <c r="A564" s="62" t="n">
        <f aca="false">A563+1</f>
        <v>557</v>
      </c>
      <c r="B564" s="63" t="e">
        <f aca="false">VLOOKUP(A564,BD_ORDENES!A:BG,12,FALSE())</f>
        <v>#N/A</v>
      </c>
      <c r="C564" s="64" t="n">
        <v>557</v>
      </c>
      <c r="D564" s="65" t="e">
        <f aca="false">VLOOKUP(A564,BD_ORDENES!A:BE,10,0)</f>
        <v>#N/A</v>
      </c>
      <c r="E564" s="66" t="e">
        <f aca="false">VLOOKUP(A564,BD_ORDENES!A:BG,4,FALSE())</f>
        <v>#N/A</v>
      </c>
      <c r="F564" s="66" t="e">
        <f aca="false">VLOOKUP(A564,BD_ORDENES!A:BE,56,FALSE())</f>
        <v>#N/A</v>
      </c>
      <c r="G564" s="67" t="e">
        <f aca="false">VLOOKUP(A564,BD_ORDENES!A:BE,13,FALSE())</f>
        <v>#N/A</v>
      </c>
      <c r="H564" s="68" t="e">
        <f aca="false">VLOOKUP(A564,BD_ORDENES!A:BE,17,FALSE())</f>
        <v>#N/A</v>
      </c>
      <c r="I564" s="68" t="e">
        <f aca="false">VLOOKUP(A564,BD_ORDENES!A:BE,18,FALSE())</f>
        <v>#N/A</v>
      </c>
      <c r="J564" s="68" t="e">
        <f aca="false">VLOOKUP(A564,BD_ORDENES!A:BE,19,FALSE())</f>
        <v>#N/A</v>
      </c>
      <c r="K564" s="68" t="e">
        <f aca="false">VLOOKUP(A564,BD_ORDENES!A:BE,20,FALSE())</f>
        <v>#N/A</v>
      </c>
      <c r="L564" s="68" t="e">
        <f aca="false">VLOOKUP(A564,BD_ORDENES!A:BE,21,FALSE())</f>
        <v>#N/A</v>
      </c>
      <c r="M564" s="69" t="e">
        <f aca="false">VLOOKUP(A564,BD_ORDENES!A:BE,14,FALSE())</f>
        <v>#N/A</v>
      </c>
      <c r="N564" s="68" t="e">
        <f aca="false">VLOOKUP(A564,BD_ORDENES!A:BE,15,FALSE())</f>
        <v>#N/A</v>
      </c>
      <c r="O564" s="68" t="e">
        <f aca="false">VLOOKUP(A564,BD_ORDENES!A:BE,33,FALSE())</f>
        <v>#N/A</v>
      </c>
      <c r="P564" s="68" t="e">
        <f aca="false">VLOOKUP(A564,BD_ORDENES!A:BE,23,FALSE())</f>
        <v>#N/A</v>
      </c>
      <c r="Q564" s="68" t="e">
        <f aca="false">VLOOKUP(A564,BD_ORDENES!A:BE,52,FALSE())</f>
        <v>#N/A</v>
      </c>
      <c r="R564" s="68" t="e">
        <f aca="false">VLOOKUP(A564,BD_ORDENES!A:BE,25,FALSE())</f>
        <v>#N/A</v>
      </c>
      <c r="S564" s="68" t="e">
        <f aca="false">VLOOKUP(A564,BD_ORDENES!A:BE,22,FALSE())</f>
        <v>#N/A</v>
      </c>
      <c r="T564" s="65" t="e">
        <f aca="false">VLOOKUP(A564,BD_ORDENES!A:BE,55,FALSE())</f>
        <v>#N/A</v>
      </c>
      <c r="U564" s="68" t="e">
        <f aca="false">VLOOKUP(A564,BD_ORDENES!A:BE,57,FALSE())</f>
        <v>#N/A</v>
      </c>
      <c r="V564" s="70"/>
      <c r="W564" s="71"/>
    </row>
    <row r="565" s="72" customFormat="true" ht="98.25" hidden="false" customHeight="true" outlineLevel="0" collapsed="false">
      <c r="A565" s="62" t="n">
        <f aca="false">A564+1</f>
        <v>558</v>
      </c>
      <c r="B565" s="63" t="e">
        <f aca="false">VLOOKUP(A565,BD_ORDENES!A:BG,12,FALSE())</f>
        <v>#N/A</v>
      </c>
      <c r="C565" s="64" t="n">
        <v>558</v>
      </c>
      <c r="D565" s="65" t="e">
        <f aca="false">VLOOKUP(A565,BD_ORDENES!A:BE,10,0)</f>
        <v>#N/A</v>
      </c>
      <c r="E565" s="66" t="e">
        <f aca="false">VLOOKUP(A565,BD_ORDENES!A:BG,4,FALSE())</f>
        <v>#N/A</v>
      </c>
      <c r="F565" s="66" t="e">
        <f aca="false">VLOOKUP(A565,BD_ORDENES!A:BE,56,FALSE())</f>
        <v>#N/A</v>
      </c>
      <c r="G565" s="67" t="e">
        <f aca="false">VLOOKUP(A565,BD_ORDENES!A:BE,13,FALSE())</f>
        <v>#N/A</v>
      </c>
      <c r="H565" s="68" t="e">
        <f aca="false">VLOOKUP(A565,BD_ORDENES!A:BE,17,FALSE())</f>
        <v>#N/A</v>
      </c>
      <c r="I565" s="68" t="e">
        <f aca="false">VLOOKUP(A565,BD_ORDENES!A:BE,18,FALSE())</f>
        <v>#N/A</v>
      </c>
      <c r="J565" s="68" t="e">
        <f aca="false">VLOOKUP(A565,BD_ORDENES!A:BE,19,FALSE())</f>
        <v>#N/A</v>
      </c>
      <c r="K565" s="68" t="e">
        <f aca="false">VLOOKUP(A565,BD_ORDENES!A:BE,20,FALSE())</f>
        <v>#N/A</v>
      </c>
      <c r="L565" s="68" t="e">
        <f aca="false">VLOOKUP(A565,BD_ORDENES!A:BE,21,FALSE())</f>
        <v>#N/A</v>
      </c>
      <c r="M565" s="69" t="e">
        <f aca="false">VLOOKUP(A565,BD_ORDENES!A:BE,14,FALSE())</f>
        <v>#N/A</v>
      </c>
      <c r="N565" s="68" t="e">
        <f aca="false">VLOOKUP(A565,BD_ORDENES!A:BE,15,FALSE())</f>
        <v>#N/A</v>
      </c>
      <c r="O565" s="68" t="e">
        <f aca="false">VLOOKUP(A565,BD_ORDENES!A:BE,33,FALSE())</f>
        <v>#N/A</v>
      </c>
      <c r="P565" s="68" t="e">
        <f aca="false">VLOOKUP(A565,BD_ORDENES!A:BE,23,FALSE())</f>
        <v>#N/A</v>
      </c>
      <c r="Q565" s="68" t="e">
        <f aca="false">VLOOKUP(A565,BD_ORDENES!A:BE,52,FALSE())</f>
        <v>#N/A</v>
      </c>
      <c r="R565" s="68" t="e">
        <f aca="false">VLOOKUP(A565,BD_ORDENES!A:BE,25,FALSE())</f>
        <v>#N/A</v>
      </c>
      <c r="S565" s="68" t="e">
        <f aca="false">VLOOKUP(A565,BD_ORDENES!A:BE,22,FALSE())</f>
        <v>#N/A</v>
      </c>
      <c r="T565" s="65" t="e">
        <f aca="false">VLOOKUP(A565,BD_ORDENES!A:BE,55,FALSE())</f>
        <v>#N/A</v>
      </c>
      <c r="U565" s="68" t="e">
        <f aca="false">VLOOKUP(A565,BD_ORDENES!A:BE,57,FALSE())</f>
        <v>#N/A</v>
      </c>
      <c r="V565" s="70"/>
      <c r="W565" s="71"/>
    </row>
    <row r="566" s="72" customFormat="true" ht="98.25" hidden="false" customHeight="true" outlineLevel="0" collapsed="false">
      <c r="A566" s="62" t="n">
        <f aca="false">A565+1</f>
        <v>559</v>
      </c>
      <c r="B566" s="63" t="e">
        <f aca="false">VLOOKUP(A566,BD_ORDENES!A:BG,12,FALSE())</f>
        <v>#N/A</v>
      </c>
      <c r="C566" s="64" t="n">
        <v>559</v>
      </c>
      <c r="D566" s="65" t="e">
        <f aca="false">VLOOKUP(A566,BD_ORDENES!A:BE,10,0)</f>
        <v>#N/A</v>
      </c>
      <c r="E566" s="66" t="e">
        <f aca="false">VLOOKUP(A566,BD_ORDENES!A:BG,4,FALSE())</f>
        <v>#N/A</v>
      </c>
      <c r="F566" s="66" t="e">
        <f aca="false">VLOOKUP(A566,BD_ORDENES!A:BE,56,FALSE())</f>
        <v>#N/A</v>
      </c>
      <c r="G566" s="67" t="e">
        <f aca="false">VLOOKUP(A566,BD_ORDENES!A:BE,13,FALSE())</f>
        <v>#N/A</v>
      </c>
      <c r="H566" s="68" t="e">
        <f aca="false">VLOOKUP(A566,BD_ORDENES!A:BE,17,FALSE())</f>
        <v>#N/A</v>
      </c>
      <c r="I566" s="68" t="e">
        <f aca="false">VLOOKUP(A566,BD_ORDENES!A:BE,18,FALSE())</f>
        <v>#N/A</v>
      </c>
      <c r="J566" s="68" t="e">
        <f aca="false">VLOOKUP(A566,BD_ORDENES!A:BE,19,FALSE())</f>
        <v>#N/A</v>
      </c>
      <c r="K566" s="68" t="e">
        <f aca="false">VLOOKUP(A566,BD_ORDENES!A:BE,20,FALSE())</f>
        <v>#N/A</v>
      </c>
      <c r="L566" s="68" t="e">
        <f aca="false">VLOOKUP(A566,BD_ORDENES!A:BE,21,FALSE())</f>
        <v>#N/A</v>
      </c>
      <c r="M566" s="69" t="e">
        <f aca="false">VLOOKUP(A566,BD_ORDENES!A:BE,14,FALSE())</f>
        <v>#N/A</v>
      </c>
      <c r="N566" s="68" t="e">
        <f aca="false">VLOOKUP(A566,BD_ORDENES!A:BE,15,FALSE())</f>
        <v>#N/A</v>
      </c>
      <c r="O566" s="68" t="e">
        <f aca="false">VLOOKUP(A566,BD_ORDENES!A:BE,33,FALSE())</f>
        <v>#N/A</v>
      </c>
      <c r="P566" s="68" t="e">
        <f aca="false">VLOOKUP(A566,BD_ORDENES!A:BE,23,FALSE())</f>
        <v>#N/A</v>
      </c>
      <c r="Q566" s="68" t="e">
        <f aca="false">VLOOKUP(A566,BD_ORDENES!A:BE,52,FALSE())</f>
        <v>#N/A</v>
      </c>
      <c r="R566" s="68" t="e">
        <f aca="false">VLOOKUP(A566,BD_ORDENES!A:BE,25,FALSE())</f>
        <v>#N/A</v>
      </c>
      <c r="S566" s="68" t="e">
        <f aca="false">VLOOKUP(A566,BD_ORDENES!A:BE,22,FALSE())</f>
        <v>#N/A</v>
      </c>
      <c r="T566" s="65" t="e">
        <f aca="false">VLOOKUP(A566,BD_ORDENES!A:BE,55,FALSE())</f>
        <v>#N/A</v>
      </c>
      <c r="U566" s="68" t="e">
        <f aca="false">VLOOKUP(A566,BD_ORDENES!A:BE,57,FALSE())</f>
        <v>#N/A</v>
      </c>
      <c r="V566" s="70"/>
      <c r="W566" s="71"/>
    </row>
    <row r="567" s="72" customFormat="true" ht="98.25" hidden="false" customHeight="true" outlineLevel="0" collapsed="false">
      <c r="A567" s="62" t="n">
        <f aca="false">A566+1</f>
        <v>560</v>
      </c>
      <c r="B567" s="63" t="e">
        <f aca="false">VLOOKUP(A567,BD_ORDENES!A:BG,12,FALSE())</f>
        <v>#N/A</v>
      </c>
      <c r="C567" s="64" t="n">
        <v>560</v>
      </c>
      <c r="D567" s="65" t="e">
        <f aca="false">VLOOKUP(A567,BD_ORDENES!A:BE,10,0)</f>
        <v>#N/A</v>
      </c>
      <c r="E567" s="66" t="e">
        <f aca="false">VLOOKUP(A567,BD_ORDENES!A:BG,4,FALSE())</f>
        <v>#N/A</v>
      </c>
      <c r="F567" s="66" t="e">
        <f aca="false">VLOOKUP(A567,BD_ORDENES!A:BE,56,FALSE())</f>
        <v>#N/A</v>
      </c>
      <c r="G567" s="67" t="e">
        <f aca="false">VLOOKUP(A567,BD_ORDENES!A:BE,13,FALSE())</f>
        <v>#N/A</v>
      </c>
      <c r="H567" s="68" t="e">
        <f aca="false">VLOOKUP(A567,BD_ORDENES!A:BE,17,FALSE())</f>
        <v>#N/A</v>
      </c>
      <c r="I567" s="68" t="e">
        <f aca="false">VLOOKUP(A567,BD_ORDENES!A:BE,18,FALSE())</f>
        <v>#N/A</v>
      </c>
      <c r="J567" s="68" t="e">
        <f aca="false">VLOOKUP(A567,BD_ORDENES!A:BE,19,FALSE())</f>
        <v>#N/A</v>
      </c>
      <c r="K567" s="68" t="e">
        <f aca="false">VLOOKUP(A567,BD_ORDENES!A:BE,20,FALSE())</f>
        <v>#N/A</v>
      </c>
      <c r="L567" s="68" t="e">
        <f aca="false">VLOOKUP(A567,BD_ORDENES!A:BE,21,FALSE())</f>
        <v>#N/A</v>
      </c>
      <c r="M567" s="69" t="e">
        <f aca="false">VLOOKUP(A567,BD_ORDENES!A:BE,14,FALSE())</f>
        <v>#N/A</v>
      </c>
      <c r="N567" s="68" t="e">
        <f aca="false">VLOOKUP(A567,BD_ORDENES!A:BE,15,FALSE())</f>
        <v>#N/A</v>
      </c>
      <c r="O567" s="68" t="e">
        <f aca="false">VLOOKUP(A567,BD_ORDENES!A:BE,33,FALSE())</f>
        <v>#N/A</v>
      </c>
      <c r="P567" s="68" t="e">
        <f aca="false">VLOOKUP(A567,BD_ORDENES!A:BE,23,FALSE())</f>
        <v>#N/A</v>
      </c>
      <c r="Q567" s="68" t="e">
        <f aca="false">VLOOKUP(A567,BD_ORDENES!A:BE,52,FALSE())</f>
        <v>#N/A</v>
      </c>
      <c r="R567" s="68" t="e">
        <f aca="false">VLOOKUP(A567,BD_ORDENES!A:BE,25,FALSE())</f>
        <v>#N/A</v>
      </c>
      <c r="S567" s="68" t="e">
        <f aca="false">VLOOKUP(A567,BD_ORDENES!A:BE,22,FALSE())</f>
        <v>#N/A</v>
      </c>
      <c r="T567" s="65" t="e">
        <f aca="false">VLOOKUP(A567,BD_ORDENES!A:BE,55,FALSE())</f>
        <v>#N/A</v>
      </c>
      <c r="U567" s="68" t="e">
        <f aca="false">VLOOKUP(A567,BD_ORDENES!A:BE,57,FALSE())</f>
        <v>#N/A</v>
      </c>
      <c r="V567" s="70"/>
      <c r="W567" s="71"/>
    </row>
    <row r="568" s="72" customFormat="true" ht="98.25" hidden="false" customHeight="true" outlineLevel="0" collapsed="false">
      <c r="A568" s="62" t="n">
        <f aca="false">A567+1</f>
        <v>561</v>
      </c>
      <c r="B568" s="63" t="e">
        <f aca="false">VLOOKUP(A568,BD_ORDENES!A:BG,12,FALSE())</f>
        <v>#N/A</v>
      </c>
      <c r="C568" s="64" t="n">
        <v>561</v>
      </c>
      <c r="D568" s="65" t="e">
        <f aca="false">VLOOKUP(A568,BD_ORDENES!A:BE,10,0)</f>
        <v>#N/A</v>
      </c>
      <c r="E568" s="66" t="e">
        <f aca="false">VLOOKUP(A568,BD_ORDENES!A:BG,4,FALSE())</f>
        <v>#N/A</v>
      </c>
      <c r="F568" s="66" t="e">
        <f aca="false">VLOOKUP(A568,BD_ORDENES!A:BE,56,FALSE())</f>
        <v>#N/A</v>
      </c>
      <c r="G568" s="67" t="e">
        <f aca="false">VLOOKUP(A568,BD_ORDENES!A:BE,13,FALSE())</f>
        <v>#N/A</v>
      </c>
      <c r="H568" s="68" t="e">
        <f aca="false">VLOOKUP(A568,BD_ORDENES!A:BE,17,FALSE())</f>
        <v>#N/A</v>
      </c>
      <c r="I568" s="68" t="e">
        <f aca="false">VLOOKUP(A568,BD_ORDENES!A:BE,18,FALSE())</f>
        <v>#N/A</v>
      </c>
      <c r="J568" s="68" t="e">
        <f aca="false">VLOOKUP(A568,BD_ORDENES!A:BE,19,FALSE())</f>
        <v>#N/A</v>
      </c>
      <c r="K568" s="68" t="e">
        <f aca="false">VLOOKUP(A568,BD_ORDENES!A:BE,20,FALSE())</f>
        <v>#N/A</v>
      </c>
      <c r="L568" s="68" t="e">
        <f aca="false">VLOOKUP(A568,BD_ORDENES!A:BE,21,FALSE())</f>
        <v>#N/A</v>
      </c>
      <c r="M568" s="69" t="e">
        <f aca="false">VLOOKUP(A568,BD_ORDENES!A:BE,14,FALSE())</f>
        <v>#N/A</v>
      </c>
      <c r="N568" s="68" t="e">
        <f aca="false">VLOOKUP(A568,BD_ORDENES!A:BE,15,FALSE())</f>
        <v>#N/A</v>
      </c>
      <c r="O568" s="68" t="e">
        <f aca="false">VLOOKUP(A568,BD_ORDENES!A:BE,33,FALSE())</f>
        <v>#N/A</v>
      </c>
      <c r="P568" s="68" t="e">
        <f aca="false">VLOOKUP(A568,BD_ORDENES!A:BE,23,FALSE())</f>
        <v>#N/A</v>
      </c>
      <c r="Q568" s="68" t="e">
        <f aca="false">VLOOKUP(A568,BD_ORDENES!A:BE,52,FALSE())</f>
        <v>#N/A</v>
      </c>
      <c r="R568" s="68" t="e">
        <f aca="false">VLOOKUP(A568,BD_ORDENES!A:BE,25,FALSE())</f>
        <v>#N/A</v>
      </c>
      <c r="S568" s="68" t="e">
        <f aca="false">VLOOKUP(A568,BD_ORDENES!A:BE,22,FALSE())</f>
        <v>#N/A</v>
      </c>
      <c r="T568" s="65" t="e">
        <f aca="false">VLOOKUP(A568,BD_ORDENES!A:BE,55,FALSE())</f>
        <v>#N/A</v>
      </c>
      <c r="U568" s="68" t="e">
        <f aca="false">VLOOKUP(A568,BD_ORDENES!A:BE,57,FALSE())</f>
        <v>#N/A</v>
      </c>
      <c r="V568" s="70"/>
      <c r="W568" s="71"/>
    </row>
    <row r="569" s="72" customFormat="true" ht="98.25" hidden="false" customHeight="true" outlineLevel="0" collapsed="false">
      <c r="A569" s="62" t="n">
        <f aca="false">A568+1</f>
        <v>562</v>
      </c>
      <c r="B569" s="63" t="e">
        <f aca="false">VLOOKUP(A569,BD_ORDENES!A:BG,12,FALSE())</f>
        <v>#N/A</v>
      </c>
      <c r="C569" s="64" t="n">
        <v>562</v>
      </c>
      <c r="D569" s="65" t="e">
        <f aca="false">VLOOKUP(A569,BD_ORDENES!A:BE,10,0)</f>
        <v>#N/A</v>
      </c>
      <c r="E569" s="66" t="e">
        <f aca="false">VLOOKUP(A569,BD_ORDENES!A:BG,4,FALSE())</f>
        <v>#N/A</v>
      </c>
      <c r="F569" s="66" t="e">
        <f aca="false">VLOOKUP(A569,BD_ORDENES!A:BE,56,FALSE())</f>
        <v>#N/A</v>
      </c>
      <c r="G569" s="67" t="e">
        <f aca="false">VLOOKUP(A569,BD_ORDENES!A:BE,13,FALSE())</f>
        <v>#N/A</v>
      </c>
      <c r="H569" s="68" t="e">
        <f aca="false">VLOOKUP(A569,BD_ORDENES!A:BE,17,FALSE())</f>
        <v>#N/A</v>
      </c>
      <c r="I569" s="68" t="e">
        <f aca="false">VLOOKUP(A569,BD_ORDENES!A:BE,18,FALSE())</f>
        <v>#N/A</v>
      </c>
      <c r="J569" s="68" t="e">
        <f aca="false">VLOOKUP(A569,BD_ORDENES!A:BE,19,FALSE())</f>
        <v>#N/A</v>
      </c>
      <c r="K569" s="68" t="e">
        <f aca="false">VLOOKUP(A569,BD_ORDENES!A:BE,20,FALSE())</f>
        <v>#N/A</v>
      </c>
      <c r="L569" s="68" t="e">
        <f aca="false">VLOOKUP(A569,BD_ORDENES!A:BE,21,FALSE())</f>
        <v>#N/A</v>
      </c>
      <c r="M569" s="69" t="e">
        <f aca="false">VLOOKUP(A569,BD_ORDENES!A:BE,14,FALSE())</f>
        <v>#N/A</v>
      </c>
      <c r="N569" s="68" t="e">
        <f aca="false">VLOOKUP(A569,BD_ORDENES!A:BE,15,FALSE())</f>
        <v>#N/A</v>
      </c>
      <c r="O569" s="68" t="e">
        <f aca="false">VLOOKUP(A569,BD_ORDENES!A:BE,33,FALSE())</f>
        <v>#N/A</v>
      </c>
      <c r="P569" s="68" t="e">
        <f aca="false">VLOOKUP(A569,BD_ORDENES!A:BE,23,FALSE())</f>
        <v>#N/A</v>
      </c>
      <c r="Q569" s="68" t="e">
        <f aca="false">VLOOKUP(A569,BD_ORDENES!A:BE,52,FALSE())</f>
        <v>#N/A</v>
      </c>
      <c r="R569" s="68" t="e">
        <f aca="false">VLOOKUP(A569,BD_ORDENES!A:BE,25,FALSE())</f>
        <v>#N/A</v>
      </c>
      <c r="S569" s="68" t="e">
        <f aca="false">VLOOKUP(A569,BD_ORDENES!A:BE,22,FALSE())</f>
        <v>#N/A</v>
      </c>
      <c r="T569" s="65" t="e">
        <f aca="false">VLOOKUP(A569,BD_ORDENES!A:BE,55,FALSE())</f>
        <v>#N/A</v>
      </c>
      <c r="U569" s="68" t="e">
        <f aca="false">VLOOKUP(A569,BD_ORDENES!A:BE,57,FALSE())</f>
        <v>#N/A</v>
      </c>
      <c r="V569" s="70"/>
      <c r="W569" s="71"/>
    </row>
    <row r="570" s="72" customFormat="true" ht="98.25" hidden="false" customHeight="true" outlineLevel="0" collapsed="false">
      <c r="A570" s="62" t="n">
        <f aca="false">A569+1</f>
        <v>563</v>
      </c>
      <c r="B570" s="63" t="e">
        <f aca="false">VLOOKUP(A570,BD_ORDENES!A:BG,12,FALSE())</f>
        <v>#N/A</v>
      </c>
      <c r="C570" s="64" t="n">
        <v>563</v>
      </c>
      <c r="D570" s="65" t="e">
        <f aca="false">VLOOKUP(A570,BD_ORDENES!A:BE,10,0)</f>
        <v>#N/A</v>
      </c>
      <c r="E570" s="66" t="e">
        <f aca="false">VLOOKUP(A570,BD_ORDENES!A:BG,4,FALSE())</f>
        <v>#N/A</v>
      </c>
      <c r="F570" s="66" t="e">
        <f aca="false">VLOOKUP(A570,BD_ORDENES!A:BE,56,FALSE())</f>
        <v>#N/A</v>
      </c>
      <c r="G570" s="67" t="e">
        <f aca="false">VLOOKUP(A570,BD_ORDENES!A:BE,13,FALSE())</f>
        <v>#N/A</v>
      </c>
      <c r="H570" s="68" t="e">
        <f aca="false">VLOOKUP(A570,BD_ORDENES!A:BE,17,FALSE())</f>
        <v>#N/A</v>
      </c>
      <c r="I570" s="68" t="e">
        <f aca="false">VLOOKUP(A570,BD_ORDENES!A:BE,18,FALSE())</f>
        <v>#N/A</v>
      </c>
      <c r="J570" s="68" t="e">
        <f aca="false">VLOOKUP(A570,BD_ORDENES!A:BE,19,FALSE())</f>
        <v>#N/A</v>
      </c>
      <c r="K570" s="68" t="e">
        <f aca="false">VLOOKUP(A570,BD_ORDENES!A:BE,20,FALSE())</f>
        <v>#N/A</v>
      </c>
      <c r="L570" s="68" t="e">
        <f aca="false">VLOOKUP(A570,BD_ORDENES!A:BE,21,FALSE())</f>
        <v>#N/A</v>
      </c>
      <c r="M570" s="69" t="e">
        <f aca="false">VLOOKUP(A570,BD_ORDENES!A:BE,14,FALSE())</f>
        <v>#N/A</v>
      </c>
      <c r="N570" s="68" t="e">
        <f aca="false">VLOOKUP(A570,BD_ORDENES!A:BE,15,FALSE())</f>
        <v>#N/A</v>
      </c>
      <c r="O570" s="68" t="e">
        <f aca="false">VLOOKUP(A570,BD_ORDENES!A:BE,33,FALSE())</f>
        <v>#N/A</v>
      </c>
      <c r="P570" s="68" t="e">
        <f aca="false">VLOOKUP(A570,BD_ORDENES!A:BE,23,FALSE())</f>
        <v>#N/A</v>
      </c>
      <c r="Q570" s="68" t="e">
        <f aca="false">VLOOKUP(A570,BD_ORDENES!A:BE,52,FALSE())</f>
        <v>#N/A</v>
      </c>
      <c r="R570" s="68" t="e">
        <f aca="false">VLOOKUP(A570,BD_ORDENES!A:BE,25,FALSE())</f>
        <v>#N/A</v>
      </c>
      <c r="S570" s="68" t="e">
        <f aca="false">VLOOKUP(A570,BD_ORDENES!A:BE,22,FALSE())</f>
        <v>#N/A</v>
      </c>
      <c r="T570" s="65" t="e">
        <f aca="false">VLOOKUP(A570,BD_ORDENES!A:BE,55,FALSE())</f>
        <v>#N/A</v>
      </c>
      <c r="U570" s="68" t="e">
        <f aca="false">VLOOKUP(A570,BD_ORDENES!A:BE,57,FALSE())</f>
        <v>#N/A</v>
      </c>
      <c r="V570" s="70"/>
      <c r="W570" s="71"/>
    </row>
    <row r="571" s="72" customFormat="true" ht="98.25" hidden="false" customHeight="true" outlineLevel="0" collapsed="false">
      <c r="A571" s="62" t="n">
        <f aca="false">A570+1</f>
        <v>564</v>
      </c>
      <c r="B571" s="63" t="e">
        <f aca="false">VLOOKUP(A571,BD_ORDENES!A:BG,12,FALSE())</f>
        <v>#N/A</v>
      </c>
      <c r="C571" s="64" t="n">
        <v>564</v>
      </c>
      <c r="D571" s="65" t="e">
        <f aca="false">VLOOKUP(A571,BD_ORDENES!A:BE,10,0)</f>
        <v>#N/A</v>
      </c>
      <c r="E571" s="66" t="e">
        <f aca="false">VLOOKUP(A571,BD_ORDENES!A:BG,4,FALSE())</f>
        <v>#N/A</v>
      </c>
      <c r="F571" s="66" t="e">
        <f aca="false">VLOOKUP(A571,BD_ORDENES!A:BE,56,FALSE())</f>
        <v>#N/A</v>
      </c>
      <c r="G571" s="67" t="e">
        <f aca="false">VLOOKUP(A571,BD_ORDENES!A:BE,13,FALSE())</f>
        <v>#N/A</v>
      </c>
      <c r="H571" s="68" t="e">
        <f aca="false">VLOOKUP(A571,BD_ORDENES!A:BE,17,FALSE())</f>
        <v>#N/A</v>
      </c>
      <c r="I571" s="68" t="e">
        <f aca="false">VLOOKUP(A571,BD_ORDENES!A:BE,18,FALSE())</f>
        <v>#N/A</v>
      </c>
      <c r="J571" s="68" t="e">
        <f aca="false">VLOOKUP(A571,BD_ORDENES!A:BE,19,FALSE())</f>
        <v>#N/A</v>
      </c>
      <c r="K571" s="68" t="e">
        <f aca="false">VLOOKUP(A571,BD_ORDENES!A:BE,20,FALSE())</f>
        <v>#N/A</v>
      </c>
      <c r="L571" s="68" t="e">
        <f aca="false">VLOOKUP(A571,BD_ORDENES!A:BE,21,FALSE())</f>
        <v>#N/A</v>
      </c>
      <c r="M571" s="69" t="e">
        <f aca="false">VLOOKUP(A571,BD_ORDENES!A:BE,14,FALSE())</f>
        <v>#N/A</v>
      </c>
      <c r="N571" s="68" t="e">
        <f aca="false">VLOOKUP(A571,BD_ORDENES!A:BE,15,FALSE())</f>
        <v>#N/A</v>
      </c>
      <c r="O571" s="68" t="e">
        <f aca="false">VLOOKUP(A571,BD_ORDENES!A:BE,33,FALSE())</f>
        <v>#N/A</v>
      </c>
      <c r="P571" s="68" t="e">
        <f aca="false">VLOOKUP(A571,BD_ORDENES!A:BE,23,FALSE())</f>
        <v>#N/A</v>
      </c>
      <c r="Q571" s="68" t="e">
        <f aca="false">VLOOKUP(A571,BD_ORDENES!A:BE,52,FALSE())</f>
        <v>#N/A</v>
      </c>
      <c r="R571" s="68" t="e">
        <f aca="false">VLOOKUP(A571,BD_ORDENES!A:BE,25,FALSE())</f>
        <v>#N/A</v>
      </c>
      <c r="S571" s="68" t="e">
        <f aca="false">VLOOKUP(A571,BD_ORDENES!A:BE,22,FALSE())</f>
        <v>#N/A</v>
      </c>
      <c r="T571" s="65" t="e">
        <f aca="false">VLOOKUP(A571,BD_ORDENES!A:BE,55,FALSE())</f>
        <v>#N/A</v>
      </c>
      <c r="U571" s="68" t="e">
        <f aca="false">VLOOKUP(A571,BD_ORDENES!A:BE,57,FALSE())</f>
        <v>#N/A</v>
      </c>
      <c r="V571" s="70"/>
      <c r="W571" s="71"/>
    </row>
    <row r="572" s="72" customFormat="true" ht="98.25" hidden="false" customHeight="true" outlineLevel="0" collapsed="false">
      <c r="A572" s="62" t="n">
        <f aca="false">A571+1</f>
        <v>565</v>
      </c>
      <c r="B572" s="63" t="e">
        <f aca="false">VLOOKUP(A572,BD_ORDENES!A:BG,12,FALSE())</f>
        <v>#N/A</v>
      </c>
      <c r="C572" s="64" t="n">
        <v>565</v>
      </c>
      <c r="D572" s="65" t="e">
        <f aca="false">VLOOKUP(A572,BD_ORDENES!A:BE,10,0)</f>
        <v>#N/A</v>
      </c>
      <c r="E572" s="66" t="e">
        <f aca="false">VLOOKUP(A572,BD_ORDENES!A:BG,4,FALSE())</f>
        <v>#N/A</v>
      </c>
      <c r="F572" s="66" t="e">
        <f aca="false">VLOOKUP(A572,BD_ORDENES!A:BE,56,FALSE())</f>
        <v>#N/A</v>
      </c>
      <c r="G572" s="67" t="e">
        <f aca="false">VLOOKUP(A572,BD_ORDENES!A:BE,13,FALSE())</f>
        <v>#N/A</v>
      </c>
      <c r="H572" s="68" t="e">
        <f aca="false">VLOOKUP(A572,BD_ORDENES!A:BE,17,FALSE())</f>
        <v>#N/A</v>
      </c>
      <c r="I572" s="68" t="e">
        <f aca="false">VLOOKUP(A572,BD_ORDENES!A:BE,18,FALSE())</f>
        <v>#N/A</v>
      </c>
      <c r="J572" s="68" t="e">
        <f aca="false">VLOOKUP(A572,BD_ORDENES!A:BE,19,FALSE())</f>
        <v>#N/A</v>
      </c>
      <c r="K572" s="68" t="e">
        <f aca="false">VLOOKUP(A572,BD_ORDENES!A:BE,20,FALSE())</f>
        <v>#N/A</v>
      </c>
      <c r="L572" s="68" t="e">
        <f aca="false">VLOOKUP(A572,BD_ORDENES!A:BE,21,FALSE())</f>
        <v>#N/A</v>
      </c>
      <c r="M572" s="69" t="e">
        <f aca="false">VLOOKUP(A572,BD_ORDENES!A:BE,14,FALSE())</f>
        <v>#N/A</v>
      </c>
      <c r="N572" s="68" t="e">
        <f aca="false">VLOOKUP(A572,BD_ORDENES!A:BE,15,FALSE())</f>
        <v>#N/A</v>
      </c>
      <c r="O572" s="68" t="e">
        <f aca="false">VLOOKUP(A572,BD_ORDENES!A:BE,33,FALSE())</f>
        <v>#N/A</v>
      </c>
      <c r="P572" s="68" t="e">
        <f aca="false">VLOOKUP(A572,BD_ORDENES!A:BE,23,FALSE())</f>
        <v>#N/A</v>
      </c>
      <c r="Q572" s="68" t="e">
        <f aca="false">VLOOKUP(A572,BD_ORDENES!A:BE,52,FALSE())</f>
        <v>#N/A</v>
      </c>
      <c r="R572" s="68" t="e">
        <f aca="false">VLOOKUP(A572,BD_ORDENES!A:BE,25,FALSE())</f>
        <v>#N/A</v>
      </c>
      <c r="S572" s="68" t="e">
        <f aca="false">VLOOKUP(A572,BD_ORDENES!A:BE,22,FALSE())</f>
        <v>#N/A</v>
      </c>
      <c r="T572" s="65" t="e">
        <f aca="false">VLOOKUP(A572,BD_ORDENES!A:BE,55,FALSE())</f>
        <v>#N/A</v>
      </c>
      <c r="U572" s="68" t="e">
        <f aca="false">VLOOKUP(A572,BD_ORDENES!A:BE,57,FALSE())</f>
        <v>#N/A</v>
      </c>
      <c r="V572" s="70"/>
      <c r="W572" s="71"/>
    </row>
    <row r="573" s="72" customFormat="true" ht="98.25" hidden="false" customHeight="true" outlineLevel="0" collapsed="false">
      <c r="A573" s="62" t="n">
        <f aca="false">A572+1</f>
        <v>566</v>
      </c>
      <c r="B573" s="63" t="e">
        <f aca="false">VLOOKUP(A573,BD_ORDENES!A:BG,12,FALSE())</f>
        <v>#N/A</v>
      </c>
      <c r="C573" s="64" t="n">
        <v>566</v>
      </c>
      <c r="D573" s="65" t="e">
        <f aca="false">VLOOKUP(A573,BD_ORDENES!A:BE,10,0)</f>
        <v>#N/A</v>
      </c>
      <c r="E573" s="66" t="e">
        <f aca="false">VLOOKUP(A573,BD_ORDENES!A:BG,4,FALSE())</f>
        <v>#N/A</v>
      </c>
      <c r="F573" s="66" t="e">
        <f aca="false">VLOOKUP(A573,BD_ORDENES!A:BE,56,FALSE())</f>
        <v>#N/A</v>
      </c>
      <c r="G573" s="67" t="e">
        <f aca="false">VLOOKUP(A573,BD_ORDENES!A:BE,13,FALSE())</f>
        <v>#N/A</v>
      </c>
      <c r="H573" s="68" t="e">
        <f aca="false">VLOOKUP(A573,BD_ORDENES!A:BE,17,FALSE())</f>
        <v>#N/A</v>
      </c>
      <c r="I573" s="68" t="e">
        <f aca="false">VLOOKUP(A573,BD_ORDENES!A:BE,18,FALSE())</f>
        <v>#N/A</v>
      </c>
      <c r="J573" s="68" t="e">
        <f aca="false">VLOOKUP(A573,BD_ORDENES!A:BE,19,FALSE())</f>
        <v>#N/A</v>
      </c>
      <c r="K573" s="68" t="e">
        <f aca="false">VLOOKUP(A573,BD_ORDENES!A:BE,20,FALSE())</f>
        <v>#N/A</v>
      </c>
      <c r="L573" s="68" t="e">
        <f aca="false">VLOOKUP(A573,BD_ORDENES!A:BE,21,FALSE())</f>
        <v>#N/A</v>
      </c>
      <c r="M573" s="69" t="e">
        <f aca="false">VLOOKUP(A573,BD_ORDENES!A:BE,14,FALSE())</f>
        <v>#N/A</v>
      </c>
      <c r="N573" s="68" t="e">
        <f aca="false">VLOOKUP(A573,BD_ORDENES!A:BE,15,FALSE())</f>
        <v>#N/A</v>
      </c>
      <c r="O573" s="68" t="e">
        <f aca="false">VLOOKUP(A573,BD_ORDENES!A:BE,33,FALSE())</f>
        <v>#N/A</v>
      </c>
      <c r="P573" s="68" t="e">
        <f aca="false">VLOOKUP(A573,BD_ORDENES!A:BE,23,FALSE())</f>
        <v>#N/A</v>
      </c>
      <c r="Q573" s="68" t="e">
        <f aca="false">VLOOKUP(A573,BD_ORDENES!A:BE,52,FALSE())</f>
        <v>#N/A</v>
      </c>
      <c r="R573" s="68" t="e">
        <f aca="false">VLOOKUP(A573,BD_ORDENES!A:BE,25,FALSE())</f>
        <v>#N/A</v>
      </c>
      <c r="S573" s="68" t="e">
        <f aca="false">VLOOKUP(A573,BD_ORDENES!A:BE,22,FALSE())</f>
        <v>#N/A</v>
      </c>
      <c r="T573" s="65" t="e">
        <f aca="false">VLOOKUP(A573,BD_ORDENES!A:BE,55,FALSE())</f>
        <v>#N/A</v>
      </c>
      <c r="U573" s="68" t="e">
        <f aca="false">VLOOKUP(A573,BD_ORDENES!A:BE,57,FALSE())</f>
        <v>#N/A</v>
      </c>
      <c r="V573" s="70"/>
      <c r="W573" s="71"/>
    </row>
    <row r="574" s="72" customFormat="true" ht="98.25" hidden="false" customHeight="true" outlineLevel="0" collapsed="false">
      <c r="A574" s="62" t="n">
        <f aca="false">A573+1</f>
        <v>567</v>
      </c>
      <c r="B574" s="63" t="e">
        <f aca="false">VLOOKUP(A574,BD_ORDENES!A:BG,12,FALSE())</f>
        <v>#N/A</v>
      </c>
      <c r="C574" s="64" t="n">
        <v>567</v>
      </c>
      <c r="D574" s="65" t="e">
        <f aca="false">VLOOKUP(A574,BD_ORDENES!A:BE,10,0)</f>
        <v>#N/A</v>
      </c>
      <c r="E574" s="66" t="e">
        <f aca="false">VLOOKUP(A574,BD_ORDENES!A:BG,4,FALSE())</f>
        <v>#N/A</v>
      </c>
      <c r="F574" s="66" t="e">
        <f aca="false">VLOOKUP(A574,BD_ORDENES!A:BE,56,FALSE())</f>
        <v>#N/A</v>
      </c>
      <c r="G574" s="67" t="e">
        <f aca="false">VLOOKUP(A574,BD_ORDENES!A:BE,13,FALSE())</f>
        <v>#N/A</v>
      </c>
      <c r="H574" s="68" t="e">
        <f aca="false">VLOOKUP(A574,BD_ORDENES!A:BE,17,FALSE())</f>
        <v>#N/A</v>
      </c>
      <c r="I574" s="68" t="e">
        <f aca="false">VLOOKUP(A574,BD_ORDENES!A:BE,18,FALSE())</f>
        <v>#N/A</v>
      </c>
      <c r="J574" s="68" t="e">
        <f aca="false">VLOOKUP(A574,BD_ORDENES!A:BE,19,FALSE())</f>
        <v>#N/A</v>
      </c>
      <c r="K574" s="68" t="e">
        <f aca="false">VLOOKUP(A574,BD_ORDENES!A:BE,20,FALSE())</f>
        <v>#N/A</v>
      </c>
      <c r="L574" s="68" t="e">
        <f aca="false">VLOOKUP(A574,BD_ORDENES!A:BE,21,FALSE())</f>
        <v>#N/A</v>
      </c>
      <c r="M574" s="69" t="e">
        <f aca="false">VLOOKUP(A574,BD_ORDENES!A:BE,14,FALSE())</f>
        <v>#N/A</v>
      </c>
      <c r="N574" s="68" t="e">
        <f aca="false">VLOOKUP(A574,BD_ORDENES!A:BE,15,FALSE())</f>
        <v>#N/A</v>
      </c>
      <c r="O574" s="68" t="e">
        <f aca="false">VLOOKUP(A574,BD_ORDENES!A:BE,33,FALSE())</f>
        <v>#N/A</v>
      </c>
      <c r="P574" s="68" t="e">
        <f aca="false">VLOOKUP(A574,BD_ORDENES!A:BE,23,FALSE())</f>
        <v>#N/A</v>
      </c>
      <c r="Q574" s="68" t="e">
        <f aca="false">VLOOKUP(A574,BD_ORDENES!A:BE,52,FALSE())</f>
        <v>#N/A</v>
      </c>
      <c r="R574" s="68" t="e">
        <f aca="false">VLOOKUP(A574,BD_ORDENES!A:BE,25,FALSE())</f>
        <v>#N/A</v>
      </c>
      <c r="S574" s="68" t="e">
        <f aca="false">VLOOKUP(A574,BD_ORDENES!A:BE,22,FALSE())</f>
        <v>#N/A</v>
      </c>
      <c r="T574" s="65" t="e">
        <f aca="false">VLOOKUP(A574,BD_ORDENES!A:BE,55,FALSE())</f>
        <v>#N/A</v>
      </c>
      <c r="U574" s="68" t="e">
        <f aca="false">VLOOKUP(A574,BD_ORDENES!A:BE,57,FALSE())</f>
        <v>#N/A</v>
      </c>
      <c r="V574" s="70"/>
      <c r="W574" s="71"/>
    </row>
    <row r="575" s="72" customFormat="true" ht="98.25" hidden="false" customHeight="true" outlineLevel="0" collapsed="false">
      <c r="A575" s="62" t="n">
        <f aca="false">A574+1</f>
        <v>568</v>
      </c>
      <c r="B575" s="63" t="e">
        <f aca="false">VLOOKUP(A575,BD_ORDENES!A:BG,12,FALSE())</f>
        <v>#N/A</v>
      </c>
      <c r="C575" s="64" t="n">
        <v>568</v>
      </c>
      <c r="D575" s="65" t="e">
        <f aca="false">VLOOKUP(A575,BD_ORDENES!A:BE,10,0)</f>
        <v>#N/A</v>
      </c>
      <c r="E575" s="66" t="e">
        <f aca="false">VLOOKUP(A575,BD_ORDENES!A:BG,4,FALSE())</f>
        <v>#N/A</v>
      </c>
      <c r="F575" s="66" t="e">
        <f aca="false">VLOOKUP(A575,BD_ORDENES!A:BE,56,FALSE())</f>
        <v>#N/A</v>
      </c>
      <c r="G575" s="67" t="e">
        <f aca="false">VLOOKUP(A575,BD_ORDENES!A:BE,13,FALSE())</f>
        <v>#N/A</v>
      </c>
      <c r="H575" s="68" t="e">
        <f aca="false">VLOOKUP(A575,BD_ORDENES!A:BE,17,FALSE())</f>
        <v>#N/A</v>
      </c>
      <c r="I575" s="68" t="e">
        <f aca="false">VLOOKUP(A575,BD_ORDENES!A:BE,18,FALSE())</f>
        <v>#N/A</v>
      </c>
      <c r="J575" s="68" t="e">
        <f aca="false">VLOOKUP(A575,BD_ORDENES!A:BE,19,FALSE())</f>
        <v>#N/A</v>
      </c>
      <c r="K575" s="68" t="e">
        <f aca="false">VLOOKUP(A575,BD_ORDENES!A:BE,20,FALSE())</f>
        <v>#N/A</v>
      </c>
      <c r="L575" s="68" t="e">
        <f aca="false">VLOOKUP(A575,BD_ORDENES!A:BE,21,FALSE())</f>
        <v>#N/A</v>
      </c>
      <c r="M575" s="69" t="e">
        <f aca="false">VLOOKUP(A575,BD_ORDENES!A:BE,14,FALSE())</f>
        <v>#N/A</v>
      </c>
      <c r="N575" s="68" t="e">
        <f aca="false">VLOOKUP(A575,BD_ORDENES!A:BE,15,FALSE())</f>
        <v>#N/A</v>
      </c>
      <c r="O575" s="68" t="e">
        <f aca="false">VLOOKUP(A575,BD_ORDENES!A:BE,33,FALSE())</f>
        <v>#N/A</v>
      </c>
      <c r="P575" s="68" t="e">
        <f aca="false">VLOOKUP(A575,BD_ORDENES!A:BE,23,FALSE())</f>
        <v>#N/A</v>
      </c>
      <c r="Q575" s="68" t="e">
        <f aca="false">VLOOKUP(A575,BD_ORDENES!A:BE,52,FALSE())</f>
        <v>#N/A</v>
      </c>
      <c r="R575" s="68" t="e">
        <f aca="false">VLOOKUP(A575,BD_ORDENES!A:BE,25,FALSE())</f>
        <v>#N/A</v>
      </c>
      <c r="S575" s="68" t="e">
        <f aca="false">VLOOKUP(A575,BD_ORDENES!A:BE,22,FALSE())</f>
        <v>#N/A</v>
      </c>
      <c r="T575" s="65" t="e">
        <f aca="false">VLOOKUP(A575,BD_ORDENES!A:BE,55,FALSE())</f>
        <v>#N/A</v>
      </c>
      <c r="U575" s="68" t="e">
        <f aca="false">VLOOKUP(A575,BD_ORDENES!A:BE,57,FALSE())</f>
        <v>#N/A</v>
      </c>
      <c r="V575" s="70"/>
      <c r="W575" s="71"/>
    </row>
    <row r="576" s="72" customFormat="true" ht="98.25" hidden="false" customHeight="true" outlineLevel="0" collapsed="false">
      <c r="A576" s="62" t="n">
        <f aca="false">A575+1</f>
        <v>569</v>
      </c>
      <c r="B576" s="63" t="e">
        <f aca="false">VLOOKUP(A576,BD_ORDENES!A:BG,12,FALSE())</f>
        <v>#N/A</v>
      </c>
      <c r="C576" s="64" t="n">
        <v>569</v>
      </c>
      <c r="D576" s="65" t="e">
        <f aca="false">VLOOKUP(A576,BD_ORDENES!A:BE,10,0)</f>
        <v>#N/A</v>
      </c>
      <c r="E576" s="66" t="e">
        <f aca="false">VLOOKUP(A576,BD_ORDENES!A:BG,4,FALSE())</f>
        <v>#N/A</v>
      </c>
      <c r="F576" s="66" t="e">
        <f aca="false">VLOOKUP(A576,BD_ORDENES!A:BE,56,FALSE())</f>
        <v>#N/A</v>
      </c>
      <c r="G576" s="67" t="e">
        <f aca="false">VLOOKUP(A576,BD_ORDENES!A:BE,13,FALSE())</f>
        <v>#N/A</v>
      </c>
      <c r="H576" s="68" t="e">
        <f aca="false">VLOOKUP(A576,BD_ORDENES!A:BE,17,FALSE())</f>
        <v>#N/A</v>
      </c>
      <c r="I576" s="68" t="e">
        <f aca="false">VLOOKUP(A576,BD_ORDENES!A:BE,18,FALSE())</f>
        <v>#N/A</v>
      </c>
      <c r="J576" s="68" t="e">
        <f aca="false">VLOOKUP(A576,BD_ORDENES!A:BE,19,FALSE())</f>
        <v>#N/A</v>
      </c>
      <c r="K576" s="68" t="e">
        <f aca="false">VLOOKUP(A576,BD_ORDENES!A:BE,20,FALSE())</f>
        <v>#N/A</v>
      </c>
      <c r="L576" s="68" t="e">
        <f aca="false">VLOOKUP(A576,BD_ORDENES!A:BE,21,FALSE())</f>
        <v>#N/A</v>
      </c>
      <c r="M576" s="69" t="e">
        <f aca="false">VLOOKUP(A576,BD_ORDENES!A:BE,14,FALSE())</f>
        <v>#N/A</v>
      </c>
      <c r="N576" s="68" t="e">
        <f aca="false">VLOOKUP(A576,BD_ORDENES!A:BE,15,FALSE())</f>
        <v>#N/A</v>
      </c>
      <c r="O576" s="68" t="e">
        <f aca="false">VLOOKUP(A576,BD_ORDENES!A:BE,33,FALSE())</f>
        <v>#N/A</v>
      </c>
      <c r="P576" s="68" t="e">
        <f aca="false">VLOOKUP(A576,BD_ORDENES!A:BE,23,FALSE())</f>
        <v>#N/A</v>
      </c>
      <c r="Q576" s="68" t="e">
        <f aca="false">VLOOKUP(A576,BD_ORDENES!A:BE,52,FALSE())</f>
        <v>#N/A</v>
      </c>
      <c r="R576" s="68" t="e">
        <f aca="false">VLOOKUP(A576,BD_ORDENES!A:BE,25,FALSE())</f>
        <v>#N/A</v>
      </c>
      <c r="S576" s="68" t="e">
        <f aca="false">VLOOKUP(A576,BD_ORDENES!A:BE,22,FALSE())</f>
        <v>#N/A</v>
      </c>
      <c r="T576" s="65" t="e">
        <f aca="false">VLOOKUP(A576,BD_ORDENES!A:BE,55,FALSE())</f>
        <v>#N/A</v>
      </c>
      <c r="U576" s="68" t="e">
        <f aca="false">VLOOKUP(A576,BD_ORDENES!A:BE,57,FALSE())</f>
        <v>#N/A</v>
      </c>
      <c r="V576" s="70"/>
      <c r="W576" s="71"/>
    </row>
    <row r="577" s="72" customFormat="true" ht="98.25" hidden="false" customHeight="true" outlineLevel="0" collapsed="false">
      <c r="A577" s="62" t="n">
        <f aca="false">A576+1</f>
        <v>570</v>
      </c>
      <c r="B577" s="63" t="e">
        <f aca="false">VLOOKUP(A577,BD_ORDENES!A:BG,12,FALSE())</f>
        <v>#N/A</v>
      </c>
      <c r="C577" s="64" t="n">
        <v>570</v>
      </c>
      <c r="D577" s="65" t="e">
        <f aca="false">VLOOKUP(A577,BD_ORDENES!A:BE,10,0)</f>
        <v>#N/A</v>
      </c>
      <c r="E577" s="66" t="e">
        <f aca="false">VLOOKUP(A577,BD_ORDENES!A:BG,4,FALSE())</f>
        <v>#N/A</v>
      </c>
      <c r="F577" s="66" t="e">
        <f aca="false">VLOOKUP(A577,BD_ORDENES!A:BE,56,FALSE())</f>
        <v>#N/A</v>
      </c>
      <c r="G577" s="67" t="e">
        <f aca="false">VLOOKUP(A577,BD_ORDENES!A:BE,13,FALSE())</f>
        <v>#N/A</v>
      </c>
      <c r="H577" s="68" t="e">
        <f aca="false">VLOOKUP(A577,BD_ORDENES!A:BE,17,FALSE())</f>
        <v>#N/A</v>
      </c>
      <c r="I577" s="68" t="e">
        <f aca="false">VLOOKUP(A577,BD_ORDENES!A:BE,18,FALSE())</f>
        <v>#N/A</v>
      </c>
      <c r="J577" s="68" t="e">
        <f aca="false">VLOOKUP(A577,BD_ORDENES!A:BE,19,FALSE())</f>
        <v>#N/A</v>
      </c>
      <c r="K577" s="68" t="e">
        <f aca="false">VLOOKUP(A577,BD_ORDENES!A:BE,20,FALSE())</f>
        <v>#N/A</v>
      </c>
      <c r="L577" s="68" t="e">
        <f aca="false">VLOOKUP(A577,BD_ORDENES!A:BE,21,FALSE())</f>
        <v>#N/A</v>
      </c>
      <c r="M577" s="69" t="e">
        <f aca="false">VLOOKUP(A577,BD_ORDENES!A:BE,14,FALSE())</f>
        <v>#N/A</v>
      </c>
      <c r="N577" s="68" t="e">
        <f aca="false">VLOOKUP(A577,BD_ORDENES!A:BE,15,FALSE())</f>
        <v>#N/A</v>
      </c>
      <c r="O577" s="68" t="e">
        <f aca="false">VLOOKUP(A577,BD_ORDENES!A:BE,33,FALSE())</f>
        <v>#N/A</v>
      </c>
      <c r="P577" s="68" t="e">
        <f aca="false">VLOOKUP(A577,BD_ORDENES!A:BE,23,FALSE())</f>
        <v>#N/A</v>
      </c>
      <c r="Q577" s="68" t="e">
        <f aca="false">VLOOKUP(A577,BD_ORDENES!A:BE,52,FALSE())</f>
        <v>#N/A</v>
      </c>
      <c r="R577" s="68" t="e">
        <f aca="false">VLOOKUP(A577,BD_ORDENES!A:BE,25,FALSE())</f>
        <v>#N/A</v>
      </c>
      <c r="S577" s="68" t="e">
        <f aca="false">VLOOKUP(A577,BD_ORDENES!A:BE,22,FALSE())</f>
        <v>#N/A</v>
      </c>
      <c r="T577" s="65" t="e">
        <f aca="false">VLOOKUP(A577,BD_ORDENES!A:BE,55,FALSE())</f>
        <v>#N/A</v>
      </c>
      <c r="U577" s="68" t="e">
        <f aca="false">VLOOKUP(A577,BD_ORDENES!A:BE,57,FALSE())</f>
        <v>#N/A</v>
      </c>
      <c r="V577" s="70"/>
      <c r="W577" s="71"/>
    </row>
    <row r="578" s="72" customFormat="true" ht="98.25" hidden="false" customHeight="true" outlineLevel="0" collapsed="false">
      <c r="A578" s="62" t="n">
        <f aca="false">A577+1</f>
        <v>571</v>
      </c>
      <c r="B578" s="63" t="e">
        <f aca="false">VLOOKUP(A578,BD_ORDENES!A:BG,12,FALSE())</f>
        <v>#N/A</v>
      </c>
      <c r="C578" s="64" t="n">
        <v>571</v>
      </c>
      <c r="D578" s="65" t="e">
        <f aca="false">VLOOKUP(A578,BD_ORDENES!A:BE,10,0)</f>
        <v>#N/A</v>
      </c>
      <c r="E578" s="66" t="e">
        <f aca="false">VLOOKUP(A578,BD_ORDENES!A:BG,4,FALSE())</f>
        <v>#N/A</v>
      </c>
      <c r="F578" s="66" t="e">
        <f aca="false">VLOOKUP(A578,BD_ORDENES!A:BE,56,FALSE())</f>
        <v>#N/A</v>
      </c>
      <c r="G578" s="67" t="e">
        <f aca="false">VLOOKUP(A578,BD_ORDENES!A:BE,13,FALSE())</f>
        <v>#N/A</v>
      </c>
      <c r="H578" s="68" t="e">
        <f aca="false">VLOOKUP(A578,BD_ORDENES!A:BE,17,FALSE())</f>
        <v>#N/A</v>
      </c>
      <c r="I578" s="68" t="e">
        <f aca="false">VLOOKUP(A578,BD_ORDENES!A:BE,18,FALSE())</f>
        <v>#N/A</v>
      </c>
      <c r="J578" s="68" t="e">
        <f aca="false">VLOOKUP(A578,BD_ORDENES!A:BE,19,FALSE())</f>
        <v>#N/A</v>
      </c>
      <c r="K578" s="68" t="e">
        <f aca="false">VLOOKUP(A578,BD_ORDENES!A:BE,20,FALSE())</f>
        <v>#N/A</v>
      </c>
      <c r="L578" s="68" t="e">
        <f aca="false">VLOOKUP(A578,BD_ORDENES!A:BE,21,FALSE())</f>
        <v>#N/A</v>
      </c>
      <c r="M578" s="69" t="e">
        <f aca="false">VLOOKUP(A578,BD_ORDENES!A:BE,14,FALSE())</f>
        <v>#N/A</v>
      </c>
      <c r="N578" s="68" t="e">
        <f aca="false">VLOOKUP(A578,BD_ORDENES!A:BE,15,FALSE())</f>
        <v>#N/A</v>
      </c>
      <c r="O578" s="68" t="e">
        <f aca="false">VLOOKUP(A578,BD_ORDENES!A:BE,33,FALSE())</f>
        <v>#N/A</v>
      </c>
      <c r="P578" s="68" t="e">
        <f aca="false">VLOOKUP(A578,BD_ORDENES!A:BE,23,FALSE())</f>
        <v>#N/A</v>
      </c>
      <c r="Q578" s="68" t="e">
        <f aca="false">VLOOKUP(A578,BD_ORDENES!A:BE,52,FALSE())</f>
        <v>#N/A</v>
      </c>
      <c r="R578" s="68" t="e">
        <f aca="false">VLOOKUP(A578,BD_ORDENES!A:BE,25,FALSE())</f>
        <v>#N/A</v>
      </c>
      <c r="S578" s="68" t="e">
        <f aca="false">VLOOKUP(A578,BD_ORDENES!A:BE,22,FALSE())</f>
        <v>#N/A</v>
      </c>
      <c r="T578" s="65" t="e">
        <f aca="false">VLOOKUP(A578,BD_ORDENES!A:BE,55,FALSE())</f>
        <v>#N/A</v>
      </c>
      <c r="U578" s="68" t="e">
        <f aca="false">VLOOKUP(A578,BD_ORDENES!A:BE,57,FALSE())</f>
        <v>#N/A</v>
      </c>
      <c r="V578" s="70"/>
      <c r="W578" s="71"/>
    </row>
    <row r="579" s="72" customFormat="true" ht="98.25" hidden="false" customHeight="true" outlineLevel="0" collapsed="false">
      <c r="A579" s="62" t="n">
        <f aca="false">A578+1</f>
        <v>572</v>
      </c>
      <c r="B579" s="63" t="e">
        <f aca="false">VLOOKUP(A579,BD_ORDENES!A:BG,12,FALSE())</f>
        <v>#N/A</v>
      </c>
      <c r="C579" s="64" t="n">
        <v>572</v>
      </c>
      <c r="D579" s="65" t="e">
        <f aca="false">VLOOKUP(A579,BD_ORDENES!A:BE,10,0)</f>
        <v>#N/A</v>
      </c>
      <c r="E579" s="66" t="e">
        <f aca="false">VLOOKUP(A579,BD_ORDENES!A:BG,4,FALSE())</f>
        <v>#N/A</v>
      </c>
      <c r="F579" s="66" t="e">
        <f aca="false">VLOOKUP(A579,BD_ORDENES!A:BE,56,FALSE())</f>
        <v>#N/A</v>
      </c>
      <c r="G579" s="67" t="e">
        <f aca="false">VLOOKUP(A579,BD_ORDENES!A:BE,13,FALSE())</f>
        <v>#N/A</v>
      </c>
      <c r="H579" s="68" t="e">
        <f aca="false">VLOOKUP(A579,BD_ORDENES!A:BE,17,FALSE())</f>
        <v>#N/A</v>
      </c>
      <c r="I579" s="68" t="e">
        <f aca="false">VLOOKUP(A579,BD_ORDENES!A:BE,18,FALSE())</f>
        <v>#N/A</v>
      </c>
      <c r="J579" s="68" t="e">
        <f aca="false">VLOOKUP(A579,BD_ORDENES!A:BE,19,FALSE())</f>
        <v>#N/A</v>
      </c>
      <c r="K579" s="68" t="e">
        <f aca="false">VLOOKUP(A579,BD_ORDENES!A:BE,20,FALSE())</f>
        <v>#N/A</v>
      </c>
      <c r="L579" s="68" t="e">
        <f aca="false">VLOOKUP(A579,BD_ORDENES!A:BE,21,FALSE())</f>
        <v>#N/A</v>
      </c>
      <c r="M579" s="69" t="e">
        <f aca="false">VLOOKUP(A579,BD_ORDENES!A:BE,14,FALSE())</f>
        <v>#N/A</v>
      </c>
      <c r="N579" s="68" t="e">
        <f aca="false">VLOOKUP(A579,BD_ORDENES!A:BE,15,FALSE())</f>
        <v>#N/A</v>
      </c>
      <c r="O579" s="68" t="e">
        <f aca="false">VLOOKUP(A579,BD_ORDENES!A:BE,33,FALSE())</f>
        <v>#N/A</v>
      </c>
      <c r="P579" s="68" t="e">
        <f aca="false">VLOOKUP(A579,BD_ORDENES!A:BE,23,FALSE())</f>
        <v>#N/A</v>
      </c>
      <c r="Q579" s="68" t="e">
        <f aca="false">VLOOKUP(A579,BD_ORDENES!A:BE,52,FALSE())</f>
        <v>#N/A</v>
      </c>
      <c r="R579" s="68" t="e">
        <f aca="false">VLOOKUP(A579,BD_ORDENES!A:BE,25,FALSE())</f>
        <v>#N/A</v>
      </c>
      <c r="S579" s="68" t="e">
        <f aca="false">VLOOKUP(A579,BD_ORDENES!A:BE,22,FALSE())</f>
        <v>#N/A</v>
      </c>
      <c r="T579" s="65" t="e">
        <f aca="false">VLOOKUP(A579,BD_ORDENES!A:BE,55,FALSE())</f>
        <v>#N/A</v>
      </c>
      <c r="U579" s="68" t="e">
        <f aca="false">VLOOKUP(A579,BD_ORDENES!A:BE,57,FALSE())</f>
        <v>#N/A</v>
      </c>
      <c r="V579" s="70"/>
      <c r="W579" s="71"/>
    </row>
    <row r="580" s="72" customFormat="true" ht="98.25" hidden="false" customHeight="true" outlineLevel="0" collapsed="false">
      <c r="A580" s="62" t="n">
        <f aca="false">A579+1</f>
        <v>573</v>
      </c>
      <c r="B580" s="63" t="e">
        <f aca="false">VLOOKUP(A580,BD_ORDENES!A:BG,12,FALSE())</f>
        <v>#N/A</v>
      </c>
      <c r="C580" s="64" t="n">
        <v>573</v>
      </c>
      <c r="D580" s="65" t="e">
        <f aca="false">VLOOKUP(A580,BD_ORDENES!A:BE,10,0)</f>
        <v>#N/A</v>
      </c>
      <c r="E580" s="66" t="e">
        <f aca="false">VLOOKUP(A580,BD_ORDENES!A:BG,4,FALSE())</f>
        <v>#N/A</v>
      </c>
      <c r="F580" s="66" t="e">
        <f aca="false">VLOOKUP(A580,BD_ORDENES!A:BE,56,FALSE())</f>
        <v>#N/A</v>
      </c>
      <c r="G580" s="67" t="e">
        <f aca="false">VLOOKUP(A580,BD_ORDENES!A:BE,13,FALSE())</f>
        <v>#N/A</v>
      </c>
      <c r="H580" s="68" t="e">
        <f aca="false">VLOOKUP(A580,BD_ORDENES!A:BE,17,FALSE())</f>
        <v>#N/A</v>
      </c>
      <c r="I580" s="68" t="e">
        <f aca="false">VLOOKUP(A580,BD_ORDENES!A:BE,18,FALSE())</f>
        <v>#N/A</v>
      </c>
      <c r="J580" s="68" t="e">
        <f aca="false">VLOOKUP(A580,BD_ORDENES!A:BE,19,FALSE())</f>
        <v>#N/A</v>
      </c>
      <c r="K580" s="68" t="e">
        <f aca="false">VLOOKUP(A580,BD_ORDENES!A:BE,20,FALSE())</f>
        <v>#N/A</v>
      </c>
      <c r="L580" s="68" t="e">
        <f aca="false">VLOOKUP(A580,BD_ORDENES!A:BE,21,FALSE())</f>
        <v>#N/A</v>
      </c>
      <c r="M580" s="69" t="e">
        <f aca="false">VLOOKUP(A580,BD_ORDENES!A:BE,14,FALSE())</f>
        <v>#N/A</v>
      </c>
      <c r="N580" s="68" t="e">
        <f aca="false">VLOOKUP(A580,BD_ORDENES!A:BE,15,FALSE())</f>
        <v>#N/A</v>
      </c>
      <c r="O580" s="68" t="e">
        <f aca="false">VLOOKUP(A580,BD_ORDENES!A:BE,33,FALSE())</f>
        <v>#N/A</v>
      </c>
      <c r="P580" s="68" t="e">
        <f aca="false">VLOOKUP(A580,BD_ORDENES!A:BE,23,FALSE())</f>
        <v>#N/A</v>
      </c>
      <c r="Q580" s="68" t="e">
        <f aca="false">VLOOKUP(A580,BD_ORDENES!A:BE,52,FALSE())</f>
        <v>#N/A</v>
      </c>
      <c r="R580" s="68" t="e">
        <f aca="false">VLOOKUP(A580,BD_ORDENES!A:BE,25,FALSE())</f>
        <v>#N/A</v>
      </c>
      <c r="S580" s="68" t="e">
        <f aca="false">VLOOKUP(A580,BD_ORDENES!A:BE,22,FALSE())</f>
        <v>#N/A</v>
      </c>
      <c r="T580" s="65" t="e">
        <f aca="false">VLOOKUP(A580,BD_ORDENES!A:BE,55,FALSE())</f>
        <v>#N/A</v>
      </c>
      <c r="U580" s="68" t="e">
        <f aca="false">VLOOKUP(A580,BD_ORDENES!A:BE,57,FALSE())</f>
        <v>#N/A</v>
      </c>
      <c r="V580" s="70"/>
      <c r="W580" s="71"/>
    </row>
    <row r="581" s="72" customFormat="true" ht="98.25" hidden="false" customHeight="true" outlineLevel="0" collapsed="false">
      <c r="A581" s="62" t="n">
        <f aca="false">A580+1</f>
        <v>574</v>
      </c>
      <c r="B581" s="63" t="e">
        <f aca="false">VLOOKUP(A581,BD_ORDENES!A:BG,12,FALSE())</f>
        <v>#N/A</v>
      </c>
      <c r="C581" s="64" t="n">
        <v>574</v>
      </c>
      <c r="D581" s="65" t="e">
        <f aca="false">VLOOKUP(A581,BD_ORDENES!A:BE,10,0)</f>
        <v>#N/A</v>
      </c>
      <c r="E581" s="66" t="e">
        <f aca="false">VLOOKUP(A581,BD_ORDENES!A:BG,4,FALSE())</f>
        <v>#N/A</v>
      </c>
      <c r="F581" s="66" t="e">
        <f aca="false">VLOOKUP(A581,BD_ORDENES!A:BE,56,FALSE())</f>
        <v>#N/A</v>
      </c>
      <c r="G581" s="67" t="e">
        <f aca="false">VLOOKUP(A581,BD_ORDENES!A:BE,13,FALSE())</f>
        <v>#N/A</v>
      </c>
      <c r="H581" s="68" t="e">
        <f aca="false">VLOOKUP(A581,BD_ORDENES!A:BE,17,FALSE())</f>
        <v>#N/A</v>
      </c>
      <c r="I581" s="68" t="e">
        <f aca="false">VLOOKUP(A581,BD_ORDENES!A:BE,18,FALSE())</f>
        <v>#N/A</v>
      </c>
      <c r="J581" s="68" t="e">
        <f aca="false">VLOOKUP(A581,BD_ORDENES!A:BE,19,FALSE())</f>
        <v>#N/A</v>
      </c>
      <c r="K581" s="68" t="e">
        <f aca="false">VLOOKUP(A581,BD_ORDENES!A:BE,20,FALSE())</f>
        <v>#N/A</v>
      </c>
      <c r="L581" s="68" t="e">
        <f aca="false">VLOOKUP(A581,BD_ORDENES!A:BE,21,FALSE())</f>
        <v>#N/A</v>
      </c>
      <c r="M581" s="69" t="e">
        <f aca="false">VLOOKUP(A581,BD_ORDENES!A:BE,14,FALSE())</f>
        <v>#N/A</v>
      </c>
      <c r="N581" s="68" t="e">
        <f aca="false">VLOOKUP(A581,BD_ORDENES!A:BE,15,FALSE())</f>
        <v>#N/A</v>
      </c>
      <c r="O581" s="68" t="e">
        <f aca="false">VLOOKUP(A581,BD_ORDENES!A:BE,33,FALSE())</f>
        <v>#N/A</v>
      </c>
      <c r="P581" s="68" t="e">
        <f aca="false">VLOOKUP(A581,BD_ORDENES!A:BE,23,FALSE())</f>
        <v>#N/A</v>
      </c>
      <c r="Q581" s="68" t="e">
        <f aca="false">VLOOKUP(A581,BD_ORDENES!A:BE,52,FALSE())</f>
        <v>#N/A</v>
      </c>
      <c r="R581" s="68" t="e">
        <f aca="false">VLOOKUP(A581,BD_ORDENES!A:BE,25,FALSE())</f>
        <v>#N/A</v>
      </c>
      <c r="S581" s="68" t="e">
        <f aca="false">VLOOKUP(A581,BD_ORDENES!A:BE,22,FALSE())</f>
        <v>#N/A</v>
      </c>
      <c r="T581" s="65" t="e">
        <f aca="false">VLOOKUP(A581,BD_ORDENES!A:BE,55,FALSE())</f>
        <v>#N/A</v>
      </c>
      <c r="U581" s="68" t="e">
        <f aca="false">VLOOKUP(A581,BD_ORDENES!A:BE,57,FALSE())</f>
        <v>#N/A</v>
      </c>
      <c r="V581" s="70"/>
      <c r="W581" s="71"/>
    </row>
    <row r="582" s="72" customFormat="true" ht="98.25" hidden="false" customHeight="true" outlineLevel="0" collapsed="false">
      <c r="A582" s="62" t="n">
        <f aca="false">A581+1</f>
        <v>575</v>
      </c>
      <c r="B582" s="63" t="e">
        <f aca="false">VLOOKUP(A582,BD_ORDENES!A:BG,12,FALSE())</f>
        <v>#N/A</v>
      </c>
      <c r="C582" s="64" t="n">
        <v>575</v>
      </c>
      <c r="D582" s="65" t="e">
        <f aca="false">VLOOKUP(A582,BD_ORDENES!A:BE,10,0)</f>
        <v>#N/A</v>
      </c>
      <c r="E582" s="66" t="e">
        <f aca="false">VLOOKUP(A582,BD_ORDENES!A:BG,4,FALSE())</f>
        <v>#N/A</v>
      </c>
      <c r="F582" s="66" t="e">
        <f aca="false">VLOOKUP(A582,BD_ORDENES!A:BE,56,FALSE())</f>
        <v>#N/A</v>
      </c>
      <c r="G582" s="67" t="e">
        <f aca="false">VLOOKUP(A582,BD_ORDENES!A:BE,13,FALSE())</f>
        <v>#N/A</v>
      </c>
      <c r="H582" s="68" t="e">
        <f aca="false">VLOOKUP(A582,BD_ORDENES!A:BE,17,FALSE())</f>
        <v>#N/A</v>
      </c>
      <c r="I582" s="68" t="e">
        <f aca="false">VLOOKUP(A582,BD_ORDENES!A:BE,18,FALSE())</f>
        <v>#N/A</v>
      </c>
      <c r="J582" s="68" t="e">
        <f aca="false">VLOOKUP(A582,BD_ORDENES!A:BE,19,FALSE())</f>
        <v>#N/A</v>
      </c>
      <c r="K582" s="68" t="e">
        <f aca="false">VLOOKUP(A582,BD_ORDENES!A:BE,20,FALSE())</f>
        <v>#N/A</v>
      </c>
      <c r="L582" s="68" t="e">
        <f aca="false">VLOOKUP(A582,BD_ORDENES!A:BE,21,FALSE())</f>
        <v>#N/A</v>
      </c>
      <c r="M582" s="69" t="e">
        <f aca="false">VLOOKUP(A582,BD_ORDENES!A:BE,14,FALSE())</f>
        <v>#N/A</v>
      </c>
      <c r="N582" s="68" t="e">
        <f aca="false">VLOOKUP(A582,BD_ORDENES!A:BE,15,FALSE())</f>
        <v>#N/A</v>
      </c>
      <c r="O582" s="68" t="e">
        <f aca="false">VLOOKUP(A582,BD_ORDENES!A:BE,33,FALSE())</f>
        <v>#N/A</v>
      </c>
      <c r="P582" s="68" t="e">
        <f aca="false">VLOOKUP(A582,BD_ORDENES!A:BE,23,FALSE())</f>
        <v>#N/A</v>
      </c>
      <c r="Q582" s="68" t="e">
        <f aca="false">VLOOKUP(A582,BD_ORDENES!A:BE,52,FALSE())</f>
        <v>#N/A</v>
      </c>
      <c r="R582" s="68" t="e">
        <f aca="false">VLOOKUP(A582,BD_ORDENES!A:BE,25,FALSE())</f>
        <v>#N/A</v>
      </c>
      <c r="S582" s="68" t="e">
        <f aca="false">VLOOKUP(A582,BD_ORDENES!A:BE,22,FALSE())</f>
        <v>#N/A</v>
      </c>
      <c r="T582" s="65" t="e">
        <f aca="false">VLOOKUP(A582,BD_ORDENES!A:BE,55,FALSE())</f>
        <v>#N/A</v>
      </c>
      <c r="U582" s="68" t="e">
        <f aca="false">VLOOKUP(A582,BD_ORDENES!A:BE,57,FALSE())</f>
        <v>#N/A</v>
      </c>
      <c r="V582" s="70"/>
      <c r="W582" s="71"/>
    </row>
    <row r="583" s="72" customFormat="true" ht="98.25" hidden="false" customHeight="true" outlineLevel="0" collapsed="false">
      <c r="A583" s="62" t="n">
        <f aca="false">A582+1</f>
        <v>576</v>
      </c>
      <c r="B583" s="63" t="e">
        <f aca="false">VLOOKUP(A583,BD_ORDENES!A:BG,12,FALSE())</f>
        <v>#N/A</v>
      </c>
      <c r="C583" s="64" t="n">
        <v>576</v>
      </c>
      <c r="D583" s="65" t="e">
        <f aca="false">VLOOKUP(A583,BD_ORDENES!A:BE,10,0)</f>
        <v>#N/A</v>
      </c>
      <c r="E583" s="66" t="e">
        <f aca="false">VLOOKUP(A583,BD_ORDENES!A:BG,4,FALSE())</f>
        <v>#N/A</v>
      </c>
      <c r="F583" s="66" t="e">
        <f aca="false">VLOOKUP(A583,BD_ORDENES!A:BE,56,FALSE())</f>
        <v>#N/A</v>
      </c>
      <c r="G583" s="67" t="e">
        <f aca="false">VLOOKUP(A583,BD_ORDENES!A:BE,13,FALSE())</f>
        <v>#N/A</v>
      </c>
      <c r="H583" s="68" t="e">
        <f aca="false">VLOOKUP(A583,BD_ORDENES!A:BE,17,FALSE())</f>
        <v>#N/A</v>
      </c>
      <c r="I583" s="68" t="e">
        <f aca="false">VLOOKUP(A583,BD_ORDENES!A:BE,18,FALSE())</f>
        <v>#N/A</v>
      </c>
      <c r="J583" s="68" t="e">
        <f aca="false">VLOOKUP(A583,BD_ORDENES!A:BE,19,FALSE())</f>
        <v>#N/A</v>
      </c>
      <c r="K583" s="68" t="e">
        <f aca="false">VLOOKUP(A583,BD_ORDENES!A:BE,20,FALSE())</f>
        <v>#N/A</v>
      </c>
      <c r="L583" s="68" t="e">
        <f aca="false">VLOOKUP(A583,BD_ORDENES!A:BE,21,FALSE())</f>
        <v>#N/A</v>
      </c>
      <c r="M583" s="69" t="e">
        <f aca="false">VLOOKUP(A583,BD_ORDENES!A:BE,14,FALSE())</f>
        <v>#N/A</v>
      </c>
      <c r="N583" s="68" t="e">
        <f aca="false">VLOOKUP(A583,BD_ORDENES!A:BE,15,FALSE())</f>
        <v>#N/A</v>
      </c>
      <c r="O583" s="68" t="e">
        <f aca="false">VLOOKUP(A583,BD_ORDENES!A:BE,33,FALSE())</f>
        <v>#N/A</v>
      </c>
      <c r="P583" s="68" t="e">
        <f aca="false">VLOOKUP(A583,BD_ORDENES!A:BE,23,FALSE())</f>
        <v>#N/A</v>
      </c>
      <c r="Q583" s="68" t="e">
        <f aca="false">VLOOKUP(A583,BD_ORDENES!A:BE,52,FALSE())</f>
        <v>#N/A</v>
      </c>
      <c r="R583" s="68" t="e">
        <f aca="false">VLOOKUP(A583,BD_ORDENES!A:BE,25,FALSE())</f>
        <v>#N/A</v>
      </c>
      <c r="S583" s="68" t="e">
        <f aca="false">VLOOKUP(A583,BD_ORDENES!A:BE,22,FALSE())</f>
        <v>#N/A</v>
      </c>
      <c r="T583" s="65" t="e">
        <f aca="false">VLOOKUP(A583,BD_ORDENES!A:BE,55,FALSE())</f>
        <v>#N/A</v>
      </c>
      <c r="U583" s="68" t="e">
        <f aca="false">VLOOKUP(A583,BD_ORDENES!A:BE,57,FALSE())</f>
        <v>#N/A</v>
      </c>
      <c r="V583" s="70"/>
      <c r="W583" s="71"/>
    </row>
    <row r="584" s="72" customFormat="true" ht="98.25" hidden="false" customHeight="true" outlineLevel="0" collapsed="false">
      <c r="A584" s="62" t="n">
        <f aca="false">A583+1</f>
        <v>577</v>
      </c>
      <c r="B584" s="63" t="e">
        <f aca="false">VLOOKUP(A584,BD_ORDENES!A:BG,12,FALSE())</f>
        <v>#N/A</v>
      </c>
      <c r="C584" s="64" t="n">
        <v>577</v>
      </c>
      <c r="D584" s="65" t="e">
        <f aca="false">VLOOKUP(A584,BD_ORDENES!A:BE,10,0)</f>
        <v>#N/A</v>
      </c>
      <c r="E584" s="66" t="e">
        <f aca="false">VLOOKUP(A584,BD_ORDENES!A:BG,4,FALSE())</f>
        <v>#N/A</v>
      </c>
      <c r="F584" s="66" t="e">
        <f aca="false">VLOOKUP(A584,BD_ORDENES!A:BE,56,FALSE())</f>
        <v>#N/A</v>
      </c>
      <c r="G584" s="67" t="e">
        <f aca="false">VLOOKUP(A584,BD_ORDENES!A:BE,13,FALSE())</f>
        <v>#N/A</v>
      </c>
      <c r="H584" s="68" t="e">
        <f aca="false">VLOOKUP(A584,BD_ORDENES!A:BE,17,FALSE())</f>
        <v>#N/A</v>
      </c>
      <c r="I584" s="68" t="e">
        <f aca="false">VLOOKUP(A584,BD_ORDENES!A:BE,18,FALSE())</f>
        <v>#N/A</v>
      </c>
      <c r="J584" s="68" t="e">
        <f aca="false">VLOOKUP(A584,BD_ORDENES!A:BE,19,FALSE())</f>
        <v>#N/A</v>
      </c>
      <c r="K584" s="68" t="e">
        <f aca="false">VLOOKUP(A584,BD_ORDENES!A:BE,20,FALSE())</f>
        <v>#N/A</v>
      </c>
      <c r="L584" s="68" t="e">
        <f aca="false">VLOOKUP(A584,BD_ORDENES!A:BE,21,FALSE())</f>
        <v>#N/A</v>
      </c>
      <c r="M584" s="69" t="e">
        <f aca="false">VLOOKUP(A584,BD_ORDENES!A:BE,14,FALSE())</f>
        <v>#N/A</v>
      </c>
      <c r="N584" s="68" t="e">
        <f aca="false">VLOOKUP(A584,BD_ORDENES!A:BE,15,FALSE())</f>
        <v>#N/A</v>
      </c>
      <c r="O584" s="68" t="e">
        <f aca="false">VLOOKUP(A584,BD_ORDENES!A:BE,33,FALSE())</f>
        <v>#N/A</v>
      </c>
      <c r="P584" s="68" t="e">
        <f aca="false">VLOOKUP(A584,BD_ORDENES!A:BE,23,FALSE())</f>
        <v>#N/A</v>
      </c>
      <c r="Q584" s="68" t="e">
        <f aca="false">VLOOKUP(A584,BD_ORDENES!A:BE,52,FALSE())</f>
        <v>#N/A</v>
      </c>
      <c r="R584" s="68" t="e">
        <f aca="false">VLOOKUP(A584,BD_ORDENES!A:BE,25,FALSE())</f>
        <v>#N/A</v>
      </c>
      <c r="S584" s="68" t="e">
        <f aca="false">VLOOKUP(A584,BD_ORDENES!A:BE,22,FALSE())</f>
        <v>#N/A</v>
      </c>
      <c r="T584" s="65" t="e">
        <f aca="false">VLOOKUP(A584,BD_ORDENES!A:BE,55,FALSE())</f>
        <v>#N/A</v>
      </c>
      <c r="U584" s="68" t="e">
        <f aca="false">VLOOKUP(A584,BD_ORDENES!A:BE,57,FALSE())</f>
        <v>#N/A</v>
      </c>
      <c r="V584" s="70"/>
      <c r="W584" s="71"/>
    </row>
    <row r="585" s="72" customFormat="true" ht="98.25" hidden="false" customHeight="true" outlineLevel="0" collapsed="false">
      <c r="A585" s="62" t="n">
        <f aca="false">A584+1</f>
        <v>578</v>
      </c>
      <c r="B585" s="63" t="e">
        <f aca="false">VLOOKUP(A585,BD_ORDENES!A:BG,12,FALSE())</f>
        <v>#N/A</v>
      </c>
      <c r="C585" s="64" t="n">
        <v>578</v>
      </c>
      <c r="D585" s="65" t="e">
        <f aca="false">VLOOKUP(A585,BD_ORDENES!A:BE,10,0)</f>
        <v>#N/A</v>
      </c>
      <c r="E585" s="66" t="e">
        <f aca="false">VLOOKUP(A585,BD_ORDENES!A:BG,4,FALSE())</f>
        <v>#N/A</v>
      </c>
      <c r="F585" s="66" t="e">
        <f aca="false">VLOOKUP(A585,BD_ORDENES!A:BE,56,FALSE())</f>
        <v>#N/A</v>
      </c>
      <c r="G585" s="67" t="e">
        <f aca="false">VLOOKUP(A585,BD_ORDENES!A:BE,13,FALSE())</f>
        <v>#N/A</v>
      </c>
      <c r="H585" s="68" t="e">
        <f aca="false">VLOOKUP(A585,BD_ORDENES!A:BE,17,FALSE())</f>
        <v>#N/A</v>
      </c>
      <c r="I585" s="68" t="e">
        <f aca="false">VLOOKUP(A585,BD_ORDENES!A:BE,18,FALSE())</f>
        <v>#N/A</v>
      </c>
      <c r="J585" s="68" t="e">
        <f aca="false">VLOOKUP(A585,BD_ORDENES!A:BE,19,FALSE())</f>
        <v>#N/A</v>
      </c>
      <c r="K585" s="68" t="e">
        <f aca="false">VLOOKUP(A585,BD_ORDENES!A:BE,20,FALSE())</f>
        <v>#N/A</v>
      </c>
      <c r="L585" s="68" t="e">
        <f aca="false">VLOOKUP(A585,BD_ORDENES!A:BE,21,FALSE())</f>
        <v>#N/A</v>
      </c>
      <c r="M585" s="69" t="e">
        <f aca="false">VLOOKUP(A585,BD_ORDENES!A:BE,14,FALSE())</f>
        <v>#N/A</v>
      </c>
      <c r="N585" s="68" t="e">
        <f aca="false">VLOOKUP(A585,BD_ORDENES!A:BE,15,FALSE())</f>
        <v>#N/A</v>
      </c>
      <c r="O585" s="68" t="e">
        <f aca="false">VLOOKUP(A585,BD_ORDENES!A:BE,33,FALSE())</f>
        <v>#N/A</v>
      </c>
      <c r="P585" s="68" t="e">
        <f aca="false">VLOOKUP(A585,BD_ORDENES!A:BE,23,FALSE())</f>
        <v>#N/A</v>
      </c>
      <c r="Q585" s="68" t="e">
        <f aca="false">VLOOKUP(A585,BD_ORDENES!A:BE,52,FALSE())</f>
        <v>#N/A</v>
      </c>
      <c r="R585" s="68" t="e">
        <f aca="false">VLOOKUP(A585,BD_ORDENES!A:BE,25,FALSE())</f>
        <v>#N/A</v>
      </c>
      <c r="S585" s="68" t="e">
        <f aca="false">VLOOKUP(A585,BD_ORDENES!A:BE,22,FALSE())</f>
        <v>#N/A</v>
      </c>
      <c r="T585" s="65" t="e">
        <f aca="false">VLOOKUP(A585,BD_ORDENES!A:BE,55,FALSE())</f>
        <v>#N/A</v>
      </c>
      <c r="U585" s="68" t="e">
        <f aca="false">VLOOKUP(A585,BD_ORDENES!A:BE,57,FALSE())</f>
        <v>#N/A</v>
      </c>
      <c r="V585" s="70"/>
      <c r="W585" s="71"/>
    </row>
    <row r="586" s="72" customFormat="true" ht="98.25" hidden="false" customHeight="true" outlineLevel="0" collapsed="false">
      <c r="A586" s="62" t="n">
        <f aca="false">A585+1</f>
        <v>579</v>
      </c>
      <c r="B586" s="63" t="e">
        <f aca="false">VLOOKUP(A586,BD_ORDENES!A:BG,12,FALSE())</f>
        <v>#N/A</v>
      </c>
      <c r="C586" s="64" t="n">
        <v>579</v>
      </c>
      <c r="D586" s="65" t="e">
        <f aca="false">VLOOKUP(A586,BD_ORDENES!A:BE,10,0)</f>
        <v>#N/A</v>
      </c>
      <c r="E586" s="66" t="e">
        <f aca="false">VLOOKUP(A586,BD_ORDENES!A:BG,4,FALSE())</f>
        <v>#N/A</v>
      </c>
      <c r="F586" s="66" t="e">
        <f aca="false">VLOOKUP(A586,BD_ORDENES!A:BE,56,FALSE())</f>
        <v>#N/A</v>
      </c>
      <c r="G586" s="67" t="e">
        <f aca="false">VLOOKUP(A586,BD_ORDENES!A:BE,13,FALSE())</f>
        <v>#N/A</v>
      </c>
      <c r="H586" s="68" t="e">
        <f aca="false">VLOOKUP(A586,BD_ORDENES!A:BE,17,FALSE())</f>
        <v>#N/A</v>
      </c>
      <c r="I586" s="68" t="e">
        <f aca="false">VLOOKUP(A586,BD_ORDENES!A:BE,18,FALSE())</f>
        <v>#N/A</v>
      </c>
      <c r="J586" s="68" t="e">
        <f aca="false">VLOOKUP(A586,BD_ORDENES!A:BE,19,FALSE())</f>
        <v>#N/A</v>
      </c>
      <c r="K586" s="68" t="e">
        <f aca="false">VLOOKUP(A586,BD_ORDENES!A:BE,20,FALSE())</f>
        <v>#N/A</v>
      </c>
      <c r="L586" s="68" t="e">
        <f aca="false">VLOOKUP(A586,BD_ORDENES!A:BE,21,FALSE())</f>
        <v>#N/A</v>
      </c>
      <c r="M586" s="69" t="e">
        <f aca="false">VLOOKUP(A586,BD_ORDENES!A:BE,14,FALSE())</f>
        <v>#N/A</v>
      </c>
      <c r="N586" s="68" t="e">
        <f aca="false">VLOOKUP(A586,BD_ORDENES!A:BE,15,FALSE())</f>
        <v>#N/A</v>
      </c>
      <c r="O586" s="68" t="e">
        <f aca="false">VLOOKUP(A586,BD_ORDENES!A:BE,33,FALSE())</f>
        <v>#N/A</v>
      </c>
      <c r="P586" s="68" t="e">
        <f aca="false">VLOOKUP(A586,BD_ORDENES!A:BE,23,FALSE())</f>
        <v>#N/A</v>
      </c>
      <c r="Q586" s="68" t="e">
        <f aca="false">VLOOKUP(A586,BD_ORDENES!A:BE,52,FALSE())</f>
        <v>#N/A</v>
      </c>
      <c r="R586" s="68" t="e">
        <f aca="false">VLOOKUP(A586,BD_ORDENES!A:BE,25,FALSE())</f>
        <v>#N/A</v>
      </c>
      <c r="S586" s="68" t="e">
        <f aca="false">VLOOKUP(A586,BD_ORDENES!A:BE,22,FALSE())</f>
        <v>#N/A</v>
      </c>
      <c r="T586" s="65" t="e">
        <f aca="false">VLOOKUP(A586,BD_ORDENES!A:BE,55,FALSE())</f>
        <v>#N/A</v>
      </c>
      <c r="U586" s="68" t="e">
        <f aca="false">VLOOKUP(A586,BD_ORDENES!A:BE,57,FALSE())</f>
        <v>#N/A</v>
      </c>
      <c r="V586" s="70"/>
      <c r="W586" s="71"/>
    </row>
    <row r="587" s="72" customFormat="true" ht="98.25" hidden="false" customHeight="true" outlineLevel="0" collapsed="false">
      <c r="A587" s="62" t="n">
        <f aca="false">A586+1</f>
        <v>580</v>
      </c>
      <c r="B587" s="63" t="e">
        <f aca="false">VLOOKUP(A587,BD_ORDENES!A:BG,12,FALSE())</f>
        <v>#N/A</v>
      </c>
      <c r="C587" s="64" t="n">
        <v>580</v>
      </c>
      <c r="D587" s="65" t="e">
        <f aca="false">VLOOKUP(A587,BD_ORDENES!A:BE,10,0)</f>
        <v>#N/A</v>
      </c>
      <c r="E587" s="66" t="e">
        <f aca="false">VLOOKUP(A587,BD_ORDENES!A:BG,4,FALSE())</f>
        <v>#N/A</v>
      </c>
      <c r="F587" s="66" t="e">
        <f aca="false">VLOOKUP(A587,BD_ORDENES!A:BE,56,FALSE())</f>
        <v>#N/A</v>
      </c>
      <c r="G587" s="67" t="e">
        <f aca="false">VLOOKUP(A587,BD_ORDENES!A:BE,13,FALSE())</f>
        <v>#N/A</v>
      </c>
      <c r="H587" s="68" t="e">
        <f aca="false">VLOOKUP(A587,BD_ORDENES!A:BE,17,FALSE())</f>
        <v>#N/A</v>
      </c>
      <c r="I587" s="68" t="e">
        <f aca="false">VLOOKUP(A587,BD_ORDENES!A:BE,18,FALSE())</f>
        <v>#N/A</v>
      </c>
      <c r="J587" s="68" t="e">
        <f aca="false">VLOOKUP(A587,BD_ORDENES!A:BE,19,FALSE())</f>
        <v>#N/A</v>
      </c>
      <c r="K587" s="68" t="e">
        <f aca="false">VLOOKUP(A587,BD_ORDENES!A:BE,20,FALSE())</f>
        <v>#N/A</v>
      </c>
      <c r="L587" s="68" t="e">
        <f aca="false">VLOOKUP(A587,BD_ORDENES!A:BE,21,FALSE())</f>
        <v>#N/A</v>
      </c>
      <c r="M587" s="69" t="e">
        <f aca="false">VLOOKUP(A587,BD_ORDENES!A:BE,14,FALSE())</f>
        <v>#N/A</v>
      </c>
      <c r="N587" s="68" t="e">
        <f aca="false">VLOOKUP(A587,BD_ORDENES!A:BE,15,FALSE())</f>
        <v>#N/A</v>
      </c>
      <c r="O587" s="68" t="e">
        <f aca="false">VLOOKUP(A587,BD_ORDENES!A:BE,33,FALSE())</f>
        <v>#N/A</v>
      </c>
      <c r="P587" s="68" t="e">
        <f aca="false">VLOOKUP(A587,BD_ORDENES!A:BE,23,FALSE())</f>
        <v>#N/A</v>
      </c>
      <c r="Q587" s="68" t="e">
        <f aca="false">VLOOKUP(A587,BD_ORDENES!A:BE,52,FALSE())</f>
        <v>#N/A</v>
      </c>
      <c r="R587" s="68" t="e">
        <f aca="false">VLOOKUP(A587,BD_ORDENES!A:BE,25,FALSE())</f>
        <v>#N/A</v>
      </c>
      <c r="S587" s="68" t="e">
        <f aca="false">VLOOKUP(A587,BD_ORDENES!A:BE,22,FALSE())</f>
        <v>#N/A</v>
      </c>
      <c r="T587" s="65" t="e">
        <f aca="false">VLOOKUP(A587,BD_ORDENES!A:BE,55,FALSE())</f>
        <v>#N/A</v>
      </c>
      <c r="U587" s="68" t="e">
        <f aca="false">VLOOKUP(A587,BD_ORDENES!A:BE,57,FALSE())</f>
        <v>#N/A</v>
      </c>
      <c r="V587" s="70"/>
      <c r="W587" s="71"/>
    </row>
    <row r="588" s="72" customFormat="true" ht="98.25" hidden="false" customHeight="true" outlineLevel="0" collapsed="false">
      <c r="A588" s="62" t="n">
        <f aca="false">A587+1</f>
        <v>581</v>
      </c>
      <c r="B588" s="63" t="e">
        <f aca="false">VLOOKUP(A588,BD_ORDENES!A:BG,12,FALSE())</f>
        <v>#N/A</v>
      </c>
      <c r="C588" s="64" t="n">
        <v>581</v>
      </c>
      <c r="D588" s="65" t="e">
        <f aca="false">VLOOKUP(A588,BD_ORDENES!A:BE,10,0)</f>
        <v>#N/A</v>
      </c>
      <c r="E588" s="66" t="e">
        <f aca="false">VLOOKUP(A588,BD_ORDENES!A:BG,4,FALSE())</f>
        <v>#N/A</v>
      </c>
      <c r="F588" s="66" t="e">
        <f aca="false">VLOOKUP(A588,BD_ORDENES!A:BE,56,FALSE())</f>
        <v>#N/A</v>
      </c>
      <c r="G588" s="67" t="e">
        <f aca="false">VLOOKUP(A588,BD_ORDENES!A:BE,13,FALSE())</f>
        <v>#N/A</v>
      </c>
      <c r="H588" s="68" t="e">
        <f aca="false">VLOOKUP(A588,BD_ORDENES!A:BE,17,FALSE())</f>
        <v>#N/A</v>
      </c>
      <c r="I588" s="68" t="e">
        <f aca="false">VLOOKUP(A588,BD_ORDENES!A:BE,18,FALSE())</f>
        <v>#N/A</v>
      </c>
      <c r="J588" s="68" t="e">
        <f aca="false">VLOOKUP(A588,BD_ORDENES!A:BE,19,FALSE())</f>
        <v>#N/A</v>
      </c>
      <c r="K588" s="68" t="e">
        <f aca="false">VLOOKUP(A588,BD_ORDENES!A:BE,20,FALSE())</f>
        <v>#N/A</v>
      </c>
      <c r="L588" s="68" t="e">
        <f aca="false">VLOOKUP(A588,BD_ORDENES!A:BE,21,FALSE())</f>
        <v>#N/A</v>
      </c>
      <c r="M588" s="69" t="e">
        <f aca="false">VLOOKUP(A588,BD_ORDENES!A:BE,14,FALSE())</f>
        <v>#N/A</v>
      </c>
      <c r="N588" s="68" t="e">
        <f aca="false">VLOOKUP(A588,BD_ORDENES!A:BE,15,FALSE())</f>
        <v>#N/A</v>
      </c>
      <c r="O588" s="68" t="e">
        <f aca="false">VLOOKUP(A588,BD_ORDENES!A:BE,33,FALSE())</f>
        <v>#N/A</v>
      </c>
      <c r="P588" s="68" t="e">
        <f aca="false">VLOOKUP(A588,BD_ORDENES!A:BE,23,FALSE())</f>
        <v>#N/A</v>
      </c>
      <c r="Q588" s="68" t="e">
        <f aca="false">VLOOKUP(A588,BD_ORDENES!A:BE,52,FALSE())</f>
        <v>#N/A</v>
      </c>
      <c r="R588" s="68" t="e">
        <f aca="false">VLOOKUP(A588,BD_ORDENES!A:BE,25,FALSE())</f>
        <v>#N/A</v>
      </c>
      <c r="S588" s="68" t="e">
        <f aca="false">VLOOKUP(A588,BD_ORDENES!A:BE,22,FALSE())</f>
        <v>#N/A</v>
      </c>
      <c r="T588" s="65" t="e">
        <f aca="false">VLOOKUP(A588,BD_ORDENES!A:BE,55,FALSE())</f>
        <v>#N/A</v>
      </c>
      <c r="U588" s="68" t="e">
        <f aca="false">VLOOKUP(A588,BD_ORDENES!A:BE,57,FALSE())</f>
        <v>#N/A</v>
      </c>
      <c r="V588" s="70"/>
      <c r="W588" s="71"/>
    </row>
    <row r="589" s="72" customFormat="true" ht="98.25" hidden="false" customHeight="true" outlineLevel="0" collapsed="false">
      <c r="A589" s="62" t="n">
        <f aca="false">A588+1</f>
        <v>582</v>
      </c>
      <c r="B589" s="63" t="e">
        <f aca="false">VLOOKUP(A589,BD_ORDENES!A:BG,12,FALSE())</f>
        <v>#N/A</v>
      </c>
      <c r="C589" s="64" t="n">
        <v>582</v>
      </c>
      <c r="D589" s="65" t="e">
        <f aca="false">VLOOKUP(A589,BD_ORDENES!A:BE,10,0)</f>
        <v>#N/A</v>
      </c>
      <c r="E589" s="66" t="e">
        <f aca="false">VLOOKUP(A589,BD_ORDENES!A:BG,4,FALSE())</f>
        <v>#N/A</v>
      </c>
      <c r="F589" s="66" t="e">
        <f aca="false">VLOOKUP(A589,BD_ORDENES!A:BE,56,FALSE())</f>
        <v>#N/A</v>
      </c>
      <c r="G589" s="67" t="e">
        <f aca="false">VLOOKUP(A589,BD_ORDENES!A:BE,13,FALSE())</f>
        <v>#N/A</v>
      </c>
      <c r="H589" s="68" t="e">
        <f aca="false">VLOOKUP(A589,BD_ORDENES!A:BE,17,FALSE())</f>
        <v>#N/A</v>
      </c>
      <c r="I589" s="68" t="e">
        <f aca="false">VLOOKUP(A589,BD_ORDENES!A:BE,18,FALSE())</f>
        <v>#N/A</v>
      </c>
      <c r="J589" s="68" t="e">
        <f aca="false">VLOOKUP(A589,BD_ORDENES!A:BE,19,FALSE())</f>
        <v>#N/A</v>
      </c>
      <c r="K589" s="68" t="e">
        <f aca="false">VLOOKUP(A589,BD_ORDENES!A:BE,20,FALSE())</f>
        <v>#N/A</v>
      </c>
      <c r="L589" s="68" t="e">
        <f aca="false">VLOOKUP(A589,BD_ORDENES!A:BE,21,FALSE())</f>
        <v>#N/A</v>
      </c>
      <c r="M589" s="69" t="e">
        <f aca="false">VLOOKUP(A589,BD_ORDENES!A:BE,14,FALSE())</f>
        <v>#N/A</v>
      </c>
      <c r="N589" s="68" t="e">
        <f aca="false">VLOOKUP(A589,BD_ORDENES!A:BE,15,FALSE())</f>
        <v>#N/A</v>
      </c>
      <c r="O589" s="68" t="e">
        <f aca="false">VLOOKUP(A589,BD_ORDENES!A:BE,33,FALSE())</f>
        <v>#N/A</v>
      </c>
      <c r="P589" s="68" t="e">
        <f aca="false">VLOOKUP(A589,BD_ORDENES!A:BE,23,FALSE())</f>
        <v>#N/A</v>
      </c>
      <c r="Q589" s="68" t="e">
        <f aca="false">VLOOKUP(A589,BD_ORDENES!A:BE,52,FALSE())</f>
        <v>#N/A</v>
      </c>
      <c r="R589" s="68" t="e">
        <f aca="false">VLOOKUP(A589,BD_ORDENES!A:BE,25,FALSE())</f>
        <v>#N/A</v>
      </c>
      <c r="S589" s="68" t="e">
        <f aca="false">VLOOKUP(A589,BD_ORDENES!A:BE,22,FALSE())</f>
        <v>#N/A</v>
      </c>
      <c r="T589" s="65" t="e">
        <f aca="false">VLOOKUP(A589,BD_ORDENES!A:BE,55,FALSE())</f>
        <v>#N/A</v>
      </c>
      <c r="U589" s="68" t="e">
        <f aca="false">VLOOKUP(A589,BD_ORDENES!A:BE,57,FALSE())</f>
        <v>#N/A</v>
      </c>
      <c r="V589" s="70"/>
      <c r="W589" s="71"/>
    </row>
    <row r="590" s="72" customFormat="true" ht="98.25" hidden="false" customHeight="true" outlineLevel="0" collapsed="false">
      <c r="A590" s="62" t="n">
        <f aca="false">A589+1</f>
        <v>583</v>
      </c>
      <c r="B590" s="63" t="e">
        <f aca="false">VLOOKUP(A590,BD_ORDENES!A:BG,12,FALSE())</f>
        <v>#N/A</v>
      </c>
      <c r="C590" s="64" t="n">
        <v>583</v>
      </c>
      <c r="D590" s="65" t="e">
        <f aca="false">VLOOKUP(A590,BD_ORDENES!A:BE,10,0)</f>
        <v>#N/A</v>
      </c>
      <c r="E590" s="66" t="e">
        <f aca="false">VLOOKUP(A590,BD_ORDENES!A:BG,4,FALSE())</f>
        <v>#N/A</v>
      </c>
      <c r="F590" s="66" t="e">
        <f aca="false">VLOOKUP(A590,BD_ORDENES!A:BE,56,FALSE())</f>
        <v>#N/A</v>
      </c>
      <c r="G590" s="67" t="e">
        <f aca="false">VLOOKUP(A590,BD_ORDENES!A:BE,13,FALSE())</f>
        <v>#N/A</v>
      </c>
      <c r="H590" s="68" t="e">
        <f aca="false">VLOOKUP(A590,BD_ORDENES!A:BE,17,FALSE())</f>
        <v>#N/A</v>
      </c>
      <c r="I590" s="68" t="e">
        <f aca="false">VLOOKUP(A590,BD_ORDENES!A:BE,18,FALSE())</f>
        <v>#N/A</v>
      </c>
      <c r="J590" s="68" t="e">
        <f aca="false">VLOOKUP(A590,BD_ORDENES!A:BE,19,FALSE())</f>
        <v>#N/A</v>
      </c>
      <c r="K590" s="68" t="e">
        <f aca="false">VLOOKUP(A590,BD_ORDENES!A:BE,20,FALSE())</f>
        <v>#N/A</v>
      </c>
      <c r="L590" s="68" t="e">
        <f aca="false">VLOOKUP(A590,BD_ORDENES!A:BE,21,FALSE())</f>
        <v>#N/A</v>
      </c>
      <c r="M590" s="69" t="e">
        <f aca="false">VLOOKUP(A590,BD_ORDENES!A:BE,14,FALSE())</f>
        <v>#N/A</v>
      </c>
      <c r="N590" s="68" t="e">
        <f aca="false">VLOOKUP(A590,BD_ORDENES!A:BE,15,FALSE())</f>
        <v>#N/A</v>
      </c>
      <c r="O590" s="68" t="e">
        <f aca="false">VLOOKUP(A590,BD_ORDENES!A:BE,33,FALSE())</f>
        <v>#N/A</v>
      </c>
      <c r="P590" s="68" t="e">
        <f aca="false">VLOOKUP(A590,BD_ORDENES!A:BE,23,FALSE())</f>
        <v>#N/A</v>
      </c>
      <c r="Q590" s="68" t="e">
        <f aca="false">VLOOKUP(A590,BD_ORDENES!A:BE,52,FALSE())</f>
        <v>#N/A</v>
      </c>
      <c r="R590" s="68" t="e">
        <f aca="false">VLOOKUP(A590,BD_ORDENES!A:BE,25,FALSE())</f>
        <v>#N/A</v>
      </c>
      <c r="S590" s="68" t="e">
        <f aca="false">VLOOKUP(A590,BD_ORDENES!A:BE,22,FALSE())</f>
        <v>#N/A</v>
      </c>
      <c r="T590" s="65" t="e">
        <f aca="false">VLOOKUP(A590,BD_ORDENES!A:BE,55,FALSE())</f>
        <v>#N/A</v>
      </c>
      <c r="U590" s="68" t="e">
        <f aca="false">VLOOKUP(A590,BD_ORDENES!A:BE,57,FALSE())</f>
        <v>#N/A</v>
      </c>
      <c r="V590" s="70"/>
      <c r="W590" s="71"/>
    </row>
    <row r="591" s="72" customFormat="true" ht="98.25" hidden="false" customHeight="true" outlineLevel="0" collapsed="false">
      <c r="A591" s="62" t="n">
        <f aca="false">A590+1</f>
        <v>584</v>
      </c>
      <c r="B591" s="63" t="e">
        <f aca="false">VLOOKUP(A591,BD_ORDENES!A:BG,12,FALSE())</f>
        <v>#N/A</v>
      </c>
      <c r="C591" s="64" t="n">
        <v>584</v>
      </c>
      <c r="D591" s="65" t="e">
        <f aca="false">VLOOKUP(A591,BD_ORDENES!A:BE,10,0)</f>
        <v>#N/A</v>
      </c>
      <c r="E591" s="66" t="e">
        <f aca="false">VLOOKUP(A591,BD_ORDENES!A:BG,4,FALSE())</f>
        <v>#N/A</v>
      </c>
      <c r="F591" s="66" t="e">
        <f aca="false">VLOOKUP(A591,BD_ORDENES!A:BE,56,FALSE())</f>
        <v>#N/A</v>
      </c>
      <c r="G591" s="67" t="e">
        <f aca="false">VLOOKUP(A591,BD_ORDENES!A:BE,13,FALSE())</f>
        <v>#N/A</v>
      </c>
      <c r="H591" s="68" t="e">
        <f aca="false">VLOOKUP(A591,BD_ORDENES!A:BE,17,FALSE())</f>
        <v>#N/A</v>
      </c>
      <c r="I591" s="68" t="e">
        <f aca="false">VLOOKUP(A591,BD_ORDENES!A:BE,18,FALSE())</f>
        <v>#N/A</v>
      </c>
      <c r="J591" s="68" t="e">
        <f aca="false">VLOOKUP(A591,BD_ORDENES!A:BE,19,FALSE())</f>
        <v>#N/A</v>
      </c>
      <c r="K591" s="68" t="e">
        <f aca="false">VLOOKUP(A591,BD_ORDENES!A:BE,20,FALSE())</f>
        <v>#N/A</v>
      </c>
      <c r="L591" s="68" t="e">
        <f aca="false">VLOOKUP(A591,BD_ORDENES!A:BE,21,FALSE())</f>
        <v>#N/A</v>
      </c>
      <c r="M591" s="69" t="e">
        <f aca="false">VLOOKUP(A591,BD_ORDENES!A:BE,14,FALSE())</f>
        <v>#N/A</v>
      </c>
      <c r="N591" s="68" t="e">
        <f aca="false">VLOOKUP(A591,BD_ORDENES!A:BE,15,FALSE())</f>
        <v>#N/A</v>
      </c>
      <c r="O591" s="68" t="e">
        <f aca="false">VLOOKUP(A591,BD_ORDENES!A:BE,33,FALSE())</f>
        <v>#N/A</v>
      </c>
      <c r="P591" s="68" t="e">
        <f aca="false">VLOOKUP(A591,BD_ORDENES!A:BE,23,FALSE())</f>
        <v>#N/A</v>
      </c>
      <c r="Q591" s="68" t="e">
        <f aca="false">VLOOKUP(A591,BD_ORDENES!A:BE,52,FALSE())</f>
        <v>#N/A</v>
      </c>
      <c r="R591" s="68" t="e">
        <f aca="false">VLOOKUP(A591,BD_ORDENES!A:BE,25,FALSE())</f>
        <v>#N/A</v>
      </c>
      <c r="S591" s="68" t="e">
        <f aca="false">VLOOKUP(A591,BD_ORDENES!A:BE,22,FALSE())</f>
        <v>#N/A</v>
      </c>
      <c r="T591" s="65" t="e">
        <f aca="false">VLOOKUP(A591,BD_ORDENES!A:BE,55,FALSE())</f>
        <v>#N/A</v>
      </c>
      <c r="U591" s="68" t="e">
        <f aca="false">VLOOKUP(A591,BD_ORDENES!A:BE,57,FALSE())</f>
        <v>#N/A</v>
      </c>
      <c r="V591" s="70"/>
      <c r="W591" s="71"/>
    </row>
    <row r="592" s="72" customFormat="true" ht="98.25" hidden="false" customHeight="true" outlineLevel="0" collapsed="false">
      <c r="A592" s="62" t="n">
        <f aca="false">A591+1</f>
        <v>585</v>
      </c>
      <c r="B592" s="63" t="e">
        <f aca="false">VLOOKUP(A592,BD_ORDENES!A:BG,12,FALSE())</f>
        <v>#N/A</v>
      </c>
      <c r="C592" s="64" t="n">
        <v>585</v>
      </c>
      <c r="D592" s="65" t="e">
        <f aca="false">VLOOKUP(A592,BD_ORDENES!A:BE,10,0)</f>
        <v>#N/A</v>
      </c>
      <c r="E592" s="66" t="e">
        <f aca="false">VLOOKUP(A592,BD_ORDENES!A:BG,4,FALSE())</f>
        <v>#N/A</v>
      </c>
      <c r="F592" s="66" t="e">
        <f aca="false">VLOOKUP(A592,BD_ORDENES!A:BE,56,FALSE())</f>
        <v>#N/A</v>
      </c>
      <c r="G592" s="67" t="e">
        <f aca="false">VLOOKUP(A592,BD_ORDENES!A:BE,13,FALSE())</f>
        <v>#N/A</v>
      </c>
      <c r="H592" s="68" t="e">
        <f aca="false">VLOOKUP(A592,BD_ORDENES!A:BE,17,FALSE())</f>
        <v>#N/A</v>
      </c>
      <c r="I592" s="68" t="e">
        <f aca="false">VLOOKUP(A592,BD_ORDENES!A:BE,18,FALSE())</f>
        <v>#N/A</v>
      </c>
      <c r="J592" s="68" t="e">
        <f aca="false">VLOOKUP(A592,BD_ORDENES!A:BE,19,FALSE())</f>
        <v>#N/A</v>
      </c>
      <c r="K592" s="68" t="e">
        <f aca="false">VLOOKUP(A592,BD_ORDENES!A:BE,20,FALSE())</f>
        <v>#N/A</v>
      </c>
      <c r="L592" s="68" t="e">
        <f aca="false">VLOOKUP(A592,BD_ORDENES!A:BE,21,FALSE())</f>
        <v>#N/A</v>
      </c>
      <c r="M592" s="69" t="e">
        <f aca="false">VLOOKUP(A592,BD_ORDENES!A:BE,14,FALSE())</f>
        <v>#N/A</v>
      </c>
      <c r="N592" s="68" t="e">
        <f aca="false">VLOOKUP(A592,BD_ORDENES!A:BE,15,FALSE())</f>
        <v>#N/A</v>
      </c>
      <c r="O592" s="68" t="e">
        <f aca="false">VLOOKUP(A592,BD_ORDENES!A:BE,33,FALSE())</f>
        <v>#N/A</v>
      </c>
      <c r="P592" s="68" t="e">
        <f aca="false">VLOOKUP(A592,BD_ORDENES!A:BE,23,FALSE())</f>
        <v>#N/A</v>
      </c>
      <c r="Q592" s="68" t="e">
        <f aca="false">VLOOKUP(A592,BD_ORDENES!A:BE,52,FALSE())</f>
        <v>#N/A</v>
      </c>
      <c r="R592" s="68" t="e">
        <f aca="false">VLOOKUP(A592,BD_ORDENES!A:BE,25,FALSE())</f>
        <v>#N/A</v>
      </c>
      <c r="S592" s="68" t="e">
        <f aca="false">VLOOKUP(A592,BD_ORDENES!A:BE,22,FALSE())</f>
        <v>#N/A</v>
      </c>
      <c r="T592" s="65" t="e">
        <f aca="false">VLOOKUP(A592,BD_ORDENES!A:BE,55,FALSE())</f>
        <v>#N/A</v>
      </c>
      <c r="U592" s="68" t="e">
        <f aca="false">VLOOKUP(A592,BD_ORDENES!A:BE,57,FALSE())</f>
        <v>#N/A</v>
      </c>
      <c r="V592" s="70"/>
      <c r="W592" s="71"/>
    </row>
    <row r="593" s="72" customFormat="true" ht="98.25" hidden="false" customHeight="true" outlineLevel="0" collapsed="false">
      <c r="A593" s="62" t="n">
        <f aca="false">A592+1</f>
        <v>586</v>
      </c>
      <c r="B593" s="63" t="e">
        <f aca="false">VLOOKUP(A593,BD_ORDENES!A:BG,12,FALSE())</f>
        <v>#N/A</v>
      </c>
      <c r="C593" s="64" t="n">
        <v>586</v>
      </c>
      <c r="D593" s="65" t="e">
        <f aca="false">VLOOKUP(A593,BD_ORDENES!A:BE,10,0)</f>
        <v>#N/A</v>
      </c>
      <c r="E593" s="66" t="e">
        <f aca="false">VLOOKUP(A593,BD_ORDENES!A:BG,4,FALSE())</f>
        <v>#N/A</v>
      </c>
      <c r="F593" s="66" t="e">
        <f aca="false">VLOOKUP(A593,BD_ORDENES!A:BE,56,FALSE())</f>
        <v>#N/A</v>
      </c>
      <c r="G593" s="67" t="e">
        <f aca="false">VLOOKUP(A593,BD_ORDENES!A:BE,13,FALSE())</f>
        <v>#N/A</v>
      </c>
      <c r="H593" s="68" t="e">
        <f aca="false">VLOOKUP(A593,BD_ORDENES!A:BE,17,FALSE())</f>
        <v>#N/A</v>
      </c>
      <c r="I593" s="68" t="e">
        <f aca="false">VLOOKUP(A593,BD_ORDENES!A:BE,18,FALSE())</f>
        <v>#N/A</v>
      </c>
      <c r="J593" s="68" t="e">
        <f aca="false">VLOOKUP(A593,BD_ORDENES!A:BE,19,FALSE())</f>
        <v>#N/A</v>
      </c>
      <c r="K593" s="68" t="e">
        <f aca="false">VLOOKUP(A593,BD_ORDENES!A:BE,20,FALSE())</f>
        <v>#N/A</v>
      </c>
      <c r="L593" s="68" t="e">
        <f aca="false">VLOOKUP(A593,BD_ORDENES!A:BE,21,FALSE())</f>
        <v>#N/A</v>
      </c>
      <c r="M593" s="69" t="e">
        <f aca="false">VLOOKUP(A593,BD_ORDENES!A:BE,14,FALSE())</f>
        <v>#N/A</v>
      </c>
      <c r="N593" s="68" t="e">
        <f aca="false">VLOOKUP(A593,BD_ORDENES!A:BE,15,FALSE())</f>
        <v>#N/A</v>
      </c>
      <c r="O593" s="68" t="e">
        <f aca="false">VLOOKUP(A593,BD_ORDENES!A:BE,33,FALSE())</f>
        <v>#N/A</v>
      </c>
      <c r="P593" s="68" t="e">
        <f aca="false">VLOOKUP(A593,BD_ORDENES!A:BE,23,FALSE())</f>
        <v>#N/A</v>
      </c>
      <c r="Q593" s="68" t="e">
        <f aca="false">VLOOKUP(A593,BD_ORDENES!A:BE,52,FALSE())</f>
        <v>#N/A</v>
      </c>
      <c r="R593" s="68" t="e">
        <f aca="false">VLOOKUP(A593,BD_ORDENES!A:BE,25,FALSE())</f>
        <v>#N/A</v>
      </c>
      <c r="S593" s="68" t="e">
        <f aca="false">VLOOKUP(A593,BD_ORDENES!A:BE,22,FALSE())</f>
        <v>#N/A</v>
      </c>
      <c r="T593" s="65" t="e">
        <f aca="false">VLOOKUP(A593,BD_ORDENES!A:BE,55,FALSE())</f>
        <v>#N/A</v>
      </c>
      <c r="U593" s="68" t="e">
        <f aca="false">VLOOKUP(A593,BD_ORDENES!A:BE,57,FALSE())</f>
        <v>#N/A</v>
      </c>
      <c r="V593" s="70"/>
      <c r="W593" s="71"/>
    </row>
    <row r="594" s="72" customFormat="true" ht="98.25" hidden="false" customHeight="true" outlineLevel="0" collapsed="false">
      <c r="A594" s="62" t="n">
        <f aca="false">A593+1</f>
        <v>587</v>
      </c>
      <c r="B594" s="63" t="e">
        <f aca="false">VLOOKUP(A594,BD_ORDENES!A:BG,12,FALSE())</f>
        <v>#N/A</v>
      </c>
      <c r="C594" s="64" t="n">
        <v>587</v>
      </c>
      <c r="D594" s="65" t="e">
        <f aca="false">VLOOKUP(A594,BD_ORDENES!A:BE,10,0)</f>
        <v>#N/A</v>
      </c>
      <c r="E594" s="66" t="e">
        <f aca="false">VLOOKUP(A594,BD_ORDENES!A:BG,4,FALSE())</f>
        <v>#N/A</v>
      </c>
      <c r="F594" s="66" t="e">
        <f aca="false">VLOOKUP(A594,BD_ORDENES!A:BE,56,FALSE())</f>
        <v>#N/A</v>
      </c>
      <c r="G594" s="67" t="e">
        <f aca="false">VLOOKUP(A594,BD_ORDENES!A:BE,13,FALSE())</f>
        <v>#N/A</v>
      </c>
      <c r="H594" s="68" t="e">
        <f aca="false">VLOOKUP(A594,BD_ORDENES!A:BE,17,FALSE())</f>
        <v>#N/A</v>
      </c>
      <c r="I594" s="68" t="e">
        <f aca="false">VLOOKUP(A594,BD_ORDENES!A:BE,18,FALSE())</f>
        <v>#N/A</v>
      </c>
      <c r="J594" s="68" t="e">
        <f aca="false">VLOOKUP(A594,BD_ORDENES!A:BE,19,FALSE())</f>
        <v>#N/A</v>
      </c>
      <c r="K594" s="68" t="e">
        <f aca="false">VLOOKUP(A594,BD_ORDENES!A:BE,20,FALSE())</f>
        <v>#N/A</v>
      </c>
      <c r="L594" s="68" t="e">
        <f aca="false">VLOOKUP(A594,BD_ORDENES!A:BE,21,FALSE())</f>
        <v>#N/A</v>
      </c>
      <c r="M594" s="69" t="e">
        <f aca="false">VLOOKUP(A594,BD_ORDENES!A:BE,14,FALSE())</f>
        <v>#N/A</v>
      </c>
      <c r="N594" s="68" t="e">
        <f aca="false">VLOOKUP(A594,BD_ORDENES!A:BE,15,FALSE())</f>
        <v>#N/A</v>
      </c>
      <c r="O594" s="68" t="e">
        <f aca="false">VLOOKUP(A594,BD_ORDENES!A:BE,33,FALSE())</f>
        <v>#N/A</v>
      </c>
      <c r="P594" s="68" t="e">
        <f aca="false">VLOOKUP(A594,BD_ORDENES!A:BE,23,FALSE())</f>
        <v>#N/A</v>
      </c>
      <c r="Q594" s="68" t="e">
        <f aca="false">VLOOKUP(A594,BD_ORDENES!A:BE,52,FALSE())</f>
        <v>#N/A</v>
      </c>
      <c r="R594" s="68" t="e">
        <f aca="false">VLOOKUP(A594,BD_ORDENES!A:BE,25,FALSE())</f>
        <v>#N/A</v>
      </c>
      <c r="S594" s="68" t="e">
        <f aca="false">VLOOKUP(A594,BD_ORDENES!A:BE,22,FALSE())</f>
        <v>#N/A</v>
      </c>
      <c r="T594" s="65" t="e">
        <f aca="false">VLOOKUP(A594,BD_ORDENES!A:BE,55,FALSE())</f>
        <v>#N/A</v>
      </c>
      <c r="U594" s="68" t="e">
        <f aca="false">VLOOKUP(A594,BD_ORDENES!A:BE,57,FALSE())</f>
        <v>#N/A</v>
      </c>
      <c r="V594" s="70"/>
      <c r="W594" s="71"/>
    </row>
    <row r="595" s="72" customFormat="true" ht="98.25" hidden="false" customHeight="true" outlineLevel="0" collapsed="false">
      <c r="A595" s="62" t="n">
        <f aca="false">A594+1</f>
        <v>588</v>
      </c>
      <c r="B595" s="63" t="e">
        <f aca="false">VLOOKUP(A595,BD_ORDENES!A:BG,12,FALSE())</f>
        <v>#N/A</v>
      </c>
      <c r="C595" s="64" t="n">
        <v>588</v>
      </c>
      <c r="D595" s="65" t="e">
        <f aca="false">VLOOKUP(A595,BD_ORDENES!A:BE,10,0)</f>
        <v>#N/A</v>
      </c>
      <c r="E595" s="66" t="e">
        <f aca="false">VLOOKUP(A595,BD_ORDENES!A:BG,4,FALSE())</f>
        <v>#N/A</v>
      </c>
      <c r="F595" s="66" t="e">
        <f aca="false">VLOOKUP(A595,BD_ORDENES!A:BE,56,FALSE())</f>
        <v>#N/A</v>
      </c>
      <c r="G595" s="67" t="e">
        <f aca="false">VLOOKUP(A595,BD_ORDENES!A:BE,13,FALSE())</f>
        <v>#N/A</v>
      </c>
      <c r="H595" s="68" t="e">
        <f aca="false">VLOOKUP(A595,BD_ORDENES!A:BE,17,FALSE())</f>
        <v>#N/A</v>
      </c>
      <c r="I595" s="68" t="e">
        <f aca="false">VLOOKUP(A595,BD_ORDENES!A:BE,18,FALSE())</f>
        <v>#N/A</v>
      </c>
      <c r="J595" s="68" t="e">
        <f aca="false">VLOOKUP(A595,BD_ORDENES!A:BE,19,FALSE())</f>
        <v>#N/A</v>
      </c>
      <c r="K595" s="68" t="e">
        <f aca="false">VLOOKUP(A595,BD_ORDENES!A:BE,20,FALSE())</f>
        <v>#N/A</v>
      </c>
      <c r="L595" s="68" t="e">
        <f aca="false">VLOOKUP(A595,BD_ORDENES!A:BE,21,FALSE())</f>
        <v>#N/A</v>
      </c>
      <c r="M595" s="69" t="e">
        <f aca="false">VLOOKUP(A595,BD_ORDENES!A:BE,14,FALSE())</f>
        <v>#N/A</v>
      </c>
      <c r="N595" s="68" t="e">
        <f aca="false">VLOOKUP(A595,BD_ORDENES!A:BE,15,FALSE())</f>
        <v>#N/A</v>
      </c>
      <c r="O595" s="68" t="e">
        <f aca="false">VLOOKUP(A595,BD_ORDENES!A:BE,33,FALSE())</f>
        <v>#N/A</v>
      </c>
      <c r="P595" s="68" t="e">
        <f aca="false">VLOOKUP(A595,BD_ORDENES!A:BE,23,FALSE())</f>
        <v>#N/A</v>
      </c>
      <c r="Q595" s="68" t="e">
        <f aca="false">VLOOKUP(A595,BD_ORDENES!A:BE,52,FALSE())</f>
        <v>#N/A</v>
      </c>
      <c r="R595" s="68" t="e">
        <f aca="false">VLOOKUP(A595,BD_ORDENES!A:BE,25,FALSE())</f>
        <v>#N/A</v>
      </c>
      <c r="S595" s="68" t="e">
        <f aca="false">VLOOKUP(A595,BD_ORDENES!A:BE,22,FALSE())</f>
        <v>#N/A</v>
      </c>
      <c r="T595" s="65" t="e">
        <f aca="false">VLOOKUP(A595,BD_ORDENES!A:BE,55,FALSE())</f>
        <v>#N/A</v>
      </c>
      <c r="U595" s="68" t="e">
        <f aca="false">VLOOKUP(A595,BD_ORDENES!A:BE,57,FALSE())</f>
        <v>#N/A</v>
      </c>
      <c r="V595" s="70"/>
      <c r="W595" s="71"/>
    </row>
    <row r="596" s="72" customFormat="true" ht="98.25" hidden="false" customHeight="true" outlineLevel="0" collapsed="false">
      <c r="A596" s="62" t="n">
        <f aca="false">A595+1</f>
        <v>589</v>
      </c>
      <c r="B596" s="63" t="e">
        <f aca="false">VLOOKUP(A596,BD_ORDENES!A:BG,12,FALSE())</f>
        <v>#N/A</v>
      </c>
      <c r="C596" s="64" t="n">
        <v>589</v>
      </c>
      <c r="D596" s="65" t="e">
        <f aca="false">VLOOKUP(A596,BD_ORDENES!A:BE,10,0)</f>
        <v>#N/A</v>
      </c>
      <c r="E596" s="66" t="e">
        <f aca="false">VLOOKUP(A596,BD_ORDENES!A:BG,4,FALSE())</f>
        <v>#N/A</v>
      </c>
      <c r="F596" s="66" t="e">
        <f aca="false">VLOOKUP(A596,BD_ORDENES!A:BE,56,FALSE())</f>
        <v>#N/A</v>
      </c>
      <c r="G596" s="67" t="e">
        <f aca="false">VLOOKUP(A596,BD_ORDENES!A:BE,13,FALSE())</f>
        <v>#N/A</v>
      </c>
      <c r="H596" s="68" t="e">
        <f aca="false">VLOOKUP(A596,BD_ORDENES!A:BE,17,FALSE())</f>
        <v>#N/A</v>
      </c>
      <c r="I596" s="68" t="e">
        <f aca="false">VLOOKUP(A596,BD_ORDENES!A:BE,18,FALSE())</f>
        <v>#N/A</v>
      </c>
      <c r="J596" s="68" t="e">
        <f aca="false">VLOOKUP(A596,BD_ORDENES!A:BE,19,FALSE())</f>
        <v>#N/A</v>
      </c>
      <c r="K596" s="68" t="e">
        <f aca="false">VLOOKUP(A596,BD_ORDENES!A:BE,20,FALSE())</f>
        <v>#N/A</v>
      </c>
      <c r="L596" s="68" t="e">
        <f aca="false">VLOOKUP(A596,BD_ORDENES!A:BE,21,FALSE())</f>
        <v>#N/A</v>
      </c>
      <c r="M596" s="69" t="e">
        <f aca="false">VLOOKUP(A596,BD_ORDENES!A:BE,14,FALSE())</f>
        <v>#N/A</v>
      </c>
      <c r="N596" s="68" t="e">
        <f aca="false">VLOOKUP(A596,BD_ORDENES!A:BE,15,FALSE())</f>
        <v>#N/A</v>
      </c>
      <c r="O596" s="68" t="e">
        <f aca="false">VLOOKUP(A596,BD_ORDENES!A:BE,33,FALSE())</f>
        <v>#N/A</v>
      </c>
      <c r="P596" s="68" t="e">
        <f aca="false">VLOOKUP(A596,BD_ORDENES!A:BE,23,FALSE())</f>
        <v>#N/A</v>
      </c>
      <c r="Q596" s="68" t="e">
        <f aca="false">VLOOKUP(A596,BD_ORDENES!A:BE,52,FALSE())</f>
        <v>#N/A</v>
      </c>
      <c r="R596" s="68" t="e">
        <f aca="false">VLOOKUP(A596,BD_ORDENES!A:BE,25,FALSE())</f>
        <v>#N/A</v>
      </c>
      <c r="S596" s="68" t="e">
        <f aca="false">VLOOKUP(A596,BD_ORDENES!A:BE,22,FALSE())</f>
        <v>#N/A</v>
      </c>
      <c r="T596" s="65" t="e">
        <f aca="false">VLOOKUP(A596,BD_ORDENES!A:BE,55,FALSE())</f>
        <v>#N/A</v>
      </c>
      <c r="U596" s="68" t="e">
        <f aca="false">VLOOKUP(A596,BD_ORDENES!A:BE,57,FALSE())</f>
        <v>#N/A</v>
      </c>
      <c r="V596" s="70"/>
      <c r="W596" s="71"/>
    </row>
    <row r="597" s="72" customFormat="true" ht="98.25" hidden="false" customHeight="true" outlineLevel="0" collapsed="false">
      <c r="A597" s="62" t="n">
        <f aca="false">A596+1</f>
        <v>590</v>
      </c>
      <c r="B597" s="63" t="e">
        <f aca="false">VLOOKUP(A597,BD_ORDENES!A:BG,12,FALSE())</f>
        <v>#N/A</v>
      </c>
      <c r="C597" s="64" t="n">
        <v>590</v>
      </c>
      <c r="D597" s="65" t="e">
        <f aca="false">VLOOKUP(A597,BD_ORDENES!A:BE,10,0)</f>
        <v>#N/A</v>
      </c>
      <c r="E597" s="66" t="e">
        <f aca="false">VLOOKUP(A597,BD_ORDENES!A:BG,4,FALSE())</f>
        <v>#N/A</v>
      </c>
      <c r="F597" s="66" t="e">
        <f aca="false">VLOOKUP(A597,BD_ORDENES!A:BE,56,FALSE())</f>
        <v>#N/A</v>
      </c>
      <c r="G597" s="67" t="e">
        <f aca="false">VLOOKUP(A597,BD_ORDENES!A:BE,13,FALSE())</f>
        <v>#N/A</v>
      </c>
      <c r="H597" s="68" t="e">
        <f aca="false">VLOOKUP(A597,BD_ORDENES!A:BE,17,FALSE())</f>
        <v>#N/A</v>
      </c>
      <c r="I597" s="68" t="e">
        <f aca="false">VLOOKUP(A597,BD_ORDENES!A:BE,18,FALSE())</f>
        <v>#N/A</v>
      </c>
      <c r="J597" s="68" t="e">
        <f aca="false">VLOOKUP(A597,BD_ORDENES!A:BE,19,FALSE())</f>
        <v>#N/A</v>
      </c>
      <c r="K597" s="68" t="e">
        <f aca="false">VLOOKUP(A597,BD_ORDENES!A:BE,20,FALSE())</f>
        <v>#N/A</v>
      </c>
      <c r="L597" s="68" t="e">
        <f aca="false">VLOOKUP(A597,BD_ORDENES!A:BE,21,FALSE())</f>
        <v>#N/A</v>
      </c>
      <c r="M597" s="69" t="e">
        <f aca="false">VLOOKUP(A597,BD_ORDENES!A:BE,14,FALSE())</f>
        <v>#N/A</v>
      </c>
      <c r="N597" s="68" t="e">
        <f aca="false">VLOOKUP(A597,BD_ORDENES!A:BE,15,FALSE())</f>
        <v>#N/A</v>
      </c>
      <c r="O597" s="68" t="e">
        <f aca="false">VLOOKUP(A597,BD_ORDENES!A:BE,33,FALSE())</f>
        <v>#N/A</v>
      </c>
      <c r="P597" s="68" t="e">
        <f aca="false">VLOOKUP(A597,BD_ORDENES!A:BE,23,FALSE())</f>
        <v>#N/A</v>
      </c>
      <c r="Q597" s="68" t="e">
        <f aca="false">VLOOKUP(A597,BD_ORDENES!A:BE,52,FALSE())</f>
        <v>#N/A</v>
      </c>
      <c r="R597" s="68" t="e">
        <f aca="false">VLOOKUP(A597,BD_ORDENES!A:BE,25,FALSE())</f>
        <v>#N/A</v>
      </c>
      <c r="S597" s="68" t="e">
        <f aca="false">VLOOKUP(A597,BD_ORDENES!A:BE,22,FALSE())</f>
        <v>#N/A</v>
      </c>
      <c r="T597" s="65" t="e">
        <f aca="false">VLOOKUP(A597,BD_ORDENES!A:BE,55,FALSE())</f>
        <v>#N/A</v>
      </c>
      <c r="U597" s="68" t="e">
        <f aca="false">VLOOKUP(A597,BD_ORDENES!A:BE,57,FALSE())</f>
        <v>#N/A</v>
      </c>
      <c r="V597" s="70"/>
      <c r="W597" s="71"/>
    </row>
    <row r="598" s="72" customFormat="true" ht="98.25" hidden="false" customHeight="true" outlineLevel="0" collapsed="false">
      <c r="A598" s="62" t="n">
        <f aca="false">A597+1</f>
        <v>591</v>
      </c>
      <c r="B598" s="63" t="e">
        <f aca="false">VLOOKUP(A598,BD_ORDENES!A:BG,12,FALSE())</f>
        <v>#N/A</v>
      </c>
      <c r="C598" s="64" t="n">
        <v>591</v>
      </c>
      <c r="D598" s="65" t="e">
        <f aca="false">VLOOKUP(A598,BD_ORDENES!A:BE,10,0)</f>
        <v>#N/A</v>
      </c>
      <c r="E598" s="66" t="e">
        <f aca="false">VLOOKUP(A598,BD_ORDENES!A:BG,4,FALSE())</f>
        <v>#N/A</v>
      </c>
      <c r="F598" s="66" t="e">
        <f aca="false">VLOOKUP(A598,BD_ORDENES!A:BE,56,FALSE())</f>
        <v>#N/A</v>
      </c>
      <c r="G598" s="67" t="e">
        <f aca="false">VLOOKUP(A598,BD_ORDENES!A:BE,13,FALSE())</f>
        <v>#N/A</v>
      </c>
      <c r="H598" s="68" t="e">
        <f aca="false">VLOOKUP(A598,BD_ORDENES!A:BE,17,FALSE())</f>
        <v>#N/A</v>
      </c>
      <c r="I598" s="68" t="e">
        <f aca="false">VLOOKUP(A598,BD_ORDENES!A:BE,18,FALSE())</f>
        <v>#N/A</v>
      </c>
      <c r="J598" s="68" t="e">
        <f aca="false">VLOOKUP(A598,BD_ORDENES!A:BE,19,FALSE())</f>
        <v>#N/A</v>
      </c>
      <c r="K598" s="68" t="e">
        <f aca="false">VLOOKUP(A598,BD_ORDENES!A:BE,20,FALSE())</f>
        <v>#N/A</v>
      </c>
      <c r="L598" s="68" t="e">
        <f aca="false">VLOOKUP(A598,BD_ORDENES!A:BE,21,FALSE())</f>
        <v>#N/A</v>
      </c>
      <c r="M598" s="69" t="e">
        <f aca="false">VLOOKUP(A598,BD_ORDENES!A:BE,14,FALSE())</f>
        <v>#N/A</v>
      </c>
      <c r="N598" s="68" t="e">
        <f aca="false">VLOOKUP(A598,BD_ORDENES!A:BE,15,FALSE())</f>
        <v>#N/A</v>
      </c>
      <c r="O598" s="68" t="e">
        <f aca="false">VLOOKUP(A598,BD_ORDENES!A:BE,33,FALSE())</f>
        <v>#N/A</v>
      </c>
      <c r="P598" s="68" t="e">
        <f aca="false">VLOOKUP(A598,BD_ORDENES!A:BE,23,FALSE())</f>
        <v>#N/A</v>
      </c>
      <c r="Q598" s="68" t="e">
        <f aca="false">VLOOKUP(A598,BD_ORDENES!A:BE,52,FALSE())</f>
        <v>#N/A</v>
      </c>
      <c r="R598" s="68" t="e">
        <f aca="false">VLOOKUP(A598,BD_ORDENES!A:BE,25,FALSE())</f>
        <v>#N/A</v>
      </c>
      <c r="S598" s="68" t="e">
        <f aca="false">VLOOKUP(A598,BD_ORDENES!A:BE,22,FALSE())</f>
        <v>#N/A</v>
      </c>
      <c r="T598" s="65" t="e">
        <f aca="false">VLOOKUP(A598,BD_ORDENES!A:BE,55,FALSE())</f>
        <v>#N/A</v>
      </c>
      <c r="U598" s="68" t="e">
        <f aca="false">VLOOKUP(A598,BD_ORDENES!A:BE,57,FALSE())</f>
        <v>#N/A</v>
      </c>
      <c r="V598" s="70"/>
      <c r="W598" s="71"/>
    </row>
    <row r="599" s="72" customFormat="true" ht="98.25" hidden="false" customHeight="true" outlineLevel="0" collapsed="false">
      <c r="A599" s="62" t="n">
        <f aca="false">A598+1</f>
        <v>592</v>
      </c>
      <c r="B599" s="63" t="e">
        <f aca="false">VLOOKUP(A599,BD_ORDENES!A:BG,12,FALSE())</f>
        <v>#N/A</v>
      </c>
      <c r="C599" s="64" t="n">
        <v>592</v>
      </c>
      <c r="D599" s="65" t="e">
        <f aca="false">VLOOKUP(A599,BD_ORDENES!A:BE,10,0)</f>
        <v>#N/A</v>
      </c>
      <c r="E599" s="66" t="e">
        <f aca="false">VLOOKUP(A599,BD_ORDENES!A:BG,4,FALSE())</f>
        <v>#N/A</v>
      </c>
      <c r="F599" s="66" t="e">
        <f aca="false">VLOOKUP(A599,BD_ORDENES!A:BE,56,FALSE())</f>
        <v>#N/A</v>
      </c>
      <c r="G599" s="67" t="e">
        <f aca="false">VLOOKUP(A599,BD_ORDENES!A:BE,13,FALSE())</f>
        <v>#N/A</v>
      </c>
      <c r="H599" s="68" t="e">
        <f aca="false">VLOOKUP(A599,BD_ORDENES!A:BE,17,FALSE())</f>
        <v>#N/A</v>
      </c>
      <c r="I599" s="68" t="e">
        <f aca="false">VLOOKUP(A599,BD_ORDENES!A:BE,18,FALSE())</f>
        <v>#N/A</v>
      </c>
      <c r="J599" s="68" t="e">
        <f aca="false">VLOOKUP(A599,BD_ORDENES!A:BE,19,FALSE())</f>
        <v>#N/A</v>
      </c>
      <c r="K599" s="68" t="e">
        <f aca="false">VLOOKUP(A599,BD_ORDENES!A:BE,20,FALSE())</f>
        <v>#N/A</v>
      </c>
      <c r="L599" s="68" t="e">
        <f aca="false">VLOOKUP(A599,BD_ORDENES!A:BE,21,FALSE())</f>
        <v>#N/A</v>
      </c>
      <c r="M599" s="69" t="e">
        <f aca="false">VLOOKUP(A599,BD_ORDENES!A:BE,14,FALSE())</f>
        <v>#N/A</v>
      </c>
      <c r="N599" s="68" t="e">
        <f aca="false">VLOOKUP(A599,BD_ORDENES!A:BE,15,FALSE())</f>
        <v>#N/A</v>
      </c>
      <c r="O599" s="68" t="e">
        <f aca="false">VLOOKUP(A599,BD_ORDENES!A:BE,33,FALSE())</f>
        <v>#N/A</v>
      </c>
      <c r="P599" s="68" t="e">
        <f aca="false">VLOOKUP(A599,BD_ORDENES!A:BE,23,FALSE())</f>
        <v>#N/A</v>
      </c>
      <c r="Q599" s="68" t="e">
        <f aca="false">VLOOKUP(A599,BD_ORDENES!A:BE,52,FALSE())</f>
        <v>#N/A</v>
      </c>
      <c r="R599" s="68" t="e">
        <f aca="false">VLOOKUP(A599,BD_ORDENES!A:BE,25,FALSE())</f>
        <v>#N/A</v>
      </c>
      <c r="S599" s="68" t="e">
        <f aca="false">VLOOKUP(A599,BD_ORDENES!A:BE,22,FALSE())</f>
        <v>#N/A</v>
      </c>
      <c r="T599" s="65" t="e">
        <f aca="false">VLOOKUP(A599,BD_ORDENES!A:BE,55,FALSE())</f>
        <v>#N/A</v>
      </c>
      <c r="U599" s="68" t="e">
        <f aca="false">VLOOKUP(A599,BD_ORDENES!A:BE,57,FALSE())</f>
        <v>#N/A</v>
      </c>
      <c r="V599" s="70"/>
      <c r="W599" s="71"/>
    </row>
    <row r="600" s="72" customFormat="true" ht="98.25" hidden="false" customHeight="true" outlineLevel="0" collapsed="false">
      <c r="A600" s="62" t="n">
        <f aca="false">A599+1</f>
        <v>593</v>
      </c>
      <c r="B600" s="63" t="e">
        <f aca="false">VLOOKUP(A600,BD_ORDENES!A:BG,12,FALSE())</f>
        <v>#N/A</v>
      </c>
      <c r="C600" s="64" t="n">
        <v>593</v>
      </c>
      <c r="D600" s="65" t="e">
        <f aca="false">VLOOKUP(A600,BD_ORDENES!A:BE,10,0)</f>
        <v>#N/A</v>
      </c>
      <c r="E600" s="66" t="e">
        <f aca="false">VLOOKUP(A600,BD_ORDENES!A:BG,4,FALSE())</f>
        <v>#N/A</v>
      </c>
      <c r="F600" s="66" t="e">
        <f aca="false">VLOOKUP(A600,BD_ORDENES!A:BE,56,FALSE())</f>
        <v>#N/A</v>
      </c>
      <c r="G600" s="67" t="e">
        <f aca="false">VLOOKUP(A600,BD_ORDENES!A:BE,13,FALSE())</f>
        <v>#N/A</v>
      </c>
      <c r="H600" s="68" t="e">
        <f aca="false">VLOOKUP(A600,BD_ORDENES!A:BE,17,FALSE())</f>
        <v>#N/A</v>
      </c>
      <c r="I600" s="68" t="e">
        <f aca="false">VLOOKUP(A600,BD_ORDENES!A:BE,18,FALSE())</f>
        <v>#N/A</v>
      </c>
      <c r="J600" s="68" t="e">
        <f aca="false">VLOOKUP(A600,BD_ORDENES!A:BE,19,FALSE())</f>
        <v>#N/A</v>
      </c>
      <c r="K600" s="68" t="e">
        <f aca="false">VLOOKUP(A600,BD_ORDENES!A:BE,20,FALSE())</f>
        <v>#N/A</v>
      </c>
      <c r="L600" s="68" t="e">
        <f aca="false">VLOOKUP(A600,BD_ORDENES!A:BE,21,FALSE())</f>
        <v>#N/A</v>
      </c>
      <c r="M600" s="69" t="e">
        <f aca="false">VLOOKUP(A600,BD_ORDENES!A:BE,14,FALSE())</f>
        <v>#N/A</v>
      </c>
      <c r="N600" s="68" t="e">
        <f aca="false">VLOOKUP(A600,BD_ORDENES!A:BE,15,FALSE())</f>
        <v>#N/A</v>
      </c>
      <c r="O600" s="68" t="e">
        <f aca="false">VLOOKUP(A600,BD_ORDENES!A:BE,33,FALSE())</f>
        <v>#N/A</v>
      </c>
      <c r="P600" s="68" t="e">
        <f aca="false">VLOOKUP(A600,BD_ORDENES!A:BE,23,FALSE())</f>
        <v>#N/A</v>
      </c>
      <c r="Q600" s="68" t="e">
        <f aca="false">VLOOKUP(A600,BD_ORDENES!A:BE,52,FALSE())</f>
        <v>#N/A</v>
      </c>
      <c r="R600" s="68" t="e">
        <f aca="false">VLOOKUP(A600,BD_ORDENES!A:BE,25,FALSE())</f>
        <v>#N/A</v>
      </c>
      <c r="S600" s="68" t="e">
        <f aca="false">VLOOKUP(A600,BD_ORDENES!A:BE,22,FALSE())</f>
        <v>#N/A</v>
      </c>
      <c r="T600" s="65" t="e">
        <f aca="false">VLOOKUP(A600,BD_ORDENES!A:BE,55,FALSE())</f>
        <v>#N/A</v>
      </c>
      <c r="U600" s="68" t="e">
        <f aca="false">VLOOKUP(A600,BD_ORDENES!A:BE,57,FALSE())</f>
        <v>#N/A</v>
      </c>
      <c r="V600" s="70"/>
      <c r="W600" s="71"/>
    </row>
    <row r="601" s="72" customFormat="true" ht="98.25" hidden="false" customHeight="true" outlineLevel="0" collapsed="false">
      <c r="A601" s="62" t="n">
        <f aca="false">A600+1</f>
        <v>594</v>
      </c>
      <c r="B601" s="63" t="e">
        <f aca="false">VLOOKUP(A601,BD_ORDENES!A:BG,12,FALSE())</f>
        <v>#N/A</v>
      </c>
      <c r="C601" s="64" t="n">
        <v>594</v>
      </c>
      <c r="D601" s="65" t="e">
        <f aca="false">VLOOKUP(A601,BD_ORDENES!A:BE,10,0)</f>
        <v>#N/A</v>
      </c>
      <c r="E601" s="66" t="e">
        <f aca="false">VLOOKUP(A601,BD_ORDENES!A:BG,4,FALSE())</f>
        <v>#N/A</v>
      </c>
      <c r="F601" s="66" t="e">
        <f aca="false">VLOOKUP(A601,BD_ORDENES!A:BE,56,FALSE())</f>
        <v>#N/A</v>
      </c>
      <c r="G601" s="67" t="e">
        <f aca="false">VLOOKUP(A601,BD_ORDENES!A:BE,13,FALSE())</f>
        <v>#N/A</v>
      </c>
      <c r="H601" s="68" t="e">
        <f aca="false">VLOOKUP(A601,BD_ORDENES!A:BE,17,FALSE())</f>
        <v>#N/A</v>
      </c>
      <c r="I601" s="68" t="e">
        <f aca="false">VLOOKUP(A601,BD_ORDENES!A:BE,18,FALSE())</f>
        <v>#N/A</v>
      </c>
      <c r="J601" s="68" t="e">
        <f aca="false">VLOOKUP(A601,BD_ORDENES!A:BE,19,FALSE())</f>
        <v>#N/A</v>
      </c>
      <c r="K601" s="68" t="e">
        <f aca="false">VLOOKUP(A601,BD_ORDENES!A:BE,20,FALSE())</f>
        <v>#N/A</v>
      </c>
      <c r="L601" s="68" t="e">
        <f aca="false">VLOOKUP(A601,BD_ORDENES!A:BE,21,FALSE())</f>
        <v>#N/A</v>
      </c>
      <c r="M601" s="69" t="e">
        <f aca="false">VLOOKUP(A601,BD_ORDENES!A:BE,14,FALSE())</f>
        <v>#N/A</v>
      </c>
      <c r="N601" s="68" t="e">
        <f aca="false">VLOOKUP(A601,BD_ORDENES!A:BE,15,FALSE())</f>
        <v>#N/A</v>
      </c>
      <c r="O601" s="68" t="e">
        <f aca="false">VLOOKUP(A601,BD_ORDENES!A:BE,33,FALSE())</f>
        <v>#N/A</v>
      </c>
      <c r="P601" s="68" t="e">
        <f aca="false">VLOOKUP(A601,BD_ORDENES!A:BE,23,FALSE())</f>
        <v>#N/A</v>
      </c>
      <c r="Q601" s="68" t="e">
        <f aca="false">VLOOKUP(A601,BD_ORDENES!A:BE,52,FALSE())</f>
        <v>#N/A</v>
      </c>
      <c r="R601" s="68" t="e">
        <f aca="false">VLOOKUP(A601,BD_ORDENES!A:BE,25,FALSE())</f>
        <v>#N/A</v>
      </c>
      <c r="S601" s="68" t="e">
        <f aca="false">VLOOKUP(A601,BD_ORDENES!A:BE,22,FALSE())</f>
        <v>#N/A</v>
      </c>
      <c r="T601" s="65" t="e">
        <f aca="false">VLOOKUP(A601,BD_ORDENES!A:BE,55,FALSE())</f>
        <v>#N/A</v>
      </c>
      <c r="U601" s="68" t="e">
        <f aca="false">VLOOKUP(A601,BD_ORDENES!A:BE,57,FALSE())</f>
        <v>#N/A</v>
      </c>
      <c r="V601" s="70"/>
      <c r="W601" s="71"/>
    </row>
    <row r="602" s="72" customFormat="true" ht="98.25" hidden="false" customHeight="true" outlineLevel="0" collapsed="false">
      <c r="A602" s="62" t="n">
        <f aca="false">A601+1</f>
        <v>595</v>
      </c>
      <c r="B602" s="63" t="e">
        <f aca="false">VLOOKUP(A602,BD_ORDENES!A:BG,12,FALSE())</f>
        <v>#N/A</v>
      </c>
      <c r="C602" s="64" t="n">
        <v>595</v>
      </c>
      <c r="D602" s="65" t="e">
        <f aca="false">VLOOKUP(A602,BD_ORDENES!A:BE,10,0)</f>
        <v>#N/A</v>
      </c>
      <c r="E602" s="66" t="e">
        <f aca="false">VLOOKUP(A602,BD_ORDENES!A:BG,4,FALSE())</f>
        <v>#N/A</v>
      </c>
      <c r="F602" s="66" t="e">
        <f aca="false">VLOOKUP(A602,BD_ORDENES!A:BE,56,FALSE())</f>
        <v>#N/A</v>
      </c>
      <c r="G602" s="67" t="e">
        <f aca="false">VLOOKUP(A602,BD_ORDENES!A:BE,13,FALSE())</f>
        <v>#N/A</v>
      </c>
      <c r="H602" s="68" t="e">
        <f aca="false">VLOOKUP(A602,BD_ORDENES!A:BE,17,FALSE())</f>
        <v>#N/A</v>
      </c>
      <c r="I602" s="68" t="e">
        <f aca="false">VLOOKUP(A602,BD_ORDENES!A:BE,18,FALSE())</f>
        <v>#N/A</v>
      </c>
      <c r="J602" s="68" t="e">
        <f aca="false">VLOOKUP(A602,BD_ORDENES!A:BE,19,FALSE())</f>
        <v>#N/A</v>
      </c>
      <c r="K602" s="68" t="e">
        <f aca="false">VLOOKUP(A602,BD_ORDENES!A:BE,20,FALSE())</f>
        <v>#N/A</v>
      </c>
      <c r="L602" s="68" t="e">
        <f aca="false">VLOOKUP(A602,BD_ORDENES!A:BE,21,FALSE())</f>
        <v>#N/A</v>
      </c>
      <c r="M602" s="69" t="e">
        <f aca="false">VLOOKUP(A602,BD_ORDENES!A:BE,14,FALSE())</f>
        <v>#N/A</v>
      </c>
      <c r="N602" s="68" t="e">
        <f aca="false">VLOOKUP(A602,BD_ORDENES!A:BE,15,FALSE())</f>
        <v>#N/A</v>
      </c>
      <c r="O602" s="68" t="e">
        <f aca="false">VLOOKUP(A602,BD_ORDENES!A:BE,33,FALSE())</f>
        <v>#N/A</v>
      </c>
      <c r="P602" s="68" t="e">
        <f aca="false">VLOOKUP(A602,BD_ORDENES!A:BE,23,FALSE())</f>
        <v>#N/A</v>
      </c>
      <c r="Q602" s="68" t="e">
        <f aca="false">VLOOKUP(A602,BD_ORDENES!A:BE,52,FALSE())</f>
        <v>#N/A</v>
      </c>
      <c r="R602" s="68" t="e">
        <f aca="false">VLOOKUP(A602,BD_ORDENES!A:BE,25,FALSE())</f>
        <v>#N/A</v>
      </c>
      <c r="S602" s="68" t="e">
        <f aca="false">VLOOKUP(A602,BD_ORDENES!A:BE,22,FALSE())</f>
        <v>#N/A</v>
      </c>
      <c r="T602" s="65" t="e">
        <f aca="false">VLOOKUP(A602,BD_ORDENES!A:BE,55,FALSE())</f>
        <v>#N/A</v>
      </c>
      <c r="U602" s="68" t="e">
        <f aca="false">VLOOKUP(A602,BD_ORDENES!A:BE,57,FALSE())</f>
        <v>#N/A</v>
      </c>
      <c r="V602" s="70"/>
      <c r="W602" s="71"/>
    </row>
    <row r="603" s="72" customFormat="true" ht="98.25" hidden="false" customHeight="true" outlineLevel="0" collapsed="false">
      <c r="A603" s="62" t="n">
        <f aca="false">A602+1</f>
        <v>596</v>
      </c>
      <c r="B603" s="63" t="e">
        <f aca="false">VLOOKUP(A603,BD_ORDENES!A:BG,12,FALSE())</f>
        <v>#N/A</v>
      </c>
      <c r="C603" s="64" t="n">
        <v>596</v>
      </c>
      <c r="D603" s="65" t="e">
        <f aca="false">VLOOKUP(A603,BD_ORDENES!A:BE,10,0)</f>
        <v>#N/A</v>
      </c>
      <c r="E603" s="66" t="e">
        <f aca="false">VLOOKUP(A603,BD_ORDENES!A:BG,4,FALSE())</f>
        <v>#N/A</v>
      </c>
      <c r="F603" s="66" t="e">
        <f aca="false">VLOOKUP(A603,BD_ORDENES!A:BE,56,FALSE())</f>
        <v>#N/A</v>
      </c>
      <c r="G603" s="67" t="e">
        <f aca="false">VLOOKUP(A603,BD_ORDENES!A:BE,13,FALSE())</f>
        <v>#N/A</v>
      </c>
      <c r="H603" s="68" t="e">
        <f aca="false">VLOOKUP(A603,BD_ORDENES!A:BE,17,FALSE())</f>
        <v>#N/A</v>
      </c>
      <c r="I603" s="68" t="e">
        <f aca="false">VLOOKUP(A603,BD_ORDENES!A:BE,18,FALSE())</f>
        <v>#N/A</v>
      </c>
      <c r="J603" s="68" t="e">
        <f aca="false">VLOOKUP(A603,BD_ORDENES!A:BE,19,FALSE())</f>
        <v>#N/A</v>
      </c>
      <c r="K603" s="68" t="e">
        <f aca="false">VLOOKUP(A603,BD_ORDENES!A:BE,20,FALSE())</f>
        <v>#N/A</v>
      </c>
      <c r="L603" s="68" t="e">
        <f aca="false">VLOOKUP(A603,BD_ORDENES!A:BE,21,FALSE())</f>
        <v>#N/A</v>
      </c>
      <c r="M603" s="69" t="e">
        <f aca="false">VLOOKUP(A603,BD_ORDENES!A:BE,14,FALSE())</f>
        <v>#N/A</v>
      </c>
      <c r="N603" s="68" t="e">
        <f aca="false">VLOOKUP(A603,BD_ORDENES!A:BE,15,FALSE())</f>
        <v>#N/A</v>
      </c>
      <c r="O603" s="68" t="e">
        <f aca="false">VLOOKUP(A603,BD_ORDENES!A:BE,33,FALSE())</f>
        <v>#N/A</v>
      </c>
      <c r="P603" s="68" t="e">
        <f aca="false">VLOOKUP(A603,BD_ORDENES!A:BE,23,FALSE())</f>
        <v>#N/A</v>
      </c>
      <c r="Q603" s="68" t="e">
        <f aca="false">VLOOKUP(A603,BD_ORDENES!A:BE,52,FALSE())</f>
        <v>#N/A</v>
      </c>
      <c r="R603" s="68" t="e">
        <f aca="false">VLOOKUP(A603,BD_ORDENES!A:BE,25,FALSE())</f>
        <v>#N/A</v>
      </c>
      <c r="S603" s="68" t="e">
        <f aca="false">VLOOKUP(A603,BD_ORDENES!A:BE,22,FALSE())</f>
        <v>#N/A</v>
      </c>
      <c r="T603" s="65" t="e">
        <f aca="false">VLOOKUP(A603,BD_ORDENES!A:BE,55,FALSE())</f>
        <v>#N/A</v>
      </c>
      <c r="U603" s="68" t="e">
        <f aca="false">VLOOKUP(A603,BD_ORDENES!A:BE,57,FALSE())</f>
        <v>#N/A</v>
      </c>
      <c r="V603" s="70"/>
      <c r="W603" s="71"/>
    </row>
    <row r="604" s="72" customFormat="true" ht="98.25" hidden="false" customHeight="true" outlineLevel="0" collapsed="false">
      <c r="A604" s="62" t="n">
        <f aca="false">A603+1</f>
        <v>597</v>
      </c>
      <c r="B604" s="63" t="e">
        <f aca="false">VLOOKUP(A604,BD_ORDENES!A:BG,12,FALSE())</f>
        <v>#N/A</v>
      </c>
      <c r="C604" s="64" t="n">
        <v>597</v>
      </c>
      <c r="D604" s="65" t="e">
        <f aca="false">VLOOKUP(A604,BD_ORDENES!A:BE,10,0)</f>
        <v>#N/A</v>
      </c>
      <c r="E604" s="66" t="e">
        <f aca="false">VLOOKUP(A604,BD_ORDENES!A:BG,4,FALSE())</f>
        <v>#N/A</v>
      </c>
      <c r="F604" s="66" t="e">
        <f aca="false">VLOOKUP(A604,BD_ORDENES!A:BE,56,FALSE())</f>
        <v>#N/A</v>
      </c>
      <c r="G604" s="67" t="e">
        <f aca="false">VLOOKUP(A604,BD_ORDENES!A:BE,13,FALSE())</f>
        <v>#N/A</v>
      </c>
      <c r="H604" s="68" t="e">
        <f aca="false">VLOOKUP(A604,BD_ORDENES!A:BE,17,FALSE())</f>
        <v>#N/A</v>
      </c>
      <c r="I604" s="68" t="e">
        <f aca="false">VLOOKUP(A604,BD_ORDENES!A:BE,18,FALSE())</f>
        <v>#N/A</v>
      </c>
      <c r="J604" s="68" t="e">
        <f aca="false">VLOOKUP(A604,BD_ORDENES!A:BE,19,FALSE())</f>
        <v>#N/A</v>
      </c>
      <c r="K604" s="68" t="e">
        <f aca="false">VLOOKUP(A604,BD_ORDENES!A:BE,20,FALSE())</f>
        <v>#N/A</v>
      </c>
      <c r="L604" s="68" t="e">
        <f aca="false">VLOOKUP(A604,BD_ORDENES!A:BE,21,FALSE())</f>
        <v>#N/A</v>
      </c>
      <c r="M604" s="69" t="e">
        <f aca="false">VLOOKUP(A604,BD_ORDENES!A:BE,14,FALSE())</f>
        <v>#N/A</v>
      </c>
      <c r="N604" s="68" t="e">
        <f aca="false">VLOOKUP(A604,BD_ORDENES!A:BE,15,FALSE())</f>
        <v>#N/A</v>
      </c>
      <c r="O604" s="68" t="e">
        <f aca="false">VLOOKUP(A604,BD_ORDENES!A:BE,33,FALSE())</f>
        <v>#N/A</v>
      </c>
      <c r="P604" s="68" t="e">
        <f aca="false">VLOOKUP(A604,BD_ORDENES!A:BE,23,FALSE())</f>
        <v>#N/A</v>
      </c>
      <c r="Q604" s="68" t="e">
        <f aca="false">VLOOKUP(A604,BD_ORDENES!A:BE,52,FALSE())</f>
        <v>#N/A</v>
      </c>
      <c r="R604" s="68" t="e">
        <f aca="false">VLOOKUP(A604,BD_ORDENES!A:BE,25,FALSE())</f>
        <v>#N/A</v>
      </c>
      <c r="S604" s="68" t="e">
        <f aca="false">VLOOKUP(A604,BD_ORDENES!A:BE,22,FALSE())</f>
        <v>#N/A</v>
      </c>
      <c r="T604" s="65" t="e">
        <f aca="false">VLOOKUP(A604,BD_ORDENES!A:BE,55,FALSE())</f>
        <v>#N/A</v>
      </c>
      <c r="U604" s="68" t="e">
        <f aca="false">VLOOKUP(A604,BD_ORDENES!A:BE,57,FALSE())</f>
        <v>#N/A</v>
      </c>
      <c r="V604" s="70"/>
      <c r="W604" s="71"/>
    </row>
    <row r="605" s="72" customFormat="true" ht="98.25" hidden="false" customHeight="true" outlineLevel="0" collapsed="false">
      <c r="A605" s="62" t="n">
        <f aca="false">A604+1</f>
        <v>598</v>
      </c>
      <c r="B605" s="63" t="e">
        <f aca="false">VLOOKUP(A605,BD_ORDENES!A:BG,12,FALSE())</f>
        <v>#N/A</v>
      </c>
      <c r="C605" s="64" t="n">
        <v>598</v>
      </c>
      <c r="D605" s="65" t="e">
        <f aca="false">VLOOKUP(A605,BD_ORDENES!A:BE,10,0)</f>
        <v>#N/A</v>
      </c>
      <c r="E605" s="66" t="e">
        <f aca="false">VLOOKUP(A605,BD_ORDENES!A:BG,4,FALSE())</f>
        <v>#N/A</v>
      </c>
      <c r="F605" s="66" t="e">
        <f aca="false">VLOOKUP(A605,BD_ORDENES!A:BE,56,FALSE())</f>
        <v>#N/A</v>
      </c>
      <c r="G605" s="67" t="e">
        <f aca="false">VLOOKUP(A605,BD_ORDENES!A:BE,13,FALSE())</f>
        <v>#N/A</v>
      </c>
      <c r="H605" s="68" t="e">
        <f aca="false">VLOOKUP(A605,BD_ORDENES!A:BE,17,FALSE())</f>
        <v>#N/A</v>
      </c>
      <c r="I605" s="68" t="e">
        <f aca="false">VLOOKUP(A605,BD_ORDENES!A:BE,18,FALSE())</f>
        <v>#N/A</v>
      </c>
      <c r="J605" s="68" t="e">
        <f aca="false">VLOOKUP(A605,BD_ORDENES!A:BE,19,FALSE())</f>
        <v>#N/A</v>
      </c>
      <c r="K605" s="68" t="e">
        <f aca="false">VLOOKUP(A605,BD_ORDENES!A:BE,20,FALSE())</f>
        <v>#N/A</v>
      </c>
      <c r="L605" s="68" t="e">
        <f aca="false">VLOOKUP(A605,BD_ORDENES!A:BE,21,FALSE())</f>
        <v>#N/A</v>
      </c>
      <c r="M605" s="69" t="e">
        <f aca="false">VLOOKUP(A605,BD_ORDENES!A:BE,14,FALSE())</f>
        <v>#N/A</v>
      </c>
      <c r="N605" s="68" t="e">
        <f aca="false">VLOOKUP(A605,BD_ORDENES!A:BE,15,FALSE())</f>
        <v>#N/A</v>
      </c>
      <c r="O605" s="68" t="e">
        <f aca="false">VLOOKUP(A605,BD_ORDENES!A:BE,33,FALSE())</f>
        <v>#N/A</v>
      </c>
      <c r="P605" s="68" t="e">
        <f aca="false">VLOOKUP(A605,BD_ORDENES!A:BE,23,FALSE())</f>
        <v>#N/A</v>
      </c>
      <c r="Q605" s="68" t="e">
        <f aca="false">VLOOKUP(A605,BD_ORDENES!A:BE,52,FALSE())</f>
        <v>#N/A</v>
      </c>
      <c r="R605" s="68" t="e">
        <f aca="false">VLOOKUP(A605,BD_ORDENES!A:BE,25,FALSE())</f>
        <v>#N/A</v>
      </c>
      <c r="S605" s="68" t="e">
        <f aca="false">VLOOKUP(A605,BD_ORDENES!A:BE,22,FALSE())</f>
        <v>#N/A</v>
      </c>
      <c r="T605" s="65" t="e">
        <f aca="false">VLOOKUP(A605,BD_ORDENES!A:BE,55,FALSE())</f>
        <v>#N/A</v>
      </c>
      <c r="U605" s="68" t="e">
        <f aca="false">VLOOKUP(A605,BD_ORDENES!A:BE,57,FALSE())</f>
        <v>#N/A</v>
      </c>
      <c r="V605" s="70"/>
      <c r="W605" s="71"/>
    </row>
    <row r="606" s="72" customFormat="true" ht="98.25" hidden="false" customHeight="true" outlineLevel="0" collapsed="false">
      <c r="A606" s="62" t="n">
        <f aca="false">A605+1</f>
        <v>599</v>
      </c>
      <c r="B606" s="63" t="e">
        <f aca="false">VLOOKUP(A606,BD_ORDENES!A:BG,12,FALSE())</f>
        <v>#N/A</v>
      </c>
      <c r="C606" s="64" t="n">
        <v>599</v>
      </c>
      <c r="D606" s="65" t="e">
        <f aca="false">VLOOKUP(A606,BD_ORDENES!A:BE,10,0)</f>
        <v>#N/A</v>
      </c>
      <c r="E606" s="66" t="e">
        <f aca="false">VLOOKUP(A606,BD_ORDENES!A:BG,4,FALSE())</f>
        <v>#N/A</v>
      </c>
      <c r="F606" s="66" t="e">
        <f aca="false">VLOOKUP(A606,BD_ORDENES!A:BE,56,FALSE())</f>
        <v>#N/A</v>
      </c>
      <c r="G606" s="67" t="e">
        <f aca="false">VLOOKUP(A606,BD_ORDENES!A:BE,13,FALSE())</f>
        <v>#N/A</v>
      </c>
      <c r="H606" s="68" t="e">
        <f aca="false">VLOOKUP(A606,BD_ORDENES!A:BE,17,FALSE())</f>
        <v>#N/A</v>
      </c>
      <c r="I606" s="68" t="e">
        <f aca="false">VLOOKUP(A606,BD_ORDENES!A:BE,18,FALSE())</f>
        <v>#N/A</v>
      </c>
      <c r="J606" s="68" t="e">
        <f aca="false">VLOOKUP(A606,BD_ORDENES!A:BE,19,FALSE())</f>
        <v>#N/A</v>
      </c>
      <c r="K606" s="68" t="e">
        <f aca="false">VLOOKUP(A606,BD_ORDENES!A:BE,20,FALSE())</f>
        <v>#N/A</v>
      </c>
      <c r="L606" s="68" t="e">
        <f aca="false">VLOOKUP(A606,BD_ORDENES!A:BE,21,FALSE())</f>
        <v>#N/A</v>
      </c>
      <c r="M606" s="69" t="e">
        <f aca="false">VLOOKUP(A606,BD_ORDENES!A:BE,14,FALSE())</f>
        <v>#N/A</v>
      </c>
      <c r="N606" s="68" t="e">
        <f aca="false">VLOOKUP(A606,BD_ORDENES!A:BE,15,FALSE())</f>
        <v>#N/A</v>
      </c>
      <c r="O606" s="68" t="e">
        <f aca="false">VLOOKUP(A606,BD_ORDENES!A:BE,33,FALSE())</f>
        <v>#N/A</v>
      </c>
      <c r="P606" s="68" t="e">
        <f aca="false">VLOOKUP(A606,BD_ORDENES!A:BE,23,FALSE())</f>
        <v>#N/A</v>
      </c>
      <c r="Q606" s="68" t="e">
        <f aca="false">VLOOKUP(A606,BD_ORDENES!A:BE,52,FALSE())</f>
        <v>#N/A</v>
      </c>
      <c r="R606" s="68" t="e">
        <f aca="false">VLOOKUP(A606,BD_ORDENES!A:BE,25,FALSE())</f>
        <v>#N/A</v>
      </c>
      <c r="S606" s="68" t="e">
        <f aca="false">VLOOKUP(A606,BD_ORDENES!A:BE,22,FALSE())</f>
        <v>#N/A</v>
      </c>
      <c r="T606" s="65" t="e">
        <f aca="false">VLOOKUP(A606,BD_ORDENES!A:BE,55,FALSE())</f>
        <v>#N/A</v>
      </c>
      <c r="U606" s="68" t="e">
        <f aca="false">VLOOKUP(A606,BD_ORDENES!A:BE,57,FALSE())</f>
        <v>#N/A</v>
      </c>
      <c r="V606" s="70"/>
      <c r="W606" s="71"/>
    </row>
    <row r="607" s="72" customFormat="true" ht="98.25" hidden="false" customHeight="true" outlineLevel="0" collapsed="false">
      <c r="A607" s="62" t="n">
        <f aca="false">A606+1</f>
        <v>600</v>
      </c>
      <c r="B607" s="63" t="e">
        <f aca="false">VLOOKUP(A607,BD_ORDENES!A:BG,12,FALSE())</f>
        <v>#N/A</v>
      </c>
      <c r="C607" s="64" t="n">
        <v>600</v>
      </c>
      <c r="D607" s="65" t="e">
        <f aca="false">VLOOKUP(A607,BD_ORDENES!A:BE,10,0)</f>
        <v>#N/A</v>
      </c>
      <c r="E607" s="66" t="e">
        <f aca="false">VLOOKUP(A607,BD_ORDENES!A:BG,4,FALSE())</f>
        <v>#N/A</v>
      </c>
      <c r="F607" s="66" t="e">
        <f aca="false">VLOOKUP(A607,BD_ORDENES!A:BE,56,FALSE())</f>
        <v>#N/A</v>
      </c>
      <c r="G607" s="67" t="e">
        <f aca="false">VLOOKUP(A607,BD_ORDENES!A:BE,13,FALSE())</f>
        <v>#N/A</v>
      </c>
      <c r="H607" s="68" t="e">
        <f aca="false">VLOOKUP(A607,BD_ORDENES!A:BE,17,FALSE())</f>
        <v>#N/A</v>
      </c>
      <c r="I607" s="68" t="e">
        <f aca="false">VLOOKUP(A607,BD_ORDENES!A:BE,18,FALSE())</f>
        <v>#N/A</v>
      </c>
      <c r="J607" s="68" t="e">
        <f aca="false">VLOOKUP(A607,BD_ORDENES!A:BE,19,FALSE())</f>
        <v>#N/A</v>
      </c>
      <c r="K607" s="68" t="e">
        <f aca="false">VLOOKUP(A607,BD_ORDENES!A:BE,20,FALSE())</f>
        <v>#N/A</v>
      </c>
      <c r="L607" s="68" t="e">
        <f aca="false">VLOOKUP(A607,BD_ORDENES!A:BE,21,FALSE())</f>
        <v>#N/A</v>
      </c>
      <c r="M607" s="69" t="e">
        <f aca="false">VLOOKUP(A607,BD_ORDENES!A:BE,14,FALSE())</f>
        <v>#N/A</v>
      </c>
      <c r="N607" s="68" t="e">
        <f aca="false">VLOOKUP(A607,BD_ORDENES!A:BE,15,FALSE())</f>
        <v>#N/A</v>
      </c>
      <c r="O607" s="68" t="e">
        <f aca="false">VLOOKUP(A607,BD_ORDENES!A:BE,33,FALSE())</f>
        <v>#N/A</v>
      </c>
      <c r="P607" s="68" t="e">
        <f aca="false">VLOOKUP(A607,BD_ORDENES!A:BE,23,FALSE())</f>
        <v>#N/A</v>
      </c>
      <c r="Q607" s="68" t="e">
        <f aca="false">VLOOKUP(A607,BD_ORDENES!A:BE,52,FALSE())</f>
        <v>#N/A</v>
      </c>
      <c r="R607" s="68" t="e">
        <f aca="false">VLOOKUP(A607,BD_ORDENES!A:BE,25,FALSE())</f>
        <v>#N/A</v>
      </c>
      <c r="S607" s="68" t="e">
        <f aca="false">VLOOKUP(A607,BD_ORDENES!A:BE,22,FALSE())</f>
        <v>#N/A</v>
      </c>
      <c r="T607" s="65" t="e">
        <f aca="false">VLOOKUP(A607,BD_ORDENES!A:BE,55,FALSE())</f>
        <v>#N/A</v>
      </c>
      <c r="U607" s="68" t="e">
        <f aca="false">VLOOKUP(A607,BD_ORDENES!A:BE,57,FALSE())</f>
        <v>#N/A</v>
      </c>
      <c r="V607" s="70"/>
      <c r="W607" s="71"/>
    </row>
    <row r="608" s="72" customFormat="true" ht="98.25" hidden="false" customHeight="true" outlineLevel="0" collapsed="false">
      <c r="A608" s="62" t="n">
        <f aca="false">A607+1</f>
        <v>601</v>
      </c>
      <c r="B608" s="63" t="e">
        <f aca="false">VLOOKUP(A608,BD_ORDENES!A:BG,12,FALSE())</f>
        <v>#N/A</v>
      </c>
      <c r="C608" s="64" t="n">
        <v>601</v>
      </c>
      <c r="D608" s="65" t="e">
        <f aca="false">VLOOKUP(A608,BD_ORDENES!A:BE,10,0)</f>
        <v>#N/A</v>
      </c>
      <c r="E608" s="66" t="e">
        <f aca="false">VLOOKUP(A608,BD_ORDENES!A:BG,4,FALSE())</f>
        <v>#N/A</v>
      </c>
      <c r="F608" s="66" t="e">
        <f aca="false">VLOOKUP(A608,BD_ORDENES!A:BE,56,FALSE())</f>
        <v>#N/A</v>
      </c>
      <c r="G608" s="67" t="e">
        <f aca="false">VLOOKUP(A608,BD_ORDENES!A:BE,13,FALSE())</f>
        <v>#N/A</v>
      </c>
      <c r="H608" s="68" t="e">
        <f aca="false">VLOOKUP(A608,BD_ORDENES!A:BE,17,FALSE())</f>
        <v>#N/A</v>
      </c>
      <c r="I608" s="68" t="e">
        <f aca="false">VLOOKUP(A608,BD_ORDENES!A:BE,18,FALSE())</f>
        <v>#N/A</v>
      </c>
      <c r="J608" s="68" t="e">
        <f aca="false">VLOOKUP(A608,BD_ORDENES!A:BE,19,FALSE())</f>
        <v>#N/A</v>
      </c>
      <c r="K608" s="68" t="e">
        <f aca="false">VLOOKUP(A608,BD_ORDENES!A:BE,20,FALSE())</f>
        <v>#N/A</v>
      </c>
      <c r="L608" s="68" t="e">
        <f aca="false">VLOOKUP(A608,BD_ORDENES!A:BE,21,FALSE())</f>
        <v>#N/A</v>
      </c>
      <c r="M608" s="69" t="e">
        <f aca="false">VLOOKUP(A608,BD_ORDENES!A:BE,14,FALSE())</f>
        <v>#N/A</v>
      </c>
      <c r="N608" s="68" t="e">
        <f aca="false">VLOOKUP(A608,BD_ORDENES!A:BE,15,FALSE())</f>
        <v>#N/A</v>
      </c>
      <c r="O608" s="68" t="e">
        <f aca="false">VLOOKUP(A608,BD_ORDENES!A:BE,33,FALSE())</f>
        <v>#N/A</v>
      </c>
      <c r="P608" s="68" t="e">
        <f aca="false">VLOOKUP(A608,BD_ORDENES!A:BE,23,FALSE())</f>
        <v>#N/A</v>
      </c>
      <c r="Q608" s="68" t="e">
        <f aca="false">VLOOKUP(A608,BD_ORDENES!A:BE,52,FALSE())</f>
        <v>#N/A</v>
      </c>
      <c r="R608" s="68" t="e">
        <f aca="false">VLOOKUP(A608,BD_ORDENES!A:BE,25,FALSE())</f>
        <v>#N/A</v>
      </c>
      <c r="S608" s="68" t="e">
        <f aca="false">VLOOKUP(A608,BD_ORDENES!A:BE,22,FALSE())</f>
        <v>#N/A</v>
      </c>
      <c r="T608" s="65" t="e">
        <f aca="false">VLOOKUP(A608,BD_ORDENES!A:BE,55,FALSE())</f>
        <v>#N/A</v>
      </c>
      <c r="U608" s="68" t="e">
        <f aca="false">VLOOKUP(A608,BD_ORDENES!A:BE,57,FALSE())</f>
        <v>#N/A</v>
      </c>
      <c r="V608" s="70"/>
      <c r="W608" s="71"/>
    </row>
    <row r="609" s="72" customFormat="true" ht="98.25" hidden="false" customHeight="true" outlineLevel="0" collapsed="false">
      <c r="A609" s="62" t="n">
        <f aca="false">A608+1</f>
        <v>602</v>
      </c>
      <c r="B609" s="63" t="e">
        <f aca="false">VLOOKUP(A609,BD_ORDENES!A:BG,12,FALSE())</f>
        <v>#N/A</v>
      </c>
      <c r="C609" s="64" t="n">
        <v>602</v>
      </c>
      <c r="D609" s="65" t="e">
        <f aca="false">VLOOKUP(A609,BD_ORDENES!A:BE,10,0)</f>
        <v>#N/A</v>
      </c>
      <c r="E609" s="66" t="e">
        <f aca="false">VLOOKUP(A609,BD_ORDENES!A:BG,4,FALSE())</f>
        <v>#N/A</v>
      </c>
      <c r="F609" s="66" t="e">
        <f aca="false">VLOOKUP(A609,BD_ORDENES!A:BE,56,FALSE())</f>
        <v>#N/A</v>
      </c>
      <c r="G609" s="67" t="e">
        <f aca="false">VLOOKUP(A609,BD_ORDENES!A:BE,13,FALSE())</f>
        <v>#N/A</v>
      </c>
      <c r="H609" s="68" t="e">
        <f aca="false">VLOOKUP(A609,BD_ORDENES!A:BE,17,FALSE())</f>
        <v>#N/A</v>
      </c>
      <c r="I609" s="68" t="e">
        <f aca="false">VLOOKUP(A609,BD_ORDENES!A:BE,18,FALSE())</f>
        <v>#N/A</v>
      </c>
      <c r="J609" s="68" t="e">
        <f aca="false">VLOOKUP(A609,BD_ORDENES!A:BE,19,FALSE())</f>
        <v>#N/A</v>
      </c>
      <c r="K609" s="68" t="e">
        <f aca="false">VLOOKUP(A609,BD_ORDENES!A:BE,20,FALSE())</f>
        <v>#N/A</v>
      </c>
      <c r="L609" s="68" t="e">
        <f aca="false">VLOOKUP(A609,BD_ORDENES!A:BE,21,FALSE())</f>
        <v>#N/A</v>
      </c>
      <c r="M609" s="69" t="e">
        <f aca="false">VLOOKUP(A609,BD_ORDENES!A:BE,14,FALSE())</f>
        <v>#N/A</v>
      </c>
      <c r="N609" s="68" t="e">
        <f aca="false">VLOOKUP(A609,BD_ORDENES!A:BE,15,FALSE())</f>
        <v>#N/A</v>
      </c>
      <c r="O609" s="68" t="e">
        <f aca="false">VLOOKUP(A609,BD_ORDENES!A:BE,33,FALSE())</f>
        <v>#N/A</v>
      </c>
      <c r="P609" s="68" t="e">
        <f aca="false">VLOOKUP(A609,BD_ORDENES!A:BE,23,FALSE())</f>
        <v>#N/A</v>
      </c>
      <c r="Q609" s="68" t="e">
        <f aca="false">VLOOKUP(A609,BD_ORDENES!A:BE,52,FALSE())</f>
        <v>#N/A</v>
      </c>
      <c r="R609" s="68" t="e">
        <f aca="false">VLOOKUP(A609,BD_ORDENES!A:BE,25,FALSE())</f>
        <v>#N/A</v>
      </c>
      <c r="S609" s="68" t="e">
        <f aca="false">VLOOKUP(A609,BD_ORDENES!A:BE,22,FALSE())</f>
        <v>#N/A</v>
      </c>
      <c r="T609" s="65" t="e">
        <f aca="false">VLOOKUP(A609,BD_ORDENES!A:BE,55,FALSE())</f>
        <v>#N/A</v>
      </c>
      <c r="U609" s="68" t="e">
        <f aca="false">VLOOKUP(A609,BD_ORDENES!A:BE,57,FALSE())</f>
        <v>#N/A</v>
      </c>
      <c r="V609" s="70"/>
      <c r="W609" s="71"/>
    </row>
    <row r="610" s="72" customFormat="true" ht="98.25" hidden="false" customHeight="true" outlineLevel="0" collapsed="false">
      <c r="A610" s="62" t="n">
        <f aca="false">A609+1</f>
        <v>603</v>
      </c>
      <c r="B610" s="63" t="e">
        <f aca="false">VLOOKUP(A610,BD_ORDENES!A:BG,12,FALSE())</f>
        <v>#N/A</v>
      </c>
      <c r="C610" s="64" t="n">
        <v>603</v>
      </c>
      <c r="D610" s="65" t="e">
        <f aca="false">VLOOKUP(A610,BD_ORDENES!A:BE,10,0)</f>
        <v>#N/A</v>
      </c>
      <c r="E610" s="66" t="e">
        <f aca="false">VLOOKUP(A610,BD_ORDENES!A:BG,4,FALSE())</f>
        <v>#N/A</v>
      </c>
      <c r="F610" s="66" t="e">
        <f aca="false">VLOOKUP(A610,BD_ORDENES!A:BE,56,FALSE())</f>
        <v>#N/A</v>
      </c>
      <c r="G610" s="67" t="e">
        <f aca="false">VLOOKUP(A610,BD_ORDENES!A:BE,13,FALSE())</f>
        <v>#N/A</v>
      </c>
      <c r="H610" s="68" t="e">
        <f aca="false">VLOOKUP(A610,BD_ORDENES!A:BE,17,FALSE())</f>
        <v>#N/A</v>
      </c>
      <c r="I610" s="68" t="e">
        <f aca="false">VLOOKUP(A610,BD_ORDENES!A:BE,18,FALSE())</f>
        <v>#N/A</v>
      </c>
      <c r="J610" s="68" t="e">
        <f aca="false">VLOOKUP(A610,BD_ORDENES!A:BE,19,FALSE())</f>
        <v>#N/A</v>
      </c>
      <c r="K610" s="68" t="e">
        <f aca="false">VLOOKUP(A610,BD_ORDENES!A:BE,20,FALSE())</f>
        <v>#N/A</v>
      </c>
      <c r="L610" s="68" t="e">
        <f aca="false">VLOOKUP(A610,BD_ORDENES!A:BE,21,FALSE())</f>
        <v>#N/A</v>
      </c>
      <c r="M610" s="69" t="e">
        <f aca="false">VLOOKUP(A610,BD_ORDENES!A:BE,14,FALSE())</f>
        <v>#N/A</v>
      </c>
      <c r="N610" s="68" t="e">
        <f aca="false">VLOOKUP(A610,BD_ORDENES!A:BE,15,FALSE())</f>
        <v>#N/A</v>
      </c>
      <c r="O610" s="68" t="e">
        <f aca="false">VLOOKUP(A610,BD_ORDENES!A:BE,33,FALSE())</f>
        <v>#N/A</v>
      </c>
      <c r="P610" s="68" t="e">
        <f aca="false">VLOOKUP(A610,BD_ORDENES!A:BE,23,FALSE())</f>
        <v>#N/A</v>
      </c>
      <c r="Q610" s="68" t="e">
        <f aca="false">VLOOKUP(A610,BD_ORDENES!A:BE,52,FALSE())</f>
        <v>#N/A</v>
      </c>
      <c r="R610" s="68" t="e">
        <f aca="false">VLOOKUP(A610,BD_ORDENES!A:BE,25,FALSE())</f>
        <v>#N/A</v>
      </c>
      <c r="S610" s="68" t="e">
        <f aca="false">VLOOKUP(A610,BD_ORDENES!A:BE,22,FALSE())</f>
        <v>#N/A</v>
      </c>
      <c r="T610" s="65" t="e">
        <f aca="false">VLOOKUP(A610,BD_ORDENES!A:BE,55,FALSE())</f>
        <v>#N/A</v>
      </c>
      <c r="U610" s="68" t="e">
        <f aca="false">VLOOKUP(A610,BD_ORDENES!A:BE,57,FALSE())</f>
        <v>#N/A</v>
      </c>
      <c r="V610" s="70"/>
      <c r="W610" s="71"/>
    </row>
    <row r="611" s="72" customFormat="true" ht="98.25" hidden="false" customHeight="true" outlineLevel="0" collapsed="false">
      <c r="A611" s="62" t="n">
        <f aca="false">A610+1</f>
        <v>604</v>
      </c>
      <c r="B611" s="63" t="e">
        <f aca="false">VLOOKUP(A611,BD_ORDENES!A:BG,12,FALSE())</f>
        <v>#N/A</v>
      </c>
      <c r="C611" s="64" t="n">
        <v>604</v>
      </c>
      <c r="D611" s="65" t="e">
        <f aca="false">VLOOKUP(A611,BD_ORDENES!A:BE,10,0)</f>
        <v>#N/A</v>
      </c>
      <c r="E611" s="66" t="e">
        <f aca="false">VLOOKUP(A611,BD_ORDENES!A:BG,4,FALSE())</f>
        <v>#N/A</v>
      </c>
      <c r="F611" s="66" t="e">
        <f aca="false">VLOOKUP(A611,BD_ORDENES!A:BE,56,FALSE())</f>
        <v>#N/A</v>
      </c>
      <c r="G611" s="67" t="e">
        <f aca="false">VLOOKUP(A611,BD_ORDENES!A:BE,13,FALSE())</f>
        <v>#N/A</v>
      </c>
      <c r="H611" s="68" t="e">
        <f aca="false">VLOOKUP(A611,BD_ORDENES!A:BE,17,FALSE())</f>
        <v>#N/A</v>
      </c>
      <c r="I611" s="68" t="e">
        <f aca="false">VLOOKUP(A611,BD_ORDENES!A:BE,18,FALSE())</f>
        <v>#N/A</v>
      </c>
      <c r="J611" s="68" t="e">
        <f aca="false">VLOOKUP(A611,BD_ORDENES!A:BE,19,FALSE())</f>
        <v>#N/A</v>
      </c>
      <c r="K611" s="68" t="e">
        <f aca="false">VLOOKUP(A611,BD_ORDENES!A:BE,20,FALSE())</f>
        <v>#N/A</v>
      </c>
      <c r="L611" s="68" t="e">
        <f aca="false">VLOOKUP(A611,BD_ORDENES!A:BE,21,FALSE())</f>
        <v>#N/A</v>
      </c>
      <c r="M611" s="69" t="e">
        <f aca="false">VLOOKUP(A611,BD_ORDENES!A:BE,14,FALSE())</f>
        <v>#N/A</v>
      </c>
      <c r="N611" s="68" t="e">
        <f aca="false">VLOOKUP(A611,BD_ORDENES!A:BE,15,FALSE())</f>
        <v>#N/A</v>
      </c>
      <c r="O611" s="68" t="e">
        <f aca="false">VLOOKUP(A611,BD_ORDENES!A:BE,33,FALSE())</f>
        <v>#N/A</v>
      </c>
      <c r="P611" s="68" t="e">
        <f aca="false">VLOOKUP(A611,BD_ORDENES!A:BE,23,FALSE())</f>
        <v>#N/A</v>
      </c>
      <c r="Q611" s="68" t="e">
        <f aca="false">VLOOKUP(A611,BD_ORDENES!A:BE,52,FALSE())</f>
        <v>#N/A</v>
      </c>
      <c r="R611" s="68" t="e">
        <f aca="false">VLOOKUP(A611,BD_ORDENES!A:BE,25,FALSE())</f>
        <v>#N/A</v>
      </c>
      <c r="S611" s="68" t="e">
        <f aca="false">VLOOKUP(A611,BD_ORDENES!A:BE,22,FALSE())</f>
        <v>#N/A</v>
      </c>
      <c r="T611" s="65" t="e">
        <f aca="false">VLOOKUP(A611,BD_ORDENES!A:BE,55,FALSE())</f>
        <v>#N/A</v>
      </c>
      <c r="U611" s="68" t="e">
        <f aca="false">VLOOKUP(A611,BD_ORDENES!A:BE,57,FALSE())</f>
        <v>#N/A</v>
      </c>
      <c r="V611" s="70"/>
      <c r="W611" s="71"/>
    </row>
    <row r="612" s="72" customFormat="true" ht="98.25" hidden="false" customHeight="true" outlineLevel="0" collapsed="false">
      <c r="A612" s="62" t="n">
        <f aca="false">A611+1</f>
        <v>605</v>
      </c>
      <c r="B612" s="63" t="e">
        <f aca="false">VLOOKUP(A612,BD_ORDENES!A:BG,12,FALSE())</f>
        <v>#N/A</v>
      </c>
      <c r="C612" s="64" t="n">
        <v>605</v>
      </c>
      <c r="D612" s="65" t="e">
        <f aca="false">VLOOKUP(A612,BD_ORDENES!A:BE,10,0)</f>
        <v>#N/A</v>
      </c>
      <c r="E612" s="66" t="e">
        <f aca="false">VLOOKUP(A612,BD_ORDENES!A:BG,4,FALSE())</f>
        <v>#N/A</v>
      </c>
      <c r="F612" s="66" t="e">
        <f aca="false">VLOOKUP(A612,BD_ORDENES!A:BE,56,FALSE())</f>
        <v>#N/A</v>
      </c>
      <c r="G612" s="67" t="e">
        <f aca="false">VLOOKUP(A612,BD_ORDENES!A:BE,13,FALSE())</f>
        <v>#N/A</v>
      </c>
      <c r="H612" s="68" t="e">
        <f aca="false">VLOOKUP(A612,BD_ORDENES!A:BE,17,FALSE())</f>
        <v>#N/A</v>
      </c>
      <c r="I612" s="68" t="e">
        <f aca="false">VLOOKUP(A612,BD_ORDENES!A:BE,18,FALSE())</f>
        <v>#N/A</v>
      </c>
      <c r="J612" s="68" t="e">
        <f aca="false">VLOOKUP(A612,BD_ORDENES!A:BE,19,FALSE())</f>
        <v>#N/A</v>
      </c>
      <c r="K612" s="68" t="e">
        <f aca="false">VLOOKUP(A612,BD_ORDENES!A:BE,20,FALSE())</f>
        <v>#N/A</v>
      </c>
      <c r="L612" s="68" t="e">
        <f aca="false">VLOOKUP(A612,BD_ORDENES!A:BE,21,FALSE())</f>
        <v>#N/A</v>
      </c>
      <c r="M612" s="69" t="e">
        <f aca="false">VLOOKUP(A612,BD_ORDENES!A:BE,14,FALSE())</f>
        <v>#N/A</v>
      </c>
      <c r="N612" s="68" t="e">
        <f aca="false">VLOOKUP(A612,BD_ORDENES!A:BE,15,FALSE())</f>
        <v>#N/A</v>
      </c>
      <c r="O612" s="68" t="e">
        <f aca="false">VLOOKUP(A612,BD_ORDENES!A:BE,33,FALSE())</f>
        <v>#N/A</v>
      </c>
      <c r="P612" s="68" t="e">
        <f aca="false">VLOOKUP(A612,BD_ORDENES!A:BE,23,FALSE())</f>
        <v>#N/A</v>
      </c>
      <c r="Q612" s="68" t="e">
        <f aca="false">VLOOKUP(A612,BD_ORDENES!A:BE,52,FALSE())</f>
        <v>#N/A</v>
      </c>
      <c r="R612" s="68" t="e">
        <f aca="false">VLOOKUP(A612,BD_ORDENES!A:BE,25,FALSE())</f>
        <v>#N/A</v>
      </c>
      <c r="S612" s="68" t="e">
        <f aca="false">VLOOKUP(A612,BD_ORDENES!A:BE,22,FALSE())</f>
        <v>#N/A</v>
      </c>
      <c r="T612" s="65" t="e">
        <f aca="false">VLOOKUP(A612,BD_ORDENES!A:BE,55,FALSE())</f>
        <v>#N/A</v>
      </c>
      <c r="U612" s="68" t="e">
        <f aca="false">VLOOKUP(A612,BD_ORDENES!A:BE,57,FALSE())</f>
        <v>#N/A</v>
      </c>
      <c r="V612" s="70"/>
      <c r="W612" s="71"/>
    </row>
    <row r="613" s="72" customFormat="true" ht="98.25" hidden="false" customHeight="true" outlineLevel="0" collapsed="false">
      <c r="A613" s="62" t="n">
        <f aca="false">A612+1</f>
        <v>606</v>
      </c>
      <c r="B613" s="63" t="e">
        <f aca="false">VLOOKUP(A613,BD_ORDENES!A:BG,12,FALSE())</f>
        <v>#N/A</v>
      </c>
      <c r="C613" s="64" t="n">
        <v>606</v>
      </c>
      <c r="D613" s="65" t="e">
        <f aca="false">VLOOKUP(A613,BD_ORDENES!A:BE,10,0)</f>
        <v>#N/A</v>
      </c>
      <c r="E613" s="66" t="e">
        <f aca="false">VLOOKUP(A613,BD_ORDENES!A:BG,4,FALSE())</f>
        <v>#N/A</v>
      </c>
      <c r="F613" s="66" t="e">
        <f aca="false">VLOOKUP(A613,BD_ORDENES!A:BE,56,FALSE())</f>
        <v>#N/A</v>
      </c>
      <c r="G613" s="67" t="e">
        <f aca="false">VLOOKUP(A613,BD_ORDENES!A:BE,13,FALSE())</f>
        <v>#N/A</v>
      </c>
      <c r="H613" s="68" t="e">
        <f aca="false">VLOOKUP(A613,BD_ORDENES!A:BE,17,FALSE())</f>
        <v>#N/A</v>
      </c>
      <c r="I613" s="68" t="e">
        <f aca="false">VLOOKUP(A613,BD_ORDENES!A:BE,18,FALSE())</f>
        <v>#N/A</v>
      </c>
      <c r="J613" s="68" t="e">
        <f aca="false">VLOOKUP(A613,BD_ORDENES!A:BE,19,FALSE())</f>
        <v>#N/A</v>
      </c>
      <c r="K613" s="68" t="e">
        <f aca="false">VLOOKUP(A613,BD_ORDENES!A:BE,20,FALSE())</f>
        <v>#N/A</v>
      </c>
      <c r="L613" s="68" t="e">
        <f aca="false">VLOOKUP(A613,BD_ORDENES!A:BE,21,FALSE())</f>
        <v>#N/A</v>
      </c>
      <c r="M613" s="69" t="e">
        <f aca="false">VLOOKUP(A613,BD_ORDENES!A:BE,14,FALSE())</f>
        <v>#N/A</v>
      </c>
      <c r="N613" s="68" t="e">
        <f aca="false">VLOOKUP(A613,BD_ORDENES!A:BE,15,FALSE())</f>
        <v>#N/A</v>
      </c>
      <c r="O613" s="68" t="e">
        <f aca="false">VLOOKUP(A613,BD_ORDENES!A:BE,33,FALSE())</f>
        <v>#N/A</v>
      </c>
      <c r="P613" s="68" t="e">
        <f aca="false">VLOOKUP(A613,BD_ORDENES!A:BE,23,FALSE())</f>
        <v>#N/A</v>
      </c>
      <c r="Q613" s="68" t="e">
        <f aca="false">VLOOKUP(A613,BD_ORDENES!A:BE,52,FALSE())</f>
        <v>#N/A</v>
      </c>
      <c r="R613" s="68" t="e">
        <f aca="false">VLOOKUP(A613,BD_ORDENES!A:BE,25,FALSE())</f>
        <v>#N/A</v>
      </c>
      <c r="S613" s="68" t="e">
        <f aca="false">VLOOKUP(A613,BD_ORDENES!A:BE,22,FALSE())</f>
        <v>#N/A</v>
      </c>
      <c r="T613" s="65" t="e">
        <f aca="false">VLOOKUP(A613,BD_ORDENES!A:BE,55,FALSE())</f>
        <v>#N/A</v>
      </c>
      <c r="U613" s="68" t="e">
        <f aca="false">VLOOKUP(A613,BD_ORDENES!A:BE,57,FALSE())</f>
        <v>#N/A</v>
      </c>
      <c r="V613" s="70"/>
      <c r="W613" s="71"/>
    </row>
    <row r="614" s="72" customFormat="true" ht="98.25" hidden="false" customHeight="true" outlineLevel="0" collapsed="false">
      <c r="A614" s="62" t="n">
        <f aca="false">A613+1</f>
        <v>607</v>
      </c>
      <c r="B614" s="63" t="e">
        <f aca="false">VLOOKUP(A614,BD_ORDENES!A:BG,12,FALSE())</f>
        <v>#N/A</v>
      </c>
      <c r="C614" s="64" t="n">
        <v>607</v>
      </c>
      <c r="D614" s="65" t="e">
        <f aca="false">VLOOKUP(A614,BD_ORDENES!A:BE,10,0)</f>
        <v>#N/A</v>
      </c>
      <c r="E614" s="66" t="e">
        <f aca="false">VLOOKUP(A614,BD_ORDENES!A:BG,4,FALSE())</f>
        <v>#N/A</v>
      </c>
      <c r="F614" s="66" t="e">
        <f aca="false">VLOOKUP(A614,BD_ORDENES!A:BE,56,FALSE())</f>
        <v>#N/A</v>
      </c>
      <c r="G614" s="67" t="e">
        <f aca="false">VLOOKUP(A614,BD_ORDENES!A:BE,13,FALSE())</f>
        <v>#N/A</v>
      </c>
      <c r="H614" s="68" t="e">
        <f aca="false">VLOOKUP(A614,BD_ORDENES!A:BE,17,FALSE())</f>
        <v>#N/A</v>
      </c>
      <c r="I614" s="68" t="e">
        <f aca="false">VLOOKUP(A614,BD_ORDENES!A:BE,18,FALSE())</f>
        <v>#N/A</v>
      </c>
      <c r="J614" s="68" t="e">
        <f aca="false">VLOOKUP(A614,BD_ORDENES!A:BE,19,FALSE())</f>
        <v>#N/A</v>
      </c>
      <c r="K614" s="68" t="e">
        <f aca="false">VLOOKUP(A614,BD_ORDENES!A:BE,20,FALSE())</f>
        <v>#N/A</v>
      </c>
      <c r="L614" s="68" t="e">
        <f aca="false">VLOOKUP(A614,BD_ORDENES!A:BE,21,FALSE())</f>
        <v>#N/A</v>
      </c>
      <c r="M614" s="69" t="e">
        <f aca="false">VLOOKUP(A614,BD_ORDENES!A:BE,14,FALSE())</f>
        <v>#N/A</v>
      </c>
      <c r="N614" s="68" t="e">
        <f aca="false">VLOOKUP(A614,BD_ORDENES!A:BE,15,FALSE())</f>
        <v>#N/A</v>
      </c>
      <c r="O614" s="68" t="e">
        <f aca="false">VLOOKUP(A614,BD_ORDENES!A:BE,33,FALSE())</f>
        <v>#N/A</v>
      </c>
      <c r="P614" s="68" t="e">
        <f aca="false">VLOOKUP(A614,BD_ORDENES!A:BE,23,FALSE())</f>
        <v>#N/A</v>
      </c>
      <c r="Q614" s="68" t="e">
        <f aca="false">VLOOKUP(A614,BD_ORDENES!A:BE,52,FALSE())</f>
        <v>#N/A</v>
      </c>
      <c r="R614" s="68" t="e">
        <f aca="false">VLOOKUP(A614,BD_ORDENES!A:BE,25,FALSE())</f>
        <v>#N/A</v>
      </c>
      <c r="S614" s="68" t="e">
        <f aca="false">VLOOKUP(A614,BD_ORDENES!A:BE,22,FALSE())</f>
        <v>#N/A</v>
      </c>
      <c r="T614" s="65" t="e">
        <f aca="false">VLOOKUP(A614,BD_ORDENES!A:BE,55,FALSE())</f>
        <v>#N/A</v>
      </c>
      <c r="U614" s="68" t="e">
        <f aca="false">VLOOKUP(A614,BD_ORDENES!A:BE,57,FALSE())</f>
        <v>#N/A</v>
      </c>
      <c r="V614" s="70"/>
      <c r="W614" s="71"/>
    </row>
    <row r="615" s="72" customFormat="true" ht="98.25" hidden="false" customHeight="true" outlineLevel="0" collapsed="false">
      <c r="A615" s="62" t="n">
        <f aca="false">A614+1</f>
        <v>608</v>
      </c>
      <c r="B615" s="63" t="e">
        <f aca="false">VLOOKUP(A615,BD_ORDENES!A:BG,12,FALSE())</f>
        <v>#N/A</v>
      </c>
      <c r="C615" s="64" t="n">
        <v>608</v>
      </c>
      <c r="D615" s="65" t="e">
        <f aca="false">VLOOKUP(A615,BD_ORDENES!A:BE,10,0)</f>
        <v>#N/A</v>
      </c>
      <c r="E615" s="66" t="e">
        <f aca="false">VLOOKUP(A615,BD_ORDENES!A:BG,4,FALSE())</f>
        <v>#N/A</v>
      </c>
      <c r="F615" s="66" t="e">
        <f aca="false">VLOOKUP(A615,BD_ORDENES!A:BE,56,FALSE())</f>
        <v>#N/A</v>
      </c>
      <c r="G615" s="67" t="e">
        <f aca="false">VLOOKUP(A615,BD_ORDENES!A:BE,13,FALSE())</f>
        <v>#N/A</v>
      </c>
      <c r="H615" s="68" t="e">
        <f aca="false">VLOOKUP(A615,BD_ORDENES!A:BE,17,FALSE())</f>
        <v>#N/A</v>
      </c>
      <c r="I615" s="68" t="e">
        <f aca="false">VLOOKUP(A615,BD_ORDENES!A:BE,18,FALSE())</f>
        <v>#N/A</v>
      </c>
      <c r="J615" s="68" t="e">
        <f aca="false">VLOOKUP(A615,BD_ORDENES!A:BE,19,FALSE())</f>
        <v>#N/A</v>
      </c>
      <c r="K615" s="68" t="e">
        <f aca="false">VLOOKUP(A615,BD_ORDENES!A:BE,20,FALSE())</f>
        <v>#N/A</v>
      </c>
      <c r="L615" s="68" t="e">
        <f aca="false">VLOOKUP(A615,BD_ORDENES!A:BE,21,FALSE())</f>
        <v>#N/A</v>
      </c>
      <c r="M615" s="69" t="e">
        <f aca="false">VLOOKUP(A615,BD_ORDENES!A:BE,14,FALSE())</f>
        <v>#N/A</v>
      </c>
      <c r="N615" s="68" t="e">
        <f aca="false">VLOOKUP(A615,BD_ORDENES!A:BE,15,FALSE())</f>
        <v>#N/A</v>
      </c>
      <c r="O615" s="68" t="e">
        <f aca="false">VLOOKUP(A615,BD_ORDENES!A:BE,33,FALSE())</f>
        <v>#N/A</v>
      </c>
      <c r="P615" s="68" t="e">
        <f aca="false">VLOOKUP(A615,BD_ORDENES!A:BE,23,FALSE())</f>
        <v>#N/A</v>
      </c>
      <c r="Q615" s="68" t="e">
        <f aca="false">VLOOKUP(A615,BD_ORDENES!A:BE,52,FALSE())</f>
        <v>#N/A</v>
      </c>
      <c r="R615" s="68" t="e">
        <f aca="false">VLOOKUP(A615,BD_ORDENES!A:BE,25,FALSE())</f>
        <v>#N/A</v>
      </c>
      <c r="S615" s="68" t="e">
        <f aca="false">VLOOKUP(A615,BD_ORDENES!A:BE,22,FALSE())</f>
        <v>#N/A</v>
      </c>
      <c r="T615" s="65" t="e">
        <f aca="false">VLOOKUP(A615,BD_ORDENES!A:BE,55,FALSE())</f>
        <v>#N/A</v>
      </c>
      <c r="U615" s="68" t="e">
        <f aca="false">VLOOKUP(A615,BD_ORDENES!A:BE,57,FALSE())</f>
        <v>#N/A</v>
      </c>
      <c r="V615" s="70"/>
      <c r="W615" s="71"/>
    </row>
    <row r="616" s="72" customFormat="true" ht="98.25" hidden="false" customHeight="true" outlineLevel="0" collapsed="false">
      <c r="A616" s="62" t="n">
        <f aca="false">A615+1</f>
        <v>609</v>
      </c>
      <c r="B616" s="63" t="e">
        <f aca="false">VLOOKUP(A616,BD_ORDENES!A:BG,12,FALSE())</f>
        <v>#N/A</v>
      </c>
      <c r="C616" s="64" t="n">
        <v>609</v>
      </c>
      <c r="D616" s="65" t="e">
        <f aca="false">VLOOKUP(A616,BD_ORDENES!A:BE,10,0)</f>
        <v>#N/A</v>
      </c>
      <c r="E616" s="66" t="e">
        <f aca="false">VLOOKUP(A616,BD_ORDENES!A:BG,4,FALSE())</f>
        <v>#N/A</v>
      </c>
      <c r="F616" s="66" t="e">
        <f aca="false">VLOOKUP(A616,BD_ORDENES!A:BE,56,FALSE())</f>
        <v>#N/A</v>
      </c>
      <c r="G616" s="67" t="e">
        <f aca="false">VLOOKUP(A616,BD_ORDENES!A:BE,13,FALSE())</f>
        <v>#N/A</v>
      </c>
      <c r="H616" s="68" t="e">
        <f aca="false">VLOOKUP(A616,BD_ORDENES!A:BE,17,FALSE())</f>
        <v>#N/A</v>
      </c>
      <c r="I616" s="68" t="e">
        <f aca="false">VLOOKUP(A616,BD_ORDENES!A:BE,18,FALSE())</f>
        <v>#N/A</v>
      </c>
      <c r="J616" s="68" t="e">
        <f aca="false">VLOOKUP(A616,BD_ORDENES!A:BE,19,FALSE())</f>
        <v>#N/A</v>
      </c>
      <c r="K616" s="68" t="e">
        <f aca="false">VLOOKUP(A616,BD_ORDENES!A:BE,20,FALSE())</f>
        <v>#N/A</v>
      </c>
      <c r="L616" s="68" t="e">
        <f aca="false">VLOOKUP(A616,BD_ORDENES!A:BE,21,FALSE())</f>
        <v>#N/A</v>
      </c>
      <c r="M616" s="69" t="e">
        <f aca="false">VLOOKUP(A616,BD_ORDENES!A:BE,14,FALSE())</f>
        <v>#N/A</v>
      </c>
      <c r="N616" s="68" t="e">
        <f aca="false">VLOOKUP(A616,BD_ORDENES!A:BE,15,FALSE())</f>
        <v>#N/A</v>
      </c>
      <c r="O616" s="68" t="e">
        <f aca="false">VLOOKUP(A616,BD_ORDENES!A:BE,33,FALSE())</f>
        <v>#N/A</v>
      </c>
      <c r="P616" s="68" t="e">
        <f aca="false">VLOOKUP(A616,BD_ORDENES!A:BE,23,FALSE())</f>
        <v>#N/A</v>
      </c>
      <c r="Q616" s="68" t="e">
        <f aca="false">VLOOKUP(A616,BD_ORDENES!A:BE,52,FALSE())</f>
        <v>#N/A</v>
      </c>
      <c r="R616" s="68" t="e">
        <f aca="false">VLOOKUP(A616,BD_ORDENES!A:BE,25,FALSE())</f>
        <v>#N/A</v>
      </c>
      <c r="S616" s="68" t="e">
        <f aca="false">VLOOKUP(A616,BD_ORDENES!A:BE,22,FALSE())</f>
        <v>#N/A</v>
      </c>
      <c r="T616" s="65" t="e">
        <f aca="false">VLOOKUP(A616,BD_ORDENES!A:BE,55,FALSE())</f>
        <v>#N/A</v>
      </c>
      <c r="U616" s="68" t="e">
        <f aca="false">VLOOKUP(A616,BD_ORDENES!A:BE,57,FALSE())</f>
        <v>#N/A</v>
      </c>
      <c r="V616" s="70"/>
      <c r="W616" s="71"/>
    </row>
    <row r="617" s="72" customFormat="true" ht="98.25" hidden="false" customHeight="true" outlineLevel="0" collapsed="false">
      <c r="A617" s="62" t="n">
        <f aca="false">A616+1</f>
        <v>610</v>
      </c>
      <c r="B617" s="63" t="e">
        <f aca="false">VLOOKUP(A617,BD_ORDENES!A:BG,12,FALSE())</f>
        <v>#N/A</v>
      </c>
      <c r="C617" s="64" t="n">
        <v>610</v>
      </c>
      <c r="D617" s="65" t="e">
        <f aca="false">VLOOKUP(A617,BD_ORDENES!A:BE,10,0)</f>
        <v>#N/A</v>
      </c>
      <c r="E617" s="66" t="e">
        <f aca="false">VLOOKUP(A617,BD_ORDENES!A:BG,4,FALSE())</f>
        <v>#N/A</v>
      </c>
      <c r="F617" s="66" t="e">
        <f aca="false">VLOOKUP(A617,BD_ORDENES!A:BE,56,FALSE())</f>
        <v>#N/A</v>
      </c>
      <c r="G617" s="67" t="e">
        <f aca="false">VLOOKUP(A617,BD_ORDENES!A:BE,13,FALSE())</f>
        <v>#N/A</v>
      </c>
      <c r="H617" s="68" t="e">
        <f aca="false">VLOOKUP(A617,BD_ORDENES!A:BE,17,FALSE())</f>
        <v>#N/A</v>
      </c>
      <c r="I617" s="68" t="e">
        <f aca="false">VLOOKUP(A617,BD_ORDENES!A:BE,18,FALSE())</f>
        <v>#N/A</v>
      </c>
      <c r="J617" s="68" t="e">
        <f aca="false">VLOOKUP(A617,BD_ORDENES!A:BE,19,FALSE())</f>
        <v>#N/A</v>
      </c>
      <c r="K617" s="68" t="e">
        <f aca="false">VLOOKUP(A617,BD_ORDENES!A:BE,20,FALSE())</f>
        <v>#N/A</v>
      </c>
      <c r="L617" s="68" t="e">
        <f aca="false">VLOOKUP(A617,BD_ORDENES!A:BE,21,FALSE())</f>
        <v>#N/A</v>
      </c>
      <c r="M617" s="69" t="e">
        <f aca="false">VLOOKUP(A617,BD_ORDENES!A:BE,14,FALSE())</f>
        <v>#N/A</v>
      </c>
      <c r="N617" s="68" t="e">
        <f aca="false">VLOOKUP(A617,BD_ORDENES!A:BE,15,FALSE())</f>
        <v>#N/A</v>
      </c>
      <c r="O617" s="68" t="e">
        <f aca="false">VLOOKUP(A617,BD_ORDENES!A:BE,33,FALSE())</f>
        <v>#N/A</v>
      </c>
      <c r="P617" s="68" t="e">
        <f aca="false">VLOOKUP(A617,BD_ORDENES!A:BE,23,FALSE())</f>
        <v>#N/A</v>
      </c>
      <c r="Q617" s="68" t="e">
        <f aca="false">VLOOKUP(A617,BD_ORDENES!A:BE,52,FALSE())</f>
        <v>#N/A</v>
      </c>
      <c r="R617" s="68" t="e">
        <f aca="false">VLOOKUP(A617,BD_ORDENES!A:BE,25,FALSE())</f>
        <v>#N/A</v>
      </c>
      <c r="S617" s="68" t="e">
        <f aca="false">VLOOKUP(A617,BD_ORDENES!A:BE,22,FALSE())</f>
        <v>#N/A</v>
      </c>
      <c r="T617" s="65" t="e">
        <f aca="false">VLOOKUP(A617,BD_ORDENES!A:BE,55,FALSE())</f>
        <v>#N/A</v>
      </c>
      <c r="U617" s="68" t="e">
        <f aca="false">VLOOKUP(A617,BD_ORDENES!A:BE,57,FALSE())</f>
        <v>#N/A</v>
      </c>
      <c r="V617" s="70"/>
      <c r="W617" s="71"/>
    </row>
    <row r="618" s="72" customFormat="true" ht="98.25" hidden="false" customHeight="true" outlineLevel="0" collapsed="false">
      <c r="A618" s="62" t="n">
        <f aca="false">A617+1</f>
        <v>611</v>
      </c>
      <c r="B618" s="63" t="e">
        <f aca="false">VLOOKUP(A618,BD_ORDENES!A:BG,12,FALSE())</f>
        <v>#N/A</v>
      </c>
      <c r="C618" s="64" t="n">
        <v>611</v>
      </c>
      <c r="D618" s="65" t="e">
        <f aca="false">VLOOKUP(A618,BD_ORDENES!A:BE,10,0)</f>
        <v>#N/A</v>
      </c>
      <c r="E618" s="66" t="e">
        <f aca="false">VLOOKUP(A618,BD_ORDENES!A:BG,4,FALSE())</f>
        <v>#N/A</v>
      </c>
      <c r="F618" s="66" t="e">
        <f aca="false">VLOOKUP(A618,BD_ORDENES!A:BE,56,FALSE())</f>
        <v>#N/A</v>
      </c>
      <c r="G618" s="67" t="e">
        <f aca="false">VLOOKUP(A618,BD_ORDENES!A:BE,13,FALSE())</f>
        <v>#N/A</v>
      </c>
      <c r="H618" s="68" t="e">
        <f aca="false">VLOOKUP(A618,BD_ORDENES!A:BE,17,FALSE())</f>
        <v>#N/A</v>
      </c>
      <c r="I618" s="68" t="e">
        <f aca="false">VLOOKUP(A618,BD_ORDENES!A:BE,18,FALSE())</f>
        <v>#N/A</v>
      </c>
      <c r="J618" s="68" t="e">
        <f aca="false">VLOOKUP(A618,BD_ORDENES!A:BE,19,FALSE())</f>
        <v>#N/A</v>
      </c>
      <c r="K618" s="68" t="e">
        <f aca="false">VLOOKUP(A618,BD_ORDENES!A:BE,20,FALSE())</f>
        <v>#N/A</v>
      </c>
      <c r="L618" s="68" t="e">
        <f aca="false">VLOOKUP(A618,BD_ORDENES!A:BE,21,FALSE())</f>
        <v>#N/A</v>
      </c>
      <c r="M618" s="69" t="e">
        <f aca="false">VLOOKUP(A618,BD_ORDENES!A:BE,14,FALSE())</f>
        <v>#N/A</v>
      </c>
      <c r="N618" s="68" t="e">
        <f aca="false">VLOOKUP(A618,BD_ORDENES!A:BE,15,FALSE())</f>
        <v>#N/A</v>
      </c>
      <c r="O618" s="68" t="e">
        <f aca="false">VLOOKUP(A618,BD_ORDENES!A:BE,33,FALSE())</f>
        <v>#N/A</v>
      </c>
      <c r="P618" s="68" t="e">
        <f aca="false">VLOOKUP(A618,BD_ORDENES!A:BE,23,FALSE())</f>
        <v>#N/A</v>
      </c>
      <c r="Q618" s="68" t="e">
        <f aca="false">VLOOKUP(A618,BD_ORDENES!A:BE,52,FALSE())</f>
        <v>#N/A</v>
      </c>
      <c r="R618" s="68" t="e">
        <f aca="false">VLOOKUP(A618,BD_ORDENES!A:BE,25,FALSE())</f>
        <v>#N/A</v>
      </c>
      <c r="S618" s="68" t="e">
        <f aca="false">VLOOKUP(A618,BD_ORDENES!A:BE,22,FALSE())</f>
        <v>#N/A</v>
      </c>
      <c r="T618" s="65" t="e">
        <f aca="false">VLOOKUP(A618,BD_ORDENES!A:BE,55,FALSE())</f>
        <v>#N/A</v>
      </c>
      <c r="U618" s="68" t="e">
        <f aca="false">VLOOKUP(A618,BD_ORDENES!A:BE,57,FALSE())</f>
        <v>#N/A</v>
      </c>
      <c r="V618" s="70"/>
      <c r="W618" s="71"/>
    </row>
    <row r="619" s="72" customFormat="true" ht="98.25" hidden="false" customHeight="true" outlineLevel="0" collapsed="false">
      <c r="A619" s="62" t="n">
        <f aca="false">A618+1</f>
        <v>612</v>
      </c>
      <c r="B619" s="63" t="e">
        <f aca="false">VLOOKUP(A619,BD_ORDENES!A:BG,12,FALSE())</f>
        <v>#N/A</v>
      </c>
      <c r="C619" s="64" t="n">
        <v>612</v>
      </c>
      <c r="D619" s="65" t="e">
        <f aca="false">VLOOKUP(A619,BD_ORDENES!A:BE,10,0)</f>
        <v>#N/A</v>
      </c>
      <c r="E619" s="66" t="e">
        <f aca="false">VLOOKUP(A619,BD_ORDENES!A:BG,4,FALSE())</f>
        <v>#N/A</v>
      </c>
      <c r="F619" s="66" t="e">
        <f aca="false">VLOOKUP(A619,BD_ORDENES!A:BE,56,FALSE())</f>
        <v>#N/A</v>
      </c>
      <c r="G619" s="67" t="e">
        <f aca="false">VLOOKUP(A619,BD_ORDENES!A:BE,13,FALSE())</f>
        <v>#N/A</v>
      </c>
      <c r="H619" s="68" t="e">
        <f aca="false">VLOOKUP(A619,BD_ORDENES!A:BE,17,FALSE())</f>
        <v>#N/A</v>
      </c>
      <c r="I619" s="68" t="e">
        <f aca="false">VLOOKUP(A619,BD_ORDENES!A:BE,18,FALSE())</f>
        <v>#N/A</v>
      </c>
      <c r="J619" s="68" t="e">
        <f aca="false">VLOOKUP(A619,BD_ORDENES!A:BE,19,FALSE())</f>
        <v>#N/A</v>
      </c>
      <c r="K619" s="68" t="e">
        <f aca="false">VLOOKUP(A619,BD_ORDENES!A:BE,20,FALSE())</f>
        <v>#N/A</v>
      </c>
      <c r="L619" s="68" t="e">
        <f aca="false">VLOOKUP(A619,BD_ORDENES!A:BE,21,FALSE())</f>
        <v>#N/A</v>
      </c>
      <c r="M619" s="69" t="e">
        <f aca="false">VLOOKUP(A619,BD_ORDENES!A:BE,14,FALSE())</f>
        <v>#N/A</v>
      </c>
      <c r="N619" s="68" t="e">
        <f aca="false">VLOOKUP(A619,BD_ORDENES!A:BE,15,FALSE())</f>
        <v>#N/A</v>
      </c>
      <c r="O619" s="68" t="e">
        <f aca="false">VLOOKUP(A619,BD_ORDENES!A:BE,33,FALSE())</f>
        <v>#N/A</v>
      </c>
      <c r="P619" s="68" t="e">
        <f aca="false">VLOOKUP(A619,BD_ORDENES!A:BE,23,FALSE())</f>
        <v>#N/A</v>
      </c>
      <c r="Q619" s="68" t="e">
        <f aca="false">VLOOKUP(A619,BD_ORDENES!A:BE,52,FALSE())</f>
        <v>#N/A</v>
      </c>
      <c r="R619" s="68" t="e">
        <f aca="false">VLOOKUP(A619,BD_ORDENES!A:BE,25,FALSE())</f>
        <v>#N/A</v>
      </c>
      <c r="S619" s="68" t="e">
        <f aca="false">VLOOKUP(A619,BD_ORDENES!A:BE,22,FALSE())</f>
        <v>#N/A</v>
      </c>
      <c r="T619" s="65" t="e">
        <f aca="false">VLOOKUP(A619,BD_ORDENES!A:BE,55,FALSE())</f>
        <v>#N/A</v>
      </c>
      <c r="U619" s="68" t="e">
        <f aca="false">VLOOKUP(A619,BD_ORDENES!A:BE,57,FALSE())</f>
        <v>#N/A</v>
      </c>
      <c r="V619" s="70"/>
      <c r="W619" s="71"/>
    </row>
    <row r="620" s="72" customFormat="true" ht="98.25" hidden="false" customHeight="true" outlineLevel="0" collapsed="false">
      <c r="A620" s="62" t="n">
        <f aca="false">A619+1</f>
        <v>613</v>
      </c>
      <c r="B620" s="63" t="e">
        <f aca="false">VLOOKUP(A620,BD_ORDENES!A:BG,12,FALSE())</f>
        <v>#N/A</v>
      </c>
      <c r="C620" s="64" t="n">
        <v>613</v>
      </c>
      <c r="D620" s="65" t="e">
        <f aca="false">VLOOKUP(A620,BD_ORDENES!A:BE,10,0)</f>
        <v>#N/A</v>
      </c>
      <c r="E620" s="66" t="e">
        <f aca="false">VLOOKUP(A620,BD_ORDENES!A:BG,4,FALSE())</f>
        <v>#N/A</v>
      </c>
      <c r="F620" s="66" t="e">
        <f aca="false">VLOOKUP(A620,BD_ORDENES!A:BE,56,FALSE())</f>
        <v>#N/A</v>
      </c>
      <c r="G620" s="67" t="e">
        <f aca="false">VLOOKUP(A620,BD_ORDENES!A:BE,13,FALSE())</f>
        <v>#N/A</v>
      </c>
      <c r="H620" s="68" t="e">
        <f aca="false">VLOOKUP(A620,BD_ORDENES!A:BE,17,FALSE())</f>
        <v>#N/A</v>
      </c>
      <c r="I620" s="68" t="e">
        <f aca="false">VLOOKUP(A620,BD_ORDENES!A:BE,18,FALSE())</f>
        <v>#N/A</v>
      </c>
      <c r="J620" s="68" t="e">
        <f aca="false">VLOOKUP(A620,BD_ORDENES!A:BE,19,FALSE())</f>
        <v>#N/A</v>
      </c>
      <c r="K620" s="68" t="e">
        <f aca="false">VLOOKUP(A620,BD_ORDENES!A:BE,20,FALSE())</f>
        <v>#N/A</v>
      </c>
      <c r="L620" s="68" t="e">
        <f aca="false">VLOOKUP(A620,BD_ORDENES!A:BE,21,FALSE())</f>
        <v>#N/A</v>
      </c>
      <c r="M620" s="69" t="e">
        <f aca="false">VLOOKUP(A620,BD_ORDENES!A:BE,14,FALSE())</f>
        <v>#N/A</v>
      </c>
      <c r="N620" s="68" t="e">
        <f aca="false">VLOOKUP(A620,BD_ORDENES!A:BE,15,FALSE())</f>
        <v>#N/A</v>
      </c>
      <c r="O620" s="68" t="e">
        <f aca="false">VLOOKUP(A620,BD_ORDENES!A:BE,33,FALSE())</f>
        <v>#N/A</v>
      </c>
      <c r="P620" s="68" t="e">
        <f aca="false">VLOOKUP(A620,BD_ORDENES!A:BE,23,FALSE())</f>
        <v>#N/A</v>
      </c>
      <c r="Q620" s="68" t="e">
        <f aca="false">VLOOKUP(A620,BD_ORDENES!A:BE,52,FALSE())</f>
        <v>#N/A</v>
      </c>
      <c r="R620" s="68" t="e">
        <f aca="false">VLOOKUP(A620,BD_ORDENES!A:BE,25,FALSE())</f>
        <v>#N/A</v>
      </c>
      <c r="S620" s="68" t="e">
        <f aca="false">VLOOKUP(A620,BD_ORDENES!A:BE,22,FALSE())</f>
        <v>#N/A</v>
      </c>
      <c r="T620" s="65" t="e">
        <f aca="false">VLOOKUP(A620,BD_ORDENES!A:BE,55,FALSE())</f>
        <v>#N/A</v>
      </c>
      <c r="U620" s="68" t="e">
        <f aca="false">VLOOKUP(A620,BD_ORDENES!A:BE,57,FALSE())</f>
        <v>#N/A</v>
      </c>
      <c r="V620" s="70"/>
      <c r="W620" s="71"/>
    </row>
    <row r="621" s="72" customFormat="true" ht="98.25" hidden="false" customHeight="true" outlineLevel="0" collapsed="false">
      <c r="A621" s="62" t="n">
        <f aca="false">A620+1</f>
        <v>614</v>
      </c>
      <c r="B621" s="63" t="e">
        <f aca="false">VLOOKUP(A621,BD_ORDENES!A:BG,12,FALSE())</f>
        <v>#N/A</v>
      </c>
      <c r="C621" s="64" t="n">
        <v>614</v>
      </c>
      <c r="D621" s="65" t="e">
        <f aca="false">VLOOKUP(A621,BD_ORDENES!A:BE,10,0)</f>
        <v>#N/A</v>
      </c>
      <c r="E621" s="66" t="e">
        <f aca="false">VLOOKUP(A621,BD_ORDENES!A:BG,4,FALSE())</f>
        <v>#N/A</v>
      </c>
      <c r="F621" s="66" t="e">
        <f aca="false">VLOOKUP(A621,BD_ORDENES!A:BE,56,FALSE())</f>
        <v>#N/A</v>
      </c>
      <c r="G621" s="67" t="e">
        <f aca="false">VLOOKUP(A621,BD_ORDENES!A:BE,13,FALSE())</f>
        <v>#N/A</v>
      </c>
      <c r="H621" s="68" t="e">
        <f aca="false">VLOOKUP(A621,BD_ORDENES!A:BE,17,FALSE())</f>
        <v>#N/A</v>
      </c>
      <c r="I621" s="68" t="e">
        <f aca="false">VLOOKUP(A621,BD_ORDENES!A:BE,18,FALSE())</f>
        <v>#N/A</v>
      </c>
      <c r="J621" s="68" t="e">
        <f aca="false">VLOOKUP(A621,BD_ORDENES!A:BE,19,FALSE())</f>
        <v>#N/A</v>
      </c>
      <c r="K621" s="68" t="e">
        <f aca="false">VLOOKUP(A621,BD_ORDENES!A:BE,20,FALSE())</f>
        <v>#N/A</v>
      </c>
      <c r="L621" s="68" t="e">
        <f aca="false">VLOOKUP(A621,BD_ORDENES!A:BE,21,FALSE())</f>
        <v>#N/A</v>
      </c>
      <c r="M621" s="69" t="e">
        <f aca="false">VLOOKUP(A621,BD_ORDENES!A:BE,14,FALSE())</f>
        <v>#N/A</v>
      </c>
      <c r="N621" s="68" t="e">
        <f aca="false">VLOOKUP(A621,BD_ORDENES!A:BE,15,FALSE())</f>
        <v>#N/A</v>
      </c>
      <c r="O621" s="68" t="e">
        <f aca="false">VLOOKUP(A621,BD_ORDENES!A:BE,33,FALSE())</f>
        <v>#N/A</v>
      </c>
      <c r="P621" s="68" t="e">
        <f aca="false">VLOOKUP(A621,BD_ORDENES!A:BE,23,FALSE())</f>
        <v>#N/A</v>
      </c>
      <c r="Q621" s="68" t="e">
        <f aca="false">VLOOKUP(A621,BD_ORDENES!A:BE,52,FALSE())</f>
        <v>#N/A</v>
      </c>
      <c r="R621" s="68" t="e">
        <f aca="false">VLOOKUP(A621,BD_ORDENES!A:BE,25,FALSE())</f>
        <v>#N/A</v>
      </c>
      <c r="S621" s="68" t="e">
        <f aca="false">VLOOKUP(A621,BD_ORDENES!A:BE,22,FALSE())</f>
        <v>#N/A</v>
      </c>
      <c r="T621" s="65" t="e">
        <f aca="false">VLOOKUP(A621,BD_ORDENES!A:BE,55,FALSE())</f>
        <v>#N/A</v>
      </c>
      <c r="U621" s="68" t="e">
        <f aca="false">VLOOKUP(A621,BD_ORDENES!A:BE,57,FALSE())</f>
        <v>#N/A</v>
      </c>
      <c r="V621" s="70"/>
      <c r="W621" s="71"/>
    </row>
    <row r="622" s="72" customFormat="true" ht="98.25" hidden="false" customHeight="true" outlineLevel="0" collapsed="false">
      <c r="A622" s="62" t="n">
        <f aca="false">A621+1</f>
        <v>615</v>
      </c>
      <c r="B622" s="63" t="e">
        <f aca="false">VLOOKUP(A622,BD_ORDENES!A:BG,12,FALSE())</f>
        <v>#N/A</v>
      </c>
      <c r="C622" s="64" t="n">
        <v>615</v>
      </c>
      <c r="D622" s="65" t="e">
        <f aca="false">VLOOKUP(A622,BD_ORDENES!A:BE,10,0)</f>
        <v>#N/A</v>
      </c>
      <c r="E622" s="66" t="e">
        <f aca="false">VLOOKUP(A622,BD_ORDENES!A:BG,4,FALSE())</f>
        <v>#N/A</v>
      </c>
      <c r="F622" s="66" t="e">
        <f aca="false">VLOOKUP(A622,BD_ORDENES!A:BE,56,FALSE())</f>
        <v>#N/A</v>
      </c>
      <c r="G622" s="67" t="e">
        <f aca="false">VLOOKUP(A622,BD_ORDENES!A:BE,13,FALSE())</f>
        <v>#N/A</v>
      </c>
      <c r="H622" s="68" t="e">
        <f aca="false">VLOOKUP(A622,BD_ORDENES!A:BE,17,FALSE())</f>
        <v>#N/A</v>
      </c>
      <c r="I622" s="68" t="e">
        <f aca="false">VLOOKUP(A622,BD_ORDENES!A:BE,18,FALSE())</f>
        <v>#N/A</v>
      </c>
      <c r="J622" s="68" t="e">
        <f aca="false">VLOOKUP(A622,BD_ORDENES!A:BE,19,FALSE())</f>
        <v>#N/A</v>
      </c>
      <c r="K622" s="68" t="e">
        <f aca="false">VLOOKUP(A622,BD_ORDENES!A:BE,20,FALSE())</f>
        <v>#N/A</v>
      </c>
      <c r="L622" s="68" t="e">
        <f aca="false">VLOOKUP(A622,BD_ORDENES!A:BE,21,FALSE())</f>
        <v>#N/A</v>
      </c>
      <c r="M622" s="69" t="e">
        <f aca="false">VLOOKUP(A622,BD_ORDENES!A:BE,14,FALSE())</f>
        <v>#N/A</v>
      </c>
      <c r="N622" s="68" t="e">
        <f aca="false">VLOOKUP(A622,BD_ORDENES!A:BE,15,FALSE())</f>
        <v>#N/A</v>
      </c>
      <c r="O622" s="68" t="e">
        <f aca="false">VLOOKUP(A622,BD_ORDENES!A:BE,33,FALSE())</f>
        <v>#N/A</v>
      </c>
      <c r="P622" s="68" t="e">
        <f aca="false">VLOOKUP(A622,BD_ORDENES!A:BE,23,FALSE())</f>
        <v>#N/A</v>
      </c>
      <c r="Q622" s="68" t="e">
        <f aca="false">VLOOKUP(A622,BD_ORDENES!A:BE,52,FALSE())</f>
        <v>#N/A</v>
      </c>
      <c r="R622" s="68" t="e">
        <f aca="false">VLOOKUP(A622,BD_ORDENES!A:BE,25,FALSE())</f>
        <v>#N/A</v>
      </c>
      <c r="S622" s="68" t="e">
        <f aca="false">VLOOKUP(A622,BD_ORDENES!A:BE,22,FALSE())</f>
        <v>#N/A</v>
      </c>
      <c r="T622" s="65" t="e">
        <f aca="false">VLOOKUP(A622,BD_ORDENES!A:BE,55,FALSE())</f>
        <v>#N/A</v>
      </c>
      <c r="U622" s="68" t="e">
        <f aca="false">VLOOKUP(A622,BD_ORDENES!A:BE,57,FALSE())</f>
        <v>#N/A</v>
      </c>
      <c r="V622" s="70"/>
      <c r="W622" s="71"/>
    </row>
    <row r="623" s="72" customFormat="true" ht="98.25" hidden="false" customHeight="true" outlineLevel="0" collapsed="false">
      <c r="A623" s="62" t="n">
        <f aca="false">A622+1</f>
        <v>616</v>
      </c>
      <c r="B623" s="63" t="e">
        <f aca="false">VLOOKUP(A623,BD_ORDENES!A:BG,12,FALSE())</f>
        <v>#N/A</v>
      </c>
      <c r="C623" s="64" t="n">
        <v>616</v>
      </c>
      <c r="D623" s="65" t="e">
        <f aca="false">VLOOKUP(A623,BD_ORDENES!A:BE,10,0)</f>
        <v>#N/A</v>
      </c>
      <c r="E623" s="66" t="e">
        <f aca="false">VLOOKUP(A623,BD_ORDENES!A:BG,4,FALSE())</f>
        <v>#N/A</v>
      </c>
      <c r="F623" s="66" t="e">
        <f aca="false">VLOOKUP(A623,BD_ORDENES!A:BE,56,FALSE())</f>
        <v>#N/A</v>
      </c>
      <c r="G623" s="67" t="e">
        <f aca="false">VLOOKUP(A623,BD_ORDENES!A:BE,13,FALSE())</f>
        <v>#N/A</v>
      </c>
      <c r="H623" s="68" t="e">
        <f aca="false">VLOOKUP(A623,BD_ORDENES!A:BE,17,FALSE())</f>
        <v>#N/A</v>
      </c>
      <c r="I623" s="68" t="e">
        <f aca="false">VLOOKUP(A623,BD_ORDENES!A:BE,18,FALSE())</f>
        <v>#N/A</v>
      </c>
      <c r="J623" s="68" t="e">
        <f aca="false">VLOOKUP(A623,BD_ORDENES!A:BE,19,FALSE())</f>
        <v>#N/A</v>
      </c>
      <c r="K623" s="68" t="e">
        <f aca="false">VLOOKUP(A623,BD_ORDENES!A:BE,20,FALSE())</f>
        <v>#N/A</v>
      </c>
      <c r="L623" s="68" t="e">
        <f aca="false">VLOOKUP(A623,BD_ORDENES!A:BE,21,FALSE())</f>
        <v>#N/A</v>
      </c>
      <c r="M623" s="69" t="e">
        <f aca="false">VLOOKUP(A623,BD_ORDENES!A:BE,14,FALSE())</f>
        <v>#N/A</v>
      </c>
      <c r="N623" s="68" t="e">
        <f aca="false">VLOOKUP(A623,BD_ORDENES!A:BE,15,FALSE())</f>
        <v>#N/A</v>
      </c>
      <c r="O623" s="68" t="e">
        <f aca="false">VLOOKUP(A623,BD_ORDENES!A:BE,33,FALSE())</f>
        <v>#N/A</v>
      </c>
      <c r="P623" s="68" t="e">
        <f aca="false">VLOOKUP(A623,BD_ORDENES!A:BE,23,FALSE())</f>
        <v>#N/A</v>
      </c>
      <c r="Q623" s="68" t="e">
        <f aca="false">VLOOKUP(A623,BD_ORDENES!A:BE,52,FALSE())</f>
        <v>#N/A</v>
      </c>
      <c r="R623" s="68" t="e">
        <f aca="false">VLOOKUP(A623,BD_ORDENES!A:BE,25,FALSE())</f>
        <v>#N/A</v>
      </c>
      <c r="S623" s="68" t="e">
        <f aca="false">VLOOKUP(A623,BD_ORDENES!A:BE,22,FALSE())</f>
        <v>#N/A</v>
      </c>
      <c r="T623" s="65" t="e">
        <f aca="false">VLOOKUP(A623,BD_ORDENES!A:BE,55,FALSE())</f>
        <v>#N/A</v>
      </c>
      <c r="U623" s="68" t="e">
        <f aca="false">VLOOKUP(A623,BD_ORDENES!A:BE,57,FALSE())</f>
        <v>#N/A</v>
      </c>
      <c r="V623" s="70"/>
      <c r="W623" s="71"/>
    </row>
    <row r="624" s="72" customFormat="true" ht="98.25" hidden="false" customHeight="true" outlineLevel="0" collapsed="false">
      <c r="A624" s="62" t="n">
        <f aca="false">A623+1</f>
        <v>617</v>
      </c>
      <c r="B624" s="63" t="e">
        <f aca="false">VLOOKUP(A624,BD_ORDENES!A:BG,12,FALSE())</f>
        <v>#N/A</v>
      </c>
      <c r="C624" s="64" t="n">
        <v>617</v>
      </c>
      <c r="D624" s="65" t="e">
        <f aca="false">VLOOKUP(A624,BD_ORDENES!A:BE,10,0)</f>
        <v>#N/A</v>
      </c>
      <c r="E624" s="66" t="e">
        <f aca="false">VLOOKUP(A624,BD_ORDENES!A:BG,4,FALSE())</f>
        <v>#N/A</v>
      </c>
      <c r="F624" s="66" t="e">
        <f aca="false">VLOOKUP(A624,BD_ORDENES!A:BE,56,FALSE())</f>
        <v>#N/A</v>
      </c>
      <c r="G624" s="67" t="e">
        <f aca="false">VLOOKUP(A624,BD_ORDENES!A:BE,13,FALSE())</f>
        <v>#N/A</v>
      </c>
      <c r="H624" s="68" t="e">
        <f aca="false">VLOOKUP(A624,BD_ORDENES!A:BE,17,FALSE())</f>
        <v>#N/A</v>
      </c>
      <c r="I624" s="68" t="e">
        <f aca="false">VLOOKUP(A624,BD_ORDENES!A:BE,18,FALSE())</f>
        <v>#N/A</v>
      </c>
      <c r="J624" s="68" t="e">
        <f aca="false">VLOOKUP(A624,BD_ORDENES!A:BE,19,FALSE())</f>
        <v>#N/A</v>
      </c>
      <c r="K624" s="68" t="e">
        <f aca="false">VLOOKUP(A624,BD_ORDENES!A:BE,20,FALSE())</f>
        <v>#N/A</v>
      </c>
      <c r="L624" s="68" t="e">
        <f aca="false">VLOOKUP(A624,BD_ORDENES!A:BE,21,FALSE())</f>
        <v>#N/A</v>
      </c>
      <c r="M624" s="69" t="e">
        <f aca="false">VLOOKUP(A624,BD_ORDENES!A:BE,14,FALSE())</f>
        <v>#N/A</v>
      </c>
      <c r="N624" s="68" t="e">
        <f aca="false">VLOOKUP(A624,BD_ORDENES!A:BE,15,FALSE())</f>
        <v>#N/A</v>
      </c>
      <c r="O624" s="68" t="e">
        <f aca="false">VLOOKUP(A624,BD_ORDENES!A:BE,33,FALSE())</f>
        <v>#N/A</v>
      </c>
      <c r="P624" s="68" t="e">
        <f aca="false">VLOOKUP(A624,BD_ORDENES!A:BE,23,FALSE())</f>
        <v>#N/A</v>
      </c>
      <c r="Q624" s="68" t="e">
        <f aca="false">VLOOKUP(A624,BD_ORDENES!A:BE,52,FALSE())</f>
        <v>#N/A</v>
      </c>
      <c r="R624" s="68" t="e">
        <f aca="false">VLOOKUP(A624,BD_ORDENES!A:BE,25,FALSE())</f>
        <v>#N/A</v>
      </c>
      <c r="S624" s="68" t="e">
        <f aca="false">VLOOKUP(A624,BD_ORDENES!A:BE,22,FALSE())</f>
        <v>#N/A</v>
      </c>
      <c r="T624" s="65" t="e">
        <f aca="false">VLOOKUP(A624,BD_ORDENES!A:BE,55,FALSE())</f>
        <v>#N/A</v>
      </c>
      <c r="U624" s="68" t="e">
        <f aca="false">VLOOKUP(A624,BD_ORDENES!A:BE,57,FALSE())</f>
        <v>#N/A</v>
      </c>
      <c r="V624" s="70"/>
      <c r="W624" s="71"/>
    </row>
    <row r="625" s="72" customFormat="true" ht="98.25" hidden="false" customHeight="true" outlineLevel="0" collapsed="false">
      <c r="A625" s="62" t="n">
        <f aca="false">A624+1</f>
        <v>618</v>
      </c>
      <c r="B625" s="63" t="e">
        <f aca="false">VLOOKUP(A625,BD_ORDENES!A:BG,12,FALSE())</f>
        <v>#N/A</v>
      </c>
      <c r="C625" s="64" t="n">
        <v>618</v>
      </c>
      <c r="D625" s="65" t="e">
        <f aca="false">VLOOKUP(A625,BD_ORDENES!A:BE,10,0)</f>
        <v>#N/A</v>
      </c>
      <c r="E625" s="66" t="e">
        <f aca="false">VLOOKUP(A625,BD_ORDENES!A:BG,4,FALSE())</f>
        <v>#N/A</v>
      </c>
      <c r="F625" s="66" t="e">
        <f aca="false">VLOOKUP(A625,BD_ORDENES!A:BE,56,FALSE())</f>
        <v>#N/A</v>
      </c>
      <c r="G625" s="67" t="e">
        <f aca="false">VLOOKUP(A625,BD_ORDENES!A:BE,13,FALSE())</f>
        <v>#N/A</v>
      </c>
      <c r="H625" s="68" t="e">
        <f aca="false">VLOOKUP(A625,BD_ORDENES!A:BE,17,FALSE())</f>
        <v>#N/A</v>
      </c>
      <c r="I625" s="68" t="e">
        <f aca="false">VLOOKUP(A625,BD_ORDENES!A:BE,18,FALSE())</f>
        <v>#N/A</v>
      </c>
      <c r="J625" s="68" t="e">
        <f aca="false">VLOOKUP(A625,BD_ORDENES!A:BE,19,FALSE())</f>
        <v>#N/A</v>
      </c>
      <c r="K625" s="68" t="e">
        <f aca="false">VLOOKUP(A625,BD_ORDENES!A:BE,20,FALSE())</f>
        <v>#N/A</v>
      </c>
      <c r="L625" s="68" t="e">
        <f aca="false">VLOOKUP(A625,BD_ORDENES!A:BE,21,FALSE())</f>
        <v>#N/A</v>
      </c>
      <c r="M625" s="69" t="e">
        <f aca="false">VLOOKUP(A625,BD_ORDENES!A:BE,14,FALSE())</f>
        <v>#N/A</v>
      </c>
      <c r="N625" s="68" t="e">
        <f aca="false">VLOOKUP(A625,BD_ORDENES!A:BE,15,FALSE())</f>
        <v>#N/A</v>
      </c>
      <c r="O625" s="68" t="e">
        <f aca="false">VLOOKUP(A625,BD_ORDENES!A:BE,33,FALSE())</f>
        <v>#N/A</v>
      </c>
      <c r="P625" s="68" t="e">
        <f aca="false">VLOOKUP(A625,BD_ORDENES!A:BE,23,FALSE())</f>
        <v>#N/A</v>
      </c>
      <c r="Q625" s="68" t="e">
        <f aca="false">VLOOKUP(A625,BD_ORDENES!A:BE,52,FALSE())</f>
        <v>#N/A</v>
      </c>
      <c r="R625" s="68" t="e">
        <f aca="false">VLOOKUP(A625,BD_ORDENES!A:BE,25,FALSE())</f>
        <v>#N/A</v>
      </c>
      <c r="S625" s="68" t="e">
        <f aca="false">VLOOKUP(A625,BD_ORDENES!A:BE,22,FALSE())</f>
        <v>#N/A</v>
      </c>
      <c r="T625" s="65" t="e">
        <f aca="false">VLOOKUP(A625,BD_ORDENES!A:BE,55,FALSE())</f>
        <v>#N/A</v>
      </c>
      <c r="U625" s="68" t="e">
        <f aca="false">VLOOKUP(A625,BD_ORDENES!A:BE,57,FALSE())</f>
        <v>#N/A</v>
      </c>
      <c r="V625" s="70"/>
      <c r="W625" s="71"/>
    </row>
    <row r="626" s="72" customFormat="true" ht="98.25" hidden="false" customHeight="true" outlineLevel="0" collapsed="false">
      <c r="A626" s="62" t="n">
        <f aca="false">A625+1</f>
        <v>619</v>
      </c>
      <c r="B626" s="63" t="e">
        <f aca="false">VLOOKUP(A626,BD_ORDENES!A:BG,12,FALSE())</f>
        <v>#N/A</v>
      </c>
      <c r="C626" s="64" t="n">
        <v>619</v>
      </c>
      <c r="D626" s="65" t="e">
        <f aca="false">VLOOKUP(A626,BD_ORDENES!A:BE,10,0)</f>
        <v>#N/A</v>
      </c>
      <c r="E626" s="66" t="e">
        <f aca="false">VLOOKUP(A626,BD_ORDENES!A:BG,4,FALSE())</f>
        <v>#N/A</v>
      </c>
      <c r="F626" s="66" t="e">
        <f aca="false">VLOOKUP(A626,BD_ORDENES!A:BE,56,FALSE())</f>
        <v>#N/A</v>
      </c>
      <c r="G626" s="67" t="e">
        <f aca="false">VLOOKUP(A626,BD_ORDENES!A:BE,13,FALSE())</f>
        <v>#N/A</v>
      </c>
      <c r="H626" s="68" t="e">
        <f aca="false">VLOOKUP(A626,BD_ORDENES!A:BE,17,FALSE())</f>
        <v>#N/A</v>
      </c>
      <c r="I626" s="68" t="e">
        <f aca="false">VLOOKUP(A626,BD_ORDENES!A:BE,18,FALSE())</f>
        <v>#N/A</v>
      </c>
      <c r="J626" s="68" t="e">
        <f aca="false">VLOOKUP(A626,BD_ORDENES!A:BE,19,FALSE())</f>
        <v>#N/A</v>
      </c>
      <c r="K626" s="68" t="e">
        <f aca="false">VLOOKUP(A626,BD_ORDENES!A:BE,20,FALSE())</f>
        <v>#N/A</v>
      </c>
      <c r="L626" s="68" t="e">
        <f aca="false">VLOOKUP(A626,BD_ORDENES!A:BE,21,FALSE())</f>
        <v>#N/A</v>
      </c>
      <c r="M626" s="69" t="e">
        <f aca="false">VLOOKUP(A626,BD_ORDENES!A:BE,14,FALSE())</f>
        <v>#N/A</v>
      </c>
      <c r="N626" s="68" t="e">
        <f aca="false">VLOOKUP(A626,BD_ORDENES!A:BE,15,FALSE())</f>
        <v>#N/A</v>
      </c>
      <c r="O626" s="68" t="e">
        <f aca="false">VLOOKUP(A626,BD_ORDENES!A:BE,33,FALSE())</f>
        <v>#N/A</v>
      </c>
      <c r="P626" s="68" t="e">
        <f aca="false">VLOOKUP(A626,BD_ORDENES!A:BE,23,FALSE())</f>
        <v>#N/A</v>
      </c>
      <c r="Q626" s="68" t="e">
        <f aca="false">VLOOKUP(A626,BD_ORDENES!A:BE,52,FALSE())</f>
        <v>#N/A</v>
      </c>
      <c r="R626" s="68" t="e">
        <f aca="false">VLOOKUP(A626,BD_ORDENES!A:BE,25,FALSE())</f>
        <v>#N/A</v>
      </c>
      <c r="S626" s="68" t="e">
        <f aca="false">VLOOKUP(A626,BD_ORDENES!A:BE,22,FALSE())</f>
        <v>#N/A</v>
      </c>
      <c r="T626" s="65" t="e">
        <f aca="false">VLOOKUP(A626,BD_ORDENES!A:BE,55,FALSE())</f>
        <v>#N/A</v>
      </c>
      <c r="U626" s="68" t="e">
        <f aca="false">VLOOKUP(A626,BD_ORDENES!A:BE,57,FALSE())</f>
        <v>#N/A</v>
      </c>
      <c r="V626" s="70"/>
      <c r="W626" s="71"/>
    </row>
    <row r="627" s="72" customFormat="true" ht="98.25" hidden="false" customHeight="true" outlineLevel="0" collapsed="false">
      <c r="A627" s="62" t="n">
        <f aca="false">A626+1</f>
        <v>620</v>
      </c>
      <c r="B627" s="63" t="e">
        <f aca="false">VLOOKUP(A627,BD_ORDENES!A:BG,12,FALSE())</f>
        <v>#N/A</v>
      </c>
      <c r="C627" s="64" t="n">
        <v>620</v>
      </c>
      <c r="D627" s="65" t="e">
        <f aca="false">VLOOKUP(A627,BD_ORDENES!A:BE,10,0)</f>
        <v>#N/A</v>
      </c>
      <c r="E627" s="66" t="e">
        <f aca="false">VLOOKUP(A627,BD_ORDENES!A:BG,4,FALSE())</f>
        <v>#N/A</v>
      </c>
      <c r="F627" s="66" t="e">
        <f aca="false">VLOOKUP(A627,BD_ORDENES!A:BE,56,FALSE())</f>
        <v>#N/A</v>
      </c>
      <c r="G627" s="67" t="e">
        <f aca="false">VLOOKUP(A627,BD_ORDENES!A:BE,13,FALSE())</f>
        <v>#N/A</v>
      </c>
      <c r="H627" s="68" t="e">
        <f aca="false">VLOOKUP(A627,BD_ORDENES!A:BE,17,FALSE())</f>
        <v>#N/A</v>
      </c>
      <c r="I627" s="68" t="e">
        <f aca="false">VLOOKUP(A627,BD_ORDENES!A:BE,18,FALSE())</f>
        <v>#N/A</v>
      </c>
      <c r="J627" s="68" t="e">
        <f aca="false">VLOOKUP(A627,BD_ORDENES!A:BE,19,FALSE())</f>
        <v>#N/A</v>
      </c>
      <c r="K627" s="68" t="e">
        <f aca="false">VLOOKUP(A627,BD_ORDENES!A:BE,20,FALSE())</f>
        <v>#N/A</v>
      </c>
      <c r="L627" s="68" t="e">
        <f aca="false">VLOOKUP(A627,BD_ORDENES!A:BE,21,FALSE())</f>
        <v>#N/A</v>
      </c>
      <c r="M627" s="69" t="e">
        <f aca="false">VLOOKUP(A627,BD_ORDENES!A:BE,14,FALSE())</f>
        <v>#N/A</v>
      </c>
      <c r="N627" s="68" t="e">
        <f aca="false">VLOOKUP(A627,BD_ORDENES!A:BE,15,FALSE())</f>
        <v>#N/A</v>
      </c>
      <c r="O627" s="68" t="e">
        <f aca="false">VLOOKUP(A627,BD_ORDENES!A:BE,33,FALSE())</f>
        <v>#N/A</v>
      </c>
      <c r="P627" s="68" t="e">
        <f aca="false">VLOOKUP(A627,BD_ORDENES!A:BE,23,FALSE())</f>
        <v>#N/A</v>
      </c>
      <c r="Q627" s="68" t="e">
        <f aca="false">VLOOKUP(A627,BD_ORDENES!A:BE,52,FALSE())</f>
        <v>#N/A</v>
      </c>
      <c r="R627" s="68" t="e">
        <f aca="false">VLOOKUP(A627,BD_ORDENES!A:BE,25,FALSE())</f>
        <v>#N/A</v>
      </c>
      <c r="S627" s="68" t="e">
        <f aca="false">VLOOKUP(A627,BD_ORDENES!A:BE,22,FALSE())</f>
        <v>#N/A</v>
      </c>
      <c r="T627" s="65" t="e">
        <f aca="false">VLOOKUP(A627,BD_ORDENES!A:BE,55,FALSE())</f>
        <v>#N/A</v>
      </c>
      <c r="U627" s="68" t="e">
        <f aca="false">VLOOKUP(A627,BD_ORDENES!A:BE,57,FALSE())</f>
        <v>#N/A</v>
      </c>
      <c r="V627" s="70"/>
      <c r="W627" s="71"/>
    </row>
    <row r="628" s="72" customFormat="true" ht="98.25" hidden="false" customHeight="true" outlineLevel="0" collapsed="false">
      <c r="A628" s="62" t="n">
        <f aca="false">A627+1</f>
        <v>621</v>
      </c>
      <c r="B628" s="63" t="e">
        <f aca="false">VLOOKUP(A628,BD_ORDENES!A:BG,12,FALSE())</f>
        <v>#N/A</v>
      </c>
      <c r="C628" s="64" t="n">
        <v>621</v>
      </c>
      <c r="D628" s="65" t="e">
        <f aca="false">VLOOKUP(A628,BD_ORDENES!A:BE,10,0)</f>
        <v>#N/A</v>
      </c>
      <c r="E628" s="66" t="e">
        <f aca="false">VLOOKUP(A628,BD_ORDENES!A:BG,4,FALSE())</f>
        <v>#N/A</v>
      </c>
      <c r="F628" s="66" t="e">
        <f aca="false">VLOOKUP(A628,BD_ORDENES!A:BE,56,FALSE())</f>
        <v>#N/A</v>
      </c>
      <c r="G628" s="67" t="e">
        <f aca="false">VLOOKUP(A628,BD_ORDENES!A:BE,13,FALSE())</f>
        <v>#N/A</v>
      </c>
      <c r="H628" s="68" t="e">
        <f aca="false">VLOOKUP(A628,BD_ORDENES!A:BE,17,FALSE())</f>
        <v>#N/A</v>
      </c>
      <c r="I628" s="68" t="e">
        <f aca="false">VLOOKUP(A628,BD_ORDENES!A:BE,18,FALSE())</f>
        <v>#N/A</v>
      </c>
      <c r="J628" s="68" t="e">
        <f aca="false">VLOOKUP(A628,BD_ORDENES!A:BE,19,FALSE())</f>
        <v>#N/A</v>
      </c>
      <c r="K628" s="68" t="e">
        <f aca="false">VLOOKUP(A628,BD_ORDENES!A:BE,20,FALSE())</f>
        <v>#N/A</v>
      </c>
      <c r="L628" s="68" t="e">
        <f aca="false">VLOOKUP(A628,BD_ORDENES!A:BE,21,FALSE())</f>
        <v>#N/A</v>
      </c>
      <c r="M628" s="69" t="e">
        <f aca="false">VLOOKUP(A628,BD_ORDENES!A:BE,14,FALSE())</f>
        <v>#N/A</v>
      </c>
      <c r="N628" s="68" t="e">
        <f aca="false">VLOOKUP(A628,BD_ORDENES!A:BE,15,FALSE())</f>
        <v>#N/A</v>
      </c>
      <c r="O628" s="68" t="e">
        <f aca="false">VLOOKUP(A628,BD_ORDENES!A:BE,33,FALSE())</f>
        <v>#N/A</v>
      </c>
      <c r="P628" s="68" t="e">
        <f aca="false">VLOOKUP(A628,BD_ORDENES!A:BE,23,FALSE())</f>
        <v>#N/A</v>
      </c>
      <c r="Q628" s="68" t="e">
        <f aca="false">VLOOKUP(A628,BD_ORDENES!A:BE,52,FALSE())</f>
        <v>#N/A</v>
      </c>
      <c r="R628" s="68" t="e">
        <f aca="false">VLOOKUP(A628,BD_ORDENES!A:BE,25,FALSE())</f>
        <v>#N/A</v>
      </c>
      <c r="S628" s="68" t="e">
        <f aca="false">VLOOKUP(A628,BD_ORDENES!A:BE,22,FALSE())</f>
        <v>#N/A</v>
      </c>
      <c r="T628" s="65" t="e">
        <f aca="false">VLOOKUP(A628,BD_ORDENES!A:BE,55,FALSE())</f>
        <v>#N/A</v>
      </c>
      <c r="U628" s="68" t="e">
        <f aca="false">VLOOKUP(A628,BD_ORDENES!A:BE,57,FALSE())</f>
        <v>#N/A</v>
      </c>
      <c r="V628" s="70"/>
      <c r="W628" s="71"/>
    </row>
    <row r="629" s="72" customFormat="true" ht="98.25" hidden="false" customHeight="true" outlineLevel="0" collapsed="false">
      <c r="A629" s="62" t="n">
        <f aca="false">A628+1</f>
        <v>622</v>
      </c>
      <c r="B629" s="63" t="e">
        <f aca="false">VLOOKUP(A629,BD_ORDENES!A:BG,12,FALSE())</f>
        <v>#N/A</v>
      </c>
      <c r="C629" s="64" t="n">
        <v>622</v>
      </c>
      <c r="D629" s="65" t="e">
        <f aca="false">VLOOKUP(A629,BD_ORDENES!A:BE,10,0)</f>
        <v>#N/A</v>
      </c>
      <c r="E629" s="66" t="e">
        <f aca="false">VLOOKUP(A629,BD_ORDENES!A:BG,4,FALSE())</f>
        <v>#N/A</v>
      </c>
      <c r="F629" s="66" t="e">
        <f aca="false">VLOOKUP(A629,BD_ORDENES!A:BE,56,FALSE())</f>
        <v>#N/A</v>
      </c>
      <c r="G629" s="67" t="e">
        <f aca="false">VLOOKUP(A629,BD_ORDENES!A:BE,13,FALSE())</f>
        <v>#N/A</v>
      </c>
      <c r="H629" s="68" t="e">
        <f aca="false">VLOOKUP(A629,BD_ORDENES!A:BE,17,FALSE())</f>
        <v>#N/A</v>
      </c>
      <c r="I629" s="68" t="e">
        <f aca="false">VLOOKUP(A629,BD_ORDENES!A:BE,18,FALSE())</f>
        <v>#N/A</v>
      </c>
      <c r="J629" s="68" t="e">
        <f aca="false">VLOOKUP(A629,BD_ORDENES!A:BE,19,FALSE())</f>
        <v>#N/A</v>
      </c>
      <c r="K629" s="68" t="e">
        <f aca="false">VLOOKUP(A629,BD_ORDENES!A:BE,20,FALSE())</f>
        <v>#N/A</v>
      </c>
      <c r="L629" s="68" t="e">
        <f aca="false">VLOOKUP(A629,BD_ORDENES!A:BE,21,FALSE())</f>
        <v>#N/A</v>
      </c>
      <c r="M629" s="69" t="e">
        <f aca="false">VLOOKUP(A629,BD_ORDENES!A:BE,14,FALSE())</f>
        <v>#N/A</v>
      </c>
      <c r="N629" s="68" t="e">
        <f aca="false">VLOOKUP(A629,BD_ORDENES!A:BE,15,FALSE())</f>
        <v>#N/A</v>
      </c>
      <c r="O629" s="68" t="e">
        <f aca="false">VLOOKUP(A629,BD_ORDENES!A:BE,33,FALSE())</f>
        <v>#N/A</v>
      </c>
      <c r="P629" s="68" t="e">
        <f aca="false">VLOOKUP(A629,BD_ORDENES!A:BE,23,FALSE())</f>
        <v>#N/A</v>
      </c>
      <c r="Q629" s="68" t="e">
        <f aca="false">VLOOKUP(A629,BD_ORDENES!A:BE,52,FALSE())</f>
        <v>#N/A</v>
      </c>
      <c r="R629" s="68" t="e">
        <f aca="false">VLOOKUP(A629,BD_ORDENES!A:BE,25,FALSE())</f>
        <v>#N/A</v>
      </c>
      <c r="S629" s="68" t="e">
        <f aca="false">VLOOKUP(A629,BD_ORDENES!A:BE,22,FALSE())</f>
        <v>#N/A</v>
      </c>
      <c r="T629" s="65" t="e">
        <f aca="false">VLOOKUP(A629,BD_ORDENES!A:BE,55,FALSE())</f>
        <v>#N/A</v>
      </c>
      <c r="U629" s="68" t="e">
        <f aca="false">VLOOKUP(A629,BD_ORDENES!A:BE,57,FALSE())</f>
        <v>#N/A</v>
      </c>
      <c r="V629" s="70"/>
      <c r="W629" s="71"/>
    </row>
    <row r="630" s="72" customFormat="true" ht="98.25" hidden="false" customHeight="true" outlineLevel="0" collapsed="false">
      <c r="A630" s="62" t="n">
        <f aca="false">A629+1</f>
        <v>623</v>
      </c>
      <c r="B630" s="63" t="e">
        <f aca="false">VLOOKUP(A630,BD_ORDENES!A:BG,12,FALSE())</f>
        <v>#N/A</v>
      </c>
      <c r="C630" s="64" t="n">
        <v>623</v>
      </c>
      <c r="D630" s="65" t="e">
        <f aca="false">VLOOKUP(A630,BD_ORDENES!A:BE,10,0)</f>
        <v>#N/A</v>
      </c>
      <c r="E630" s="66" t="e">
        <f aca="false">VLOOKUP(A630,BD_ORDENES!A:BG,4,FALSE())</f>
        <v>#N/A</v>
      </c>
      <c r="F630" s="66" t="e">
        <f aca="false">VLOOKUP(A630,BD_ORDENES!A:BE,56,FALSE())</f>
        <v>#N/A</v>
      </c>
      <c r="G630" s="67" t="e">
        <f aca="false">VLOOKUP(A630,BD_ORDENES!A:BE,13,FALSE())</f>
        <v>#N/A</v>
      </c>
      <c r="H630" s="68" t="e">
        <f aca="false">VLOOKUP(A630,BD_ORDENES!A:BE,17,FALSE())</f>
        <v>#N/A</v>
      </c>
      <c r="I630" s="68" t="e">
        <f aca="false">VLOOKUP(A630,BD_ORDENES!A:BE,18,FALSE())</f>
        <v>#N/A</v>
      </c>
      <c r="J630" s="68" t="e">
        <f aca="false">VLOOKUP(A630,BD_ORDENES!A:BE,19,FALSE())</f>
        <v>#N/A</v>
      </c>
      <c r="K630" s="68" t="e">
        <f aca="false">VLOOKUP(A630,BD_ORDENES!A:BE,20,FALSE())</f>
        <v>#N/A</v>
      </c>
      <c r="L630" s="68" t="e">
        <f aca="false">VLOOKUP(A630,BD_ORDENES!A:BE,21,FALSE())</f>
        <v>#N/A</v>
      </c>
      <c r="M630" s="69" t="e">
        <f aca="false">VLOOKUP(A630,BD_ORDENES!A:BE,14,FALSE())</f>
        <v>#N/A</v>
      </c>
      <c r="N630" s="68" t="e">
        <f aca="false">VLOOKUP(A630,BD_ORDENES!A:BE,15,FALSE())</f>
        <v>#N/A</v>
      </c>
      <c r="O630" s="68" t="e">
        <f aca="false">VLOOKUP(A630,BD_ORDENES!A:BE,33,FALSE())</f>
        <v>#N/A</v>
      </c>
      <c r="P630" s="68" t="e">
        <f aca="false">VLOOKUP(A630,BD_ORDENES!A:BE,23,FALSE())</f>
        <v>#N/A</v>
      </c>
      <c r="Q630" s="68" t="e">
        <f aca="false">VLOOKUP(A630,BD_ORDENES!A:BE,52,FALSE())</f>
        <v>#N/A</v>
      </c>
      <c r="R630" s="68" t="e">
        <f aca="false">VLOOKUP(A630,BD_ORDENES!A:BE,25,FALSE())</f>
        <v>#N/A</v>
      </c>
      <c r="S630" s="68" t="e">
        <f aca="false">VLOOKUP(A630,BD_ORDENES!A:BE,22,FALSE())</f>
        <v>#N/A</v>
      </c>
      <c r="T630" s="65" t="e">
        <f aca="false">VLOOKUP(A630,BD_ORDENES!A:BE,55,FALSE())</f>
        <v>#N/A</v>
      </c>
      <c r="U630" s="68" t="e">
        <f aca="false">VLOOKUP(A630,BD_ORDENES!A:BE,57,FALSE())</f>
        <v>#N/A</v>
      </c>
      <c r="V630" s="70"/>
      <c r="W630" s="71"/>
    </row>
    <row r="631" s="72" customFormat="true" ht="98.25" hidden="false" customHeight="true" outlineLevel="0" collapsed="false">
      <c r="A631" s="62" t="n">
        <f aca="false">A630+1</f>
        <v>624</v>
      </c>
      <c r="B631" s="63" t="e">
        <f aca="false">VLOOKUP(A631,BD_ORDENES!A:BG,12,FALSE())</f>
        <v>#N/A</v>
      </c>
      <c r="C631" s="64" t="n">
        <v>624</v>
      </c>
      <c r="D631" s="65" t="e">
        <f aca="false">VLOOKUP(A631,BD_ORDENES!A:BE,10,0)</f>
        <v>#N/A</v>
      </c>
      <c r="E631" s="66" t="e">
        <f aca="false">VLOOKUP(A631,BD_ORDENES!A:BG,4,FALSE())</f>
        <v>#N/A</v>
      </c>
      <c r="F631" s="66" t="e">
        <f aca="false">VLOOKUP(A631,BD_ORDENES!A:BE,56,FALSE())</f>
        <v>#N/A</v>
      </c>
      <c r="G631" s="67" t="e">
        <f aca="false">VLOOKUP(A631,BD_ORDENES!A:BE,13,FALSE())</f>
        <v>#N/A</v>
      </c>
      <c r="H631" s="68" t="e">
        <f aca="false">VLOOKUP(A631,BD_ORDENES!A:BE,17,FALSE())</f>
        <v>#N/A</v>
      </c>
      <c r="I631" s="68" t="e">
        <f aca="false">VLOOKUP(A631,BD_ORDENES!A:BE,18,FALSE())</f>
        <v>#N/A</v>
      </c>
      <c r="J631" s="68" t="e">
        <f aca="false">VLOOKUP(A631,BD_ORDENES!A:BE,19,FALSE())</f>
        <v>#N/A</v>
      </c>
      <c r="K631" s="68" t="e">
        <f aca="false">VLOOKUP(A631,BD_ORDENES!A:BE,20,FALSE())</f>
        <v>#N/A</v>
      </c>
      <c r="L631" s="68" t="e">
        <f aca="false">VLOOKUP(A631,BD_ORDENES!A:BE,21,FALSE())</f>
        <v>#N/A</v>
      </c>
      <c r="M631" s="69" t="e">
        <f aca="false">VLOOKUP(A631,BD_ORDENES!A:BE,14,FALSE())</f>
        <v>#N/A</v>
      </c>
      <c r="N631" s="68" t="e">
        <f aca="false">VLOOKUP(A631,BD_ORDENES!A:BE,15,FALSE())</f>
        <v>#N/A</v>
      </c>
      <c r="O631" s="68" t="e">
        <f aca="false">VLOOKUP(A631,BD_ORDENES!A:BE,33,FALSE())</f>
        <v>#N/A</v>
      </c>
      <c r="P631" s="68" t="e">
        <f aca="false">VLOOKUP(A631,BD_ORDENES!A:BE,23,FALSE())</f>
        <v>#N/A</v>
      </c>
      <c r="Q631" s="68" t="e">
        <f aca="false">VLOOKUP(A631,BD_ORDENES!A:BE,52,FALSE())</f>
        <v>#N/A</v>
      </c>
      <c r="R631" s="68" t="e">
        <f aca="false">VLOOKUP(A631,BD_ORDENES!A:BE,25,FALSE())</f>
        <v>#N/A</v>
      </c>
      <c r="S631" s="68" t="e">
        <f aca="false">VLOOKUP(A631,BD_ORDENES!A:BE,22,FALSE())</f>
        <v>#N/A</v>
      </c>
      <c r="T631" s="65" t="e">
        <f aca="false">VLOOKUP(A631,BD_ORDENES!A:BE,55,FALSE())</f>
        <v>#N/A</v>
      </c>
      <c r="U631" s="68" t="e">
        <f aca="false">VLOOKUP(A631,BD_ORDENES!A:BE,57,FALSE())</f>
        <v>#N/A</v>
      </c>
      <c r="V631" s="70"/>
      <c r="W631" s="71"/>
    </row>
    <row r="632" s="72" customFormat="true" ht="98.25" hidden="false" customHeight="true" outlineLevel="0" collapsed="false">
      <c r="A632" s="62" t="n">
        <f aca="false">A631+1</f>
        <v>625</v>
      </c>
      <c r="B632" s="63" t="e">
        <f aca="false">VLOOKUP(A632,BD_ORDENES!A:BG,12,FALSE())</f>
        <v>#N/A</v>
      </c>
      <c r="C632" s="64" t="n">
        <v>625</v>
      </c>
      <c r="D632" s="65" t="e">
        <f aca="false">VLOOKUP(A632,BD_ORDENES!A:BE,10,0)</f>
        <v>#N/A</v>
      </c>
      <c r="E632" s="66" t="e">
        <f aca="false">VLOOKUP(A632,BD_ORDENES!A:BG,4,FALSE())</f>
        <v>#N/A</v>
      </c>
      <c r="F632" s="66" t="e">
        <f aca="false">VLOOKUP(A632,BD_ORDENES!A:BE,56,FALSE())</f>
        <v>#N/A</v>
      </c>
      <c r="G632" s="67" t="e">
        <f aca="false">VLOOKUP(A632,BD_ORDENES!A:BE,13,FALSE())</f>
        <v>#N/A</v>
      </c>
      <c r="H632" s="68" t="e">
        <f aca="false">VLOOKUP(A632,BD_ORDENES!A:BE,17,FALSE())</f>
        <v>#N/A</v>
      </c>
      <c r="I632" s="68" t="e">
        <f aca="false">VLOOKUP(A632,BD_ORDENES!A:BE,18,FALSE())</f>
        <v>#N/A</v>
      </c>
      <c r="J632" s="68" t="e">
        <f aca="false">VLOOKUP(A632,BD_ORDENES!A:BE,19,FALSE())</f>
        <v>#N/A</v>
      </c>
      <c r="K632" s="68" t="e">
        <f aca="false">VLOOKUP(A632,BD_ORDENES!A:BE,20,FALSE())</f>
        <v>#N/A</v>
      </c>
      <c r="L632" s="68" t="e">
        <f aca="false">VLOOKUP(A632,BD_ORDENES!A:BE,21,FALSE())</f>
        <v>#N/A</v>
      </c>
      <c r="M632" s="69" t="e">
        <f aca="false">VLOOKUP(A632,BD_ORDENES!A:BE,14,FALSE())</f>
        <v>#N/A</v>
      </c>
      <c r="N632" s="68" t="e">
        <f aca="false">VLOOKUP(A632,BD_ORDENES!A:BE,15,FALSE())</f>
        <v>#N/A</v>
      </c>
      <c r="O632" s="68" t="e">
        <f aca="false">VLOOKUP(A632,BD_ORDENES!A:BE,33,FALSE())</f>
        <v>#N/A</v>
      </c>
      <c r="P632" s="68" t="e">
        <f aca="false">VLOOKUP(A632,BD_ORDENES!A:BE,23,FALSE())</f>
        <v>#N/A</v>
      </c>
      <c r="Q632" s="68" t="e">
        <f aca="false">VLOOKUP(A632,BD_ORDENES!A:BE,52,FALSE())</f>
        <v>#N/A</v>
      </c>
      <c r="R632" s="68" t="e">
        <f aca="false">VLOOKUP(A632,BD_ORDENES!A:BE,25,FALSE())</f>
        <v>#N/A</v>
      </c>
      <c r="S632" s="68" t="e">
        <f aca="false">VLOOKUP(A632,BD_ORDENES!A:BE,22,FALSE())</f>
        <v>#N/A</v>
      </c>
      <c r="T632" s="65" t="e">
        <f aca="false">VLOOKUP(A632,BD_ORDENES!A:BE,55,FALSE())</f>
        <v>#N/A</v>
      </c>
      <c r="U632" s="68" t="e">
        <f aca="false">VLOOKUP(A632,BD_ORDENES!A:BE,57,FALSE())</f>
        <v>#N/A</v>
      </c>
      <c r="V632" s="70"/>
      <c r="W632" s="71"/>
    </row>
    <row r="633" s="72" customFormat="true" ht="98.25" hidden="false" customHeight="true" outlineLevel="0" collapsed="false">
      <c r="A633" s="62" t="n">
        <f aca="false">A632+1</f>
        <v>626</v>
      </c>
      <c r="B633" s="63" t="e">
        <f aca="false">VLOOKUP(A633,BD_ORDENES!A:BG,12,FALSE())</f>
        <v>#N/A</v>
      </c>
      <c r="C633" s="64" t="n">
        <v>626</v>
      </c>
      <c r="D633" s="65" t="e">
        <f aca="false">VLOOKUP(A633,BD_ORDENES!A:BE,10,0)</f>
        <v>#N/A</v>
      </c>
      <c r="E633" s="66" t="e">
        <f aca="false">VLOOKUP(A633,BD_ORDENES!A:BG,4,FALSE())</f>
        <v>#N/A</v>
      </c>
      <c r="F633" s="66" t="e">
        <f aca="false">VLOOKUP(A633,BD_ORDENES!A:BE,56,FALSE())</f>
        <v>#N/A</v>
      </c>
      <c r="G633" s="67" t="e">
        <f aca="false">VLOOKUP(A633,BD_ORDENES!A:BE,13,FALSE())</f>
        <v>#N/A</v>
      </c>
      <c r="H633" s="68" t="e">
        <f aca="false">VLOOKUP(A633,BD_ORDENES!A:BE,17,FALSE())</f>
        <v>#N/A</v>
      </c>
      <c r="I633" s="68" t="e">
        <f aca="false">VLOOKUP(A633,BD_ORDENES!A:BE,18,FALSE())</f>
        <v>#N/A</v>
      </c>
      <c r="J633" s="68" t="e">
        <f aca="false">VLOOKUP(A633,BD_ORDENES!A:BE,19,FALSE())</f>
        <v>#N/A</v>
      </c>
      <c r="K633" s="68" t="e">
        <f aca="false">VLOOKUP(A633,BD_ORDENES!A:BE,20,FALSE())</f>
        <v>#N/A</v>
      </c>
      <c r="L633" s="68" t="e">
        <f aca="false">VLOOKUP(A633,BD_ORDENES!A:BE,21,FALSE())</f>
        <v>#N/A</v>
      </c>
      <c r="M633" s="69" t="e">
        <f aca="false">VLOOKUP(A633,BD_ORDENES!A:BE,14,FALSE())</f>
        <v>#N/A</v>
      </c>
      <c r="N633" s="68" t="e">
        <f aca="false">VLOOKUP(A633,BD_ORDENES!A:BE,15,FALSE())</f>
        <v>#N/A</v>
      </c>
      <c r="O633" s="68" t="e">
        <f aca="false">VLOOKUP(A633,BD_ORDENES!A:BE,33,FALSE())</f>
        <v>#N/A</v>
      </c>
      <c r="P633" s="68" t="e">
        <f aca="false">VLOOKUP(A633,BD_ORDENES!A:BE,23,FALSE())</f>
        <v>#N/A</v>
      </c>
      <c r="Q633" s="68" t="e">
        <f aca="false">VLOOKUP(A633,BD_ORDENES!A:BE,52,FALSE())</f>
        <v>#N/A</v>
      </c>
      <c r="R633" s="68" t="e">
        <f aca="false">VLOOKUP(A633,BD_ORDENES!A:BE,25,FALSE())</f>
        <v>#N/A</v>
      </c>
      <c r="S633" s="68" t="e">
        <f aca="false">VLOOKUP(A633,BD_ORDENES!A:BE,22,FALSE())</f>
        <v>#N/A</v>
      </c>
      <c r="T633" s="65" t="e">
        <f aca="false">VLOOKUP(A633,BD_ORDENES!A:BE,55,FALSE())</f>
        <v>#N/A</v>
      </c>
      <c r="U633" s="68" t="e">
        <f aca="false">VLOOKUP(A633,BD_ORDENES!A:BE,57,FALSE())</f>
        <v>#N/A</v>
      </c>
      <c r="V633" s="70"/>
      <c r="W633" s="71"/>
    </row>
    <row r="634" s="72" customFormat="true" ht="98.25" hidden="false" customHeight="true" outlineLevel="0" collapsed="false">
      <c r="A634" s="62" t="n">
        <f aca="false">A633+1</f>
        <v>627</v>
      </c>
      <c r="B634" s="63" t="e">
        <f aca="false">VLOOKUP(A634,BD_ORDENES!A:BG,12,FALSE())</f>
        <v>#N/A</v>
      </c>
      <c r="C634" s="64" t="n">
        <v>627</v>
      </c>
      <c r="D634" s="65" t="e">
        <f aca="false">VLOOKUP(A634,BD_ORDENES!A:BE,10,0)</f>
        <v>#N/A</v>
      </c>
      <c r="E634" s="66" t="e">
        <f aca="false">VLOOKUP(A634,BD_ORDENES!A:BG,4,FALSE())</f>
        <v>#N/A</v>
      </c>
      <c r="F634" s="66" t="e">
        <f aca="false">VLOOKUP(A634,BD_ORDENES!A:BE,56,FALSE())</f>
        <v>#N/A</v>
      </c>
      <c r="G634" s="67" t="e">
        <f aca="false">VLOOKUP(A634,BD_ORDENES!A:BE,13,FALSE())</f>
        <v>#N/A</v>
      </c>
      <c r="H634" s="68" t="e">
        <f aca="false">VLOOKUP(A634,BD_ORDENES!A:BE,17,FALSE())</f>
        <v>#N/A</v>
      </c>
      <c r="I634" s="68" t="e">
        <f aca="false">VLOOKUP(A634,BD_ORDENES!A:BE,18,FALSE())</f>
        <v>#N/A</v>
      </c>
      <c r="J634" s="68" t="e">
        <f aca="false">VLOOKUP(A634,BD_ORDENES!A:BE,19,FALSE())</f>
        <v>#N/A</v>
      </c>
      <c r="K634" s="68" t="e">
        <f aca="false">VLOOKUP(A634,BD_ORDENES!A:BE,20,FALSE())</f>
        <v>#N/A</v>
      </c>
      <c r="L634" s="68" t="e">
        <f aca="false">VLOOKUP(A634,BD_ORDENES!A:BE,21,FALSE())</f>
        <v>#N/A</v>
      </c>
      <c r="M634" s="69" t="e">
        <f aca="false">VLOOKUP(A634,BD_ORDENES!A:BE,14,FALSE())</f>
        <v>#N/A</v>
      </c>
      <c r="N634" s="68" t="e">
        <f aca="false">VLOOKUP(A634,BD_ORDENES!A:BE,15,FALSE())</f>
        <v>#N/A</v>
      </c>
      <c r="O634" s="68" t="e">
        <f aca="false">VLOOKUP(A634,BD_ORDENES!A:BE,33,FALSE())</f>
        <v>#N/A</v>
      </c>
      <c r="P634" s="68" t="e">
        <f aca="false">VLOOKUP(A634,BD_ORDENES!A:BE,23,FALSE())</f>
        <v>#N/A</v>
      </c>
      <c r="Q634" s="68" t="e">
        <f aca="false">VLOOKUP(A634,BD_ORDENES!A:BE,52,FALSE())</f>
        <v>#N/A</v>
      </c>
      <c r="R634" s="68" t="e">
        <f aca="false">VLOOKUP(A634,BD_ORDENES!A:BE,25,FALSE())</f>
        <v>#N/A</v>
      </c>
      <c r="S634" s="68" t="e">
        <f aca="false">VLOOKUP(A634,BD_ORDENES!A:BE,22,FALSE())</f>
        <v>#N/A</v>
      </c>
      <c r="T634" s="65" t="e">
        <f aca="false">VLOOKUP(A634,BD_ORDENES!A:BE,55,FALSE())</f>
        <v>#N/A</v>
      </c>
      <c r="U634" s="68" t="e">
        <f aca="false">VLOOKUP(A634,BD_ORDENES!A:BE,57,FALSE())</f>
        <v>#N/A</v>
      </c>
      <c r="V634" s="70"/>
      <c r="W634" s="71"/>
    </row>
    <row r="635" s="72" customFormat="true" ht="98.25" hidden="false" customHeight="true" outlineLevel="0" collapsed="false">
      <c r="A635" s="62" t="n">
        <f aca="false">A634+1</f>
        <v>628</v>
      </c>
      <c r="B635" s="63" t="e">
        <f aca="false">VLOOKUP(A635,BD_ORDENES!A:BG,12,FALSE())</f>
        <v>#N/A</v>
      </c>
      <c r="C635" s="64" t="n">
        <v>628</v>
      </c>
      <c r="D635" s="65" t="e">
        <f aca="false">VLOOKUP(A635,BD_ORDENES!A:BE,10,0)</f>
        <v>#N/A</v>
      </c>
      <c r="E635" s="66" t="e">
        <f aca="false">VLOOKUP(A635,BD_ORDENES!A:BG,4,FALSE())</f>
        <v>#N/A</v>
      </c>
      <c r="F635" s="66" t="e">
        <f aca="false">VLOOKUP(A635,BD_ORDENES!A:BE,56,FALSE())</f>
        <v>#N/A</v>
      </c>
      <c r="G635" s="67" t="e">
        <f aca="false">VLOOKUP(A635,BD_ORDENES!A:BE,13,FALSE())</f>
        <v>#N/A</v>
      </c>
      <c r="H635" s="68" t="e">
        <f aca="false">VLOOKUP(A635,BD_ORDENES!A:BE,17,FALSE())</f>
        <v>#N/A</v>
      </c>
      <c r="I635" s="68" t="e">
        <f aca="false">VLOOKUP(A635,BD_ORDENES!A:BE,18,FALSE())</f>
        <v>#N/A</v>
      </c>
      <c r="J635" s="68" t="e">
        <f aca="false">VLOOKUP(A635,BD_ORDENES!A:BE,19,FALSE())</f>
        <v>#N/A</v>
      </c>
      <c r="K635" s="68" t="e">
        <f aca="false">VLOOKUP(A635,BD_ORDENES!A:BE,20,FALSE())</f>
        <v>#N/A</v>
      </c>
      <c r="L635" s="68" t="e">
        <f aca="false">VLOOKUP(A635,BD_ORDENES!A:BE,21,FALSE())</f>
        <v>#N/A</v>
      </c>
      <c r="M635" s="69" t="e">
        <f aca="false">VLOOKUP(A635,BD_ORDENES!A:BE,14,FALSE())</f>
        <v>#N/A</v>
      </c>
      <c r="N635" s="68" t="e">
        <f aca="false">VLOOKUP(A635,BD_ORDENES!A:BE,15,FALSE())</f>
        <v>#N/A</v>
      </c>
      <c r="O635" s="68" t="e">
        <f aca="false">VLOOKUP(A635,BD_ORDENES!A:BE,33,FALSE())</f>
        <v>#N/A</v>
      </c>
      <c r="P635" s="68" t="e">
        <f aca="false">VLOOKUP(A635,BD_ORDENES!A:BE,23,FALSE())</f>
        <v>#N/A</v>
      </c>
      <c r="Q635" s="68" t="e">
        <f aca="false">VLOOKUP(A635,BD_ORDENES!A:BE,52,FALSE())</f>
        <v>#N/A</v>
      </c>
      <c r="R635" s="68" t="e">
        <f aca="false">VLOOKUP(A635,BD_ORDENES!A:BE,25,FALSE())</f>
        <v>#N/A</v>
      </c>
      <c r="S635" s="68" t="e">
        <f aca="false">VLOOKUP(A635,BD_ORDENES!A:BE,22,FALSE())</f>
        <v>#N/A</v>
      </c>
      <c r="T635" s="65" t="e">
        <f aca="false">VLOOKUP(A635,BD_ORDENES!A:BE,55,FALSE())</f>
        <v>#N/A</v>
      </c>
      <c r="U635" s="68" t="e">
        <f aca="false">VLOOKUP(A635,BD_ORDENES!A:BE,57,FALSE())</f>
        <v>#N/A</v>
      </c>
      <c r="V635" s="70"/>
      <c r="W635" s="71"/>
    </row>
    <row r="636" s="72" customFormat="true" ht="98.25" hidden="false" customHeight="true" outlineLevel="0" collapsed="false">
      <c r="A636" s="62" t="n">
        <f aca="false">A635+1</f>
        <v>629</v>
      </c>
      <c r="B636" s="63" t="e">
        <f aca="false">VLOOKUP(A636,BD_ORDENES!A:BG,12,FALSE())</f>
        <v>#N/A</v>
      </c>
      <c r="C636" s="64" t="n">
        <v>629</v>
      </c>
      <c r="D636" s="65" t="e">
        <f aca="false">VLOOKUP(A636,BD_ORDENES!A:BE,10,0)</f>
        <v>#N/A</v>
      </c>
      <c r="E636" s="66" t="e">
        <f aca="false">VLOOKUP(A636,BD_ORDENES!A:BG,4,FALSE())</f>
        <v>#N/A</v>
      </c>
      <c r="F636" s="66" t="e">
        <f aca="false">VLOOKUP(A636,BD_ORDENES!A:BE,56,FALSE())</f>
        <v>#N/A</v>
      </c>
      <c r="G636" s="67" t="e">
        <f aca="false">VLOOKUP(A636,BD_ORDENES!A:BE,13,FALSE())</f>
        <v>#N/A</v>
      </c>
      <c r="H636" s="68" t="e">
        <f aca="false">VLOOKUP(A636,BD_ORDENES!A:BE,17,FALSE())</f>
        <v>#N/A</v>
      </c>
      <c r="I636" s="68" t="e">
        <f aca="false">VLOOKUP(A636,BD_ORDENES!A:BE,18,FALSE())</f>
        <v>#N/A</v>
      </c>
      <c r="J636" s="68" t="e">
        <f aca="false">VLOOKUP(A636,BD_ORDENES!A:BE,19,FALSE())</f>
        <v>#N/A</v>
      </c>
      <c r="K636" s="68" t="e">
        <f aca="false">VLOOKUP(A636,BD_ORDENES!A:BE,20,FALSE())</f>
        <v>#N/A</v>
      </c>
      <c r="L636" s="68" t="e">
        <f aca="false">VLOOKUP(A636,BD_ORDENES!A:BE,21,FALSE())</f>
        <v>#N/A</v>
      </c>
      <c r="M636" s="69" t="e">
        <f aca="false">VLOOKUP(A636,BD_ORDENES!A:BE,14,FALSE())</f>
        <v>#N/A</v>
      </c>
      <c r="N636" s="68" t="e">
        <f aca="false">VLOOKUP(A636,BD_ORDENES!A:BE,15,FALSE())</f>
        <v>#N/A</v>
      </c>
      <c r="O636" s="68" t="e">
        <f aca="false">VLOOKUP(A636,BD_ORDENES!A:BE,33,FALSE())</f>
        <v>#N/A</v>
      </c>
      <c r="P636" s="68" t="e">
        <f aca="false">VLOOKUP(A636,BD_ORDENES!A:BE,23,FALSE())</f>
        <v>#N/A</v>
      </c>
      <c r="Q636" s="68" t="e">
        <f aca="false">VLOOKUP(A636,BD_ORDENES!A:BE,52,FALSE())</f>
        <v>#N/A</v>
      </c>
      <c r="R636" s="68" t="e">
        <f aca="false">VLOOKUP(A636,BD_ORDENES!A:BE,25,FALSE())</f>
        <v>#N/A</v>
      </c>
      <c r="S636" s="68" t="e">
        <f aca="false">VLOOKUP(A636,BD_ORDENES!A:BE,22,FALSE())</f>
        <v>#N/A</v>
      </c>
      <c r="T636" s="65" t="e">
        <f aca="false">VLOOKUP(A636,BD_ORDENES!A:BE,55,FALSE())</f>
        <v>#N/A</v>
      </c>
      <c r="U636" s="68" t="e">
        <f aca="false">VLOOKUP(A636,BD_ORDENES!A:BE,57,FALSE())</f>
        <v>#N/A</v>
      </c>
      <c r="V636" s="70"/>
      <c r="W636" s="71"/>
    </row>
    <row r="637" s="72" customFormat="true" ht="98.25" hidden="false" customHeight="true" outlineLevel="0" collapsed="false">
      <c r="A637" s="62" t="n">
        <f aca="false">A636+1</f>
        <v>630</v>
      </c>
      <c r="B637" s="63" t="e">
        <f aca="false">VLOOKUP(A637,BD_ORDENES!A:BG,12,FALSE())</f>
        <v>#N/A</v>
      </c>
      <c r="C637" s="64" t="n">
        <v>630</v>
      </c>
      <c r="D637" s="65" t="e">
        <f aca="false">VLOOKUP(A637,BD_ORDENES!A:BE,10,0)</f>
        <v>#N/A</v>
      </c>
      <c r="E637" s="66" t="e">
        <f aca="false">VLOOKUP(A637,BD_ORDENES!A:BG,4,FALSE())</f>
        <v>#N/A</v>
      </c>
      <c r="F637" s="66" t="e">
        <f aca="false">VLOOKUP(A637,BD_ORDENES!A:BE,56,FALSE())</f>
        <v>#N/A</v>
      </c>
      <c r="G637" s="67" t="e">
        <f aca="false">VLOOKUP(A637,BD_ORDENES!A:BE,13,FALSE())</f>
        <v>#N/A</v>
      </c>
      <c r="H637" s="68" t="e">
        <f aca="false">VLOOKUP(A637,BD_ORDENES!A:BE,17,FALSE())</f>
        <v>#N/A</v>
      </c>
      <c r="I637" s="68" t="e">
        <f aca="false">VLOOKUP(A637,BD_ORDENES!A:BE,18,FALSE())</f>
        <v>#N/A</v>
      </c>
      <c r="J637" s="68" t="e">
        <f aca="false">VLOOKUP(A637,BD_ORDENES!A:BE,19,FALSE())</f>
        <v>#N/A</v>
      </c>
      <c r="K637" s="68" t="e">
        <f aca="false">VLOOKUP(A637,BD_ORDENES!A:BE,20,FALSE())</f>
        <v>#N/A</v>
      </c>
      <c r="L637" s="68" t="e">
        <f aca="false">VLOOKUP(A637,BD_ORDENES!A:BE,21,FALSE())</f>
        <v>#N/A</v>
      </c>
      <c r="M637" s="69" t="e">
        <f aca="false">VLOOKUP(A637,BD_ORDENES!A:BE,14,FALSE())</f>
        <v>#N/A</v>
      </c>
      <c r="N637" s="68" t="e">
        <f aca="false">VLOOKUP(A637,BD_ORDENES!A:BE,15,FALSE())</f>
        <v>#N/A</v>
      </c>
      <c r="O637" s="68" t="e">
        <f aca="false">VLOOKUP(A637,BD_ORDENES!A:BE,33,FALSE())</f>
        <v>#N/A</v>
      </c>
      <c r="P637" s="68" t="e">
        <f aca="false">VLOOKUP(A637,BD_ORDENES!A:BE,23,FALSE())</f>
        <v>#N/A</v>
      </c>
      <c r="Q637" s="68" t="e">
        <f aca="false">VLOOKUP(A637,BD_ORDENES!A:BE,52,FALSE())</f>
        <v>#N/A</v>
      </c>
      <c r="R637" s="68" t="e">
        <f aca="false">VLOOKUP(A637,BD_ORDENES!A:BE,25,FALSE())</f>
        <v>#N/A</v>
      </c>
      <c r="S637" s="68" t="e">
        <f aca="false">VLOOKUP(A637,BD_ORDENES!A:BE,22,FALSE())</f>
        <v>#N/A</v>
      </c>
      <c r="T637" s="65" t="e">
        <f aca="false">VLOOKUP(A637,BD_ORDENES!A:BE,55,FALSE())</f>
        <v>#N/A</v>
      </c>
      <c r="U637" s="68" t="e">
        <f aca="false">VLOOKUP(A637,BD_ORDENES!A:BE,57,FALSE())</f>
        <v>#N/A</v>
      </c>
      <c r="V637" s="70"/>
      <c r="W637" s="71"/>
    </row>
    <row r="638" s="72" customFormat="true" ht="98.25" hidden="false" customHeight="true" outlineLevel="0" collapsed="false">
      <c r="A638" s="62" t="n">
        <f aca="false">A637+1</f>
        <v>631</v>
      </c>
      <c r="B638" s="63" t="e">
        <f aca="false">VLOOKUP(A638,BD_ORDENES!A:BG,12,FALSE())</f>
        <v>#N/A</v>
      </c>
      <c r="C638" s="64" t="n">
        <v>631</v>
      </c>
      <c r="D638" s="65" t="e">
        <f aca="false">VLOOKUP(A638,BD_ORDENES!A:BE,10,0)</f>
        <v>#N/A</v>
      </c>
      <c r="E638" s="66" t="e">
        <f aca="false">VLOOKUP(A638,BD_ORDENES!A:BG,4,FALSE())</f>
        <v>#N/A</v>
      </c>
      <c r="F638" s="66" t="e">
        <f aca="false">VLOOKUP(A638,BD_ORDENES!A:BE,56,FALSE())</f>
        <v>#N/A</v>
      </c>
      <c r="G638" s="67" t="e">
        <f aca="false">VLOOKUP(A638,BD_ORDENES!A:BE,13,FALSE())</f>
        <v>#N/A</v>
      </c>
      <c r="H638" s="68" t="e">
        <f aca="false">VLOOKUP(A638,BD_ORDENES!A:BE,17,FALSE())</f>
        <v>#N/A</v>
      </c>
      <c r="I638" s="68" t="e">
        <f aca="false">VLOOKUP(A638,BD_ORDENES!A:BE,18,FALSE())</f>
        <v>#N/A</v>
      </c>
      <c r="J638" s="68" t="e">
        <f aca="false">VLOOKUP(A638,BD_ORDENES!A:BE,19,FALSE())</f>
        <v>#N/A</v>
      </c>
      <c r="K638" s="68" t="e">
        <f aca="false">VLOOKUP(A638,BD_ORDENES!A:BE,20,FALSE())</f>
        <v>#N/A</v>
      </c>
      <c r="L638" s="68" t="e">
        <f aca="false">VLOOKUP(A638,BD_ORDENES!A:BE,21,FALSE())</f>
        <v>#N/A</v>
      </c>
      <c r="M638" s="69" t="e">
        <f aca="false">VLOOKUP(A638,BD_ORDENES!A:BE,14,FALSE())</f>
        <v>#N/A</v>
      </c>
      <c r="N638" s="68" t="e">
        <f aca="false">VLOOKUP(A638,BD_ORDENES!A:BE,15,FALSE())</f>
        <v>#N/A</v>
      </c>
      <c r="O638" s="68" t="e">
        <f aca="false">VLOOKUP(A638,BD_ORDENES!A:BE,33,FALSE())</f>
        <v>#N/A</v>
      </c>
      <c r="P638" s="68" t="e">
        <f aca="false">VLOOKUP(A638,BD_ORDENES!A:BE,23,FALSE())</f>
        <v>#N/A</v>
      </c>
      <c r="Q638" s="68" t="e">
        <f aca="false">VLOOKUP(A638,BD_ORDENES!A:BE,52,FALSE())</f>
        <v>#N/A</v>
      </c>
      <c r="R638" s="68" t="e">
        <f aca="false">VLOOKUP(A638,BD_ORDENES!A:BE,25,FALSE())</f>
        <v>#N/A</v>
      </c>
      <c r="S638" s="68" t="e">
        <f aca="false">VLOOKUP(A638,BD_ORDENES!A:BE,22,FALSE())</f>
        <v>#N/A</v>
      </c>
      <c r="T638" s="65" t="e">
        <f aca="false">VLOOKUP(A638,BD_ORDENES!A:BE,55,FALSE())</f>
        <v>#N/A</v>
      </c>
      <c r="U638" s="68" t="e">
        <f aca="false">VLOOKUP(A638,BD_ORDENES!A:BE,57,FALSE())</f>
        <v>#N/A</v>
      </c>
      <c r="V638" s="70"/>
      <c r="W638" s="71"/>
    </row>
    <row r="639" s="72" customFormat="true" ht="98.25" hidden="false" customHeight="true" outlineLevel="0" collapsed="false">
      <c r="A639" s="62" t="n">
        <f aca="false">A638+1</f>
        <v>632</v>
      </c>
      <c r="B639" s="63" t="e">
        <f aca="false">VLOOKUP(A639,BD_ORDENES!A:BG,12,FALSE())</f>
        <v>#N/A</v>
      </c>
      <c r="C639" s="64" t="n">
        <v>632</v>
      </c>
      <c r="D639" s="65" t="e">
        <f aca="false">VLOOKUP(A639,BD_ORDENES!A:BE,10,0)</f>
        <v>#N/A</v>
      </c>
      <c r="E639" s="66" t="e">
        <f aca="false">VLOOKUP(A639,BD_ORDENES!A:BG,4,FALSE())</f>
        <v>#N/A</v>
      </c>
      <c r="F639" s="66" t="e">
        <f aca="false">VLOOKUP(A639,BD_ORDENES!A:BE,56,FALSE())</f>
        <v>#N/A</v>
      </c>
      <c r="G639" s="67" t="e">
        <f aca="false">VLOOKUP(A639,BD_ORDENES!A:BE,13,FALSE())</f>
        <v>#N/A</v>
      </c>
      <c r="H639" s="68" t="e">
        <f aca="false">VLOOKUP(A639,BD_ORDENES!A:BE,17,FALSE())</f>
        <v>#N/A</v>
      </c>
      <c r="I639" s="68" t="e">
        <f aca="false">VLOOKUP(A639,BD_ORDENES!A:BE,18,FALSE())</f>
        <v>#N/A</v>
      </c>
      <c r="J639" s="68" t="e">
        <f aca="false">VLOOKUP(A639,BD_ORDENES!A:BE,19,FALSE())</f>
        <v>#N/A</v>
      </c>
      <c r="K639" s="68" t="e">
        <f aca="false">VLOOKUP(A639,BD_ORDENES!A:BE,20,FALSE())</f>
        <v>#N/A</v>
      </c>
      <c r="L639" s="68" t="e">
        <f aca="false">VLOOKUP(A639,BD_ORDENES!A:BE,21,FALSE())</f>
        <v>#N/A</v>
      </c>
      <c r="M639" s="69" t="e">
        <f aca="false">VLOOKUP(A639,BD_ORDENES!A:BE,14,FALSE())</f>
        <v>#N/A</v>
      </c>
      <c r="N639" s="68" t="e">
        <f aca="false">VLOOKUP(A639,BD_ORDENES!A:BE,15,FALSE())</f>
        <v>#N/A</v>
      </c>
      <c r="O639" s="68" t="e">
        <f aca="false">VLOOKUP(A639,BD_ORDENES!A:BE,33,FALSE())</f>
        <v>#N/A</v>
      </c>
      <c r="P639" s="68" t="e">
        <f aca="false">VLOOKUP(A639,BD_ORDENES!A:BE,23,FALSE())</f>
        <v>#N/A</v>
      </c>
      <c r="Q639" s="68" t="e">
        <f aca="false">VLOOKUP(A639,BD_ORDENES!A:BE,52,FALSE())</f>
        <v>#N/A</v>
      </c>
      <c r="R639" s="68" t="e">
        <f aca="false">VLOOKUP(A639,BD_ORDENES!A:BE,25,FALSE())</f>
        <v>#N/A</v>
      </c>
      <c r="S639" s="68" t="e">
        <f aca="false">VLOOKUP(A639,BD_ORDENES!A:BE,22,FALSE())</f>
        <v>#N/A</v>
      </c>
      <c r="T639" s="65" t="e">
        <f aca="false">VLOOKUP(A639,BD_ORDENES!A:BE,55,FALSE())</f>
        <v>#N/A</v>
      </c>
      <c r="U639" s="68" t="e">
        <f aca="false">VLOOKUP(A639,BD_ORDENES!A:BE,57,FALSE())</f>
        <v>#N/A</v>
      </c>
      <c r="V639" s="70"/>
      <c r="W639" s="71"/>
    </row>
    <row r="640" s="72" customFormat="true" ht="98.25" hidden="false" customHeight="true" outlineLevel="0" collapsed="false">
      <c r="A640" s="62" t="n">
        <f aca="false">A639+1</f>
        <v>633</v>
      </c>
      <c r="B640" s="63" t="e">
        <f aca="false">VLOOKUP(A640,BD_ORDENES!A:BG,12,FALSE())</f>
        <v>#N/A</v>
      </c>
      <c r="C640" s="64" t="n">
        <v>633</v>
      </c>
      <c r="D640" s="65" t="e">
        <f aca="false">VLOOKUP(A640,BD_ORDENES!A:BE,10,0)</f>
        <v>#N/A</v>
      </c>
      <c r="E640" s="66" t="e">
        <f aca="false">VLOOKUP(A640,BD_ORDENES!A:BG,4,FALSE())</f>
        <v>#N/A</v>
      </c>
      <c r="F640" s="66" t="e">
        <f aca="false">VLOOKUP(A640,BD_ORDENES!A:BE,56,FALSE())</f>
        <v>#N/A</v>
      </c>
      <c r="G640" s="67" t="e">
        <f aca="false">VLOOKUP(A640,BD_ORDENES!A:BE,13,FALSE())</f>
        <v>#N/A</v>
      </c>
      <c r="H640" s="68" t="e">
        <f aca="false">VLOOKUP(A640,BD_ORDENES!A:BE,17,FALSE())</f>
        <v>#N/A</v>
      </c>
      <c r="I640" s="68" t="e">
        <f aca="false">VLOOKUP(A640,BD_ORDENES!A:BE,18,FALSE())</f>
        <v>#N/A</v>
      </c>
      <c r="J640" s="68" t="e">
        <f aca="false">VLOOKUP(A640,BD_ORDENES!A:BE,19,FALSE())</f>
        <v>#N/A</v>
      </c>
      <c r="K640" s="68" t="e">
        <f aca="false">VLOOKUP(A640,BD_ORDENES!A:BE,20,FALSE())</f>
        <v>#N/A</v>
      </c>
      <c r="L640" s="68" t="e">
        <f aca="false">VLOOKUP(A640,BD_ORDENES!A:BE,21,FALSE())</f>
        <v>#N/A</v>
      </c>
      <c r="M640" s="69" t="e">
        <f aca="false">VLOOKUP(A640,BD_ORDENES!A:BE,14,FALSE())</f>
        <v>#N/A</v>
      </c>
      <c r="N640" s="68" t="e">
        <f aca="false">VLOOKUP(A640,BD_ORDENES!A:BE,15,FALSE())</f>
        <v>#N/A</v>
      </c>
      <c r="O640" s="68" t="e">
        <f aca="false">VLOOKUP(A640,BD_ORDENES!A:BE,33,FALSE())</f>
        <v>#N/A</v>
      </c>
      <c r="P640" s="68" t="e">
        <f aca="false">VLOOKUP(A640,BD_ORDENES!A:BE,23,FALSE())</f>
        <v>#N/A</v>
      </c>
      <c r="Q640" s="68" t="e">
        <f aca="false">VLOOKUP(A640,BD_ORDENES!A:BE,52,FALSE())</f>
        <v>#N/A</v>
      </c>
      <c r="R640" s="68" t="e">
        <f aca="false">VLOOKUP(A640,BD_ORDENES!A:BE,25,FALSE())</f>
        <v>#N/A</v>
      </c>
      <c r="S640" s="68" t="e">
        <f aca="false">VLOOKUP(A640,BD_ORDENES!A:BE,22,FALSE())</f>
        <v>#N/A</v>
      </c>
      <c r="T640" s="65" t="e">
        <f aca="false">VLOOKUP(A640,BD_ORDENES!A:BE,55,FALSE())</f>
        <v>#N/A</v>
      </c>
      <c r="U640" s="68" t="e">
        <f aca="false">VLOOKUP(A640,BD_ORDENES!A:BE,57,FALSE())</f>
        <v>#N/A</v>
      </c>
      <c r="V640" s="70"/>
      <c r="W640" s="71"/>
    </row>
    <row r="641" s="72" customFormat="true" ht="98.25" hidden="false" customHeight="true" outlineLevel="0" collapsed="false">
      <c r="A641" s="62" t="n">
        <f aca="false">A640+1</f>
        <v>634</v>
      </c>
      <c r="B641" s="63" t="e">
        <f aca="false">VLOOKUP(A641,BD_ORDENES!A:BG,12,FALSE())</f>
        <v>#N/A</v>
      </c>
      <c r="C641" s="64" t="n">
        <v>634</v>
      </c>
      <c r="D641" s="65" t="e">
        <f aca="false">VLOOKUP(A641,BD_ORDENES!A:BE,10,0)</f>
        <v>#N/A</v>
      </c>
      <c r="E641" s="66" t="e">
        <f aca="false">VLOOKUP(A641,BD_ORDENES!A:BG,4,FALSE())</f>
        <v>#N/A</v>
      </c>
      <c r="F641" s="66" t="e">
        <f aca="false">VLOOKUP(A641,BD_ORDENES!A:BE,56,FALSE())</f>
        <v>#N/A</v>
      </c>
      <c r="G641" s="67" t="e">
        <f aca="false">VLOOKUP(A641,BD_ORDENES!A:BE,13,FALSE())</f>
        <v>#N/A</v>
      </c>
      <c r="H641" s="68" t="e">
        <f aca="false">VLOOKUP(A641,BD_ORDENES!A:BE,17,FALSE())</f>
        <v>#N/A</v>
      </c>
      <c r="I641" s="68" t="e">
        <f aca="false">VLOOKUP(A641,BD_ORDENES!A:BE,18,FALSE())</f>
        <v>#N/A</v>
      </c>
      <c r="J641" s="68" t="e">
        <f aca="false">VLOOKUP(A641,BD_ORDENES!A:BE,19,FALSE())</f>
        <v>#N/A</v>
      </c>
      <c r="K641" s="68" t="e">
        <f aca="false">VLOOKUP(A641,BD_ORDENES!A:BE,20,FALSE())</f>
        <v>#N/A</v>
      </c>
      <c r="L641" s="68" t="e">
        <f aca="false">VLOOKUP(A641,BD_ORDENES!A:BE,21,FALSE())</f>
        <v>#N/A</v>
      </c>
      <c r="M641" s="69" t="e">
        <f aca="false">VLOOKUP(A641,BD_ORDENES!A:BE,14,FALSE())</f>
        <v>#N/A</v>
      </c>
      <c r="N641" s="68" t="e">
        <f aca="false">VLOOKUP(A641,BD_ORDENES!A:BE,15,FALSE())</f>
        <v>#N/A</v>
      </c>
      <c r="O641" s="68" t="e">
        <f aca="false">VLOOKUP(A641,BD_ORDENES!A:BE,33,FALSE())</f>
        <v>#N/A</v>
      </c>
      <c r="P641" s="68" t="e">
        <f aca="false">VLOOKUP(A641,BD_ORDENES!A:BE,23,FALSE())</f>
        <v>#N/A</v>
      </c>
      <c r="Q641" s="68" t="e">
        <f aca="false">VLOOKUP(A641,BD_ORDENES!A:BE,52,FALSE())</f>
        <v>#N/A</v>
      </c>
      <c r="R641" s="68" t="e">
        <f aca="false">VLOOKUP(A641,BD_ORDENES!A:BE,25,FALSE())</f>
        <v>#N/A</v>
      </c>
      <c r="S641" s="68" t="e">
        <f aca="false">VLOOKUP(A641,BD_ORDENES!A:BE,22,FALSE())</f>
        <v>#N/A</v>
      </c>
      <c r="T641" s="65" t="e">
        <f aca="false">VLOOKUP(A641,BD_ORDENES!A:BE,55,FALSE())</f>
        <v>#N/A</v>
      </c>
      <c r="U641" s="68" t="e">
        <f aca="false">VLOOKUP(A641,BD_ORDENES!A:BE,57,FALSE())</f>
        <v>#N/A</v>
      </c>
      <c r="V641" s="70"/>
      <c r="W641" s="71"/>
    </row>
    <row r="642" s="72" customFormat="true" ht="98.25" hidden="false" customHeight="true" outlineLevel="0" collapsed="false">
      <c r="A642" s="62" t="n">
        <f aca="false">A641+1</f>
        <v>635</v>
      </c>
      <c r="B642" s="63" t="e">
        <f aca="false">VLOOKUP(A642,BD_ORDENES!A:BG,12,FALSE())</f>
        <v>#N/A</v>
      </c>
      <c r="C642" s="64" t="n">
        <v>635</v>
      </c>
      <c r="D642" s="65" t="e">
        <f aca="false">VLOOKUP(A642,BD_ORDENES!A:BE,10,0)</f>
        <v>#N/A</v>
      </c>
      <c r="E642" s="66" t="e">
        <f aca="false">VLOOKUP(A642,BD_ORDENES!A:BG,4,FALSE())</f>
        <v>#N/A</v>
      </c>
      <c r="F642" s="66" t="e">
        <f aca="false">VLOOKUP(A642,BD_ORDENES!A:BE,56,FALSE())</f>
        <v>#N/A</v>
      </c>
      <c r="G642" s="67" t="e">
        <f aca="false">VLOOKUP(A642,BD_ORDENES!A:BE,13,FALSE())</f>
        <v>#N/A</v>
      </c>
      <c r="H642" s="68" t="e">
        <f aca="false">VLOOKUP(A642,BD_ORDENES!A:BE,17,FALSE())</f>
        <v>#N/A</v>
      </c>
      <c r="I642" s="68" t="e">
        <f aca="false">VLOOKUP(A642,BD_ORDENES!A:BE,18,FALSE())</f>
        <v>#N/A</v>
      </c>
      <c r="J642" s="68" t="e">
        <f aca="false">VLOOKUP(A642,BD_ORDENES!A:BE,19,FALSE())</f>
        <v>#N/A</v>
      </c>
      <c r="K642" s="68" t="e">
        <f aca="false">VLOOKUP(A642,BD_ORDENES!A:BE,20,FALSE())</f>
        <v>#N/A</v>
      </c>
      <c r="L642" s="68" t="e">
        <f aca="false">VLOOKUP(A642,BD_ORDENES!A:BE,21,FALSE())</f>
        <v>#N/A</v>
      </c>
      <c r="M642" s="69" t="e">
        <f aca="false">VLOOKUP(A642,BD_ORDENES!A:BE,14,FALSE())</f>
        <v>#N/A</v>
      </c>
      <c r="N642" s="68" t="e">
        <f aca="false">VLOOKUP(A642,BD_ORDENES!A:BE,15,FALSE())</f>
        <v>#N/A</v>
      </c>
      <c r="O642" s="68" t="e">
        <f aca="false">VLOOKUP(A642,BD_ORDENES!A:BE,33,FALSE())</f>
        <v>#N/A</v>
      </c>
      <c r="P642" s="68" t="e">
        <f aca="false">VLOOKUP(A642,BD_ORDENES!A:BE,23,FALSE())</f>
        <v>#N/A</v>
      </c>
      <c r="Q642" s="68" t="e">
        <f aca="false">VLOOKUP(A642,BD_ORDENES!A:BE,52,FALSE())</f>
        <v>#N/A</v>
      </c>
      <c r="R642" s="68" t="e">
        <f aca="false">VLOOKUP(A642,BD_ORDENES!A:BE,25,FALSE())</f>
        <v>#N/A</v>
      </c>
      <c r="S642" s="68" t="e">
        <f aca="false">VLOOKUP(A642,BD_ORDENES!A:BE,22,FALSE())</f>
        <v>#N/A</v>
      </c>
      <c r="T642" s="65" t="e">
        <f aca="false">VLOOKUP(A642,BD_ORDENES!A:BE,55,FALSE())</f>
        <v>#N/A</v>
      </c>
      <c r="U642" s="68" t="e">
        <f aca="false">VLOOKUP(A642,BD_ORDENES!A:BE,57,FALSE())</f>
        <v>#N/A</v>
      </c>
      <c r="V642" s="70"/>
      <c r="W642" s="71"/>
    </row>
    <row r="643" s="72" customFormat="true" ht="98.25" hidden="false" customHeight="true" outlineLevel="0" collapsed="false">
      <c r="A643" s="62" t="n">
        <f aca="false">A642+1</f>
        <v>636</v>
      </c>
      <c r="B643" s="63" t="e">
        <f aca="false">VLOOKUP(A643,BD_ORDENES!A:BG,12,FALSE())</f>
        <v>#N/A</v>
      </c>
      <c r="C643" s="64" t="n">
        <v>636</v>
      </c>
      <c r="D643" s="65" t="e">
        <f aca="false">VLOOKUP(A643,BD_ORDENES!A:BE,10,0)</f>
        <v>#N/A</v>
      </c>
      <c r="E643" s="66" t="e">
        <f aca="false">VLOOKUP(A643,BD_ORDENES!A:BG,4,FALSE())</f>
        <v>#N/A</v>
      </c>
      <c r="F643" s="66" t="e">
        <f aca="false">VLOOKUP(A643,BD_ORDENES!A:BE,56,FALSE())</f>
        <v>#N/A</v>
      </c>
      <c r="G643" s="67" t="e">
        <f aca="false">VLOOKUP(A643,BD_ORDENES!A:BE,13,FALSE())</f>
        <v>#N/A</v>
      </c>
      <c r="H643" s="68" t="e">
        <f aca="false">VLOOKUP(A643,BD_ORDENES!A:BE,17,FALSE())</f>
        <v>#N/A</v>
      </c>
      <c r="I643" s="68" t="e">
        <f aca="false">VLOOKUP(A643,BD_ORDENES!A:BE,18,FALSE())</f>
        <v>#N/A</v>
      </c>
      <c r="J643" s="68" t="e">
        <f aca="false">VLOOKUP(A643,BD_ORDENES!A:BE,19,FALSE())</f>
        <v>#N/A</v>
      </c>
      <c r="K643" s="68" t="e">
        <f aca="false">VLOOKUP(A643,BD_ORDENES!A:BE,20,FALSE())</f>
        <v>#N/A</v>
      </c>
      <c r="L643" s="68" t="e">
        <f aca="false">VLOOKUP(A643,BD_ORDENES!A:BE,21,FALSE())</f>
        <v>#N/A</v>
      </c>
      <c r="M643" s="69" t="e">
        <f aca="false">VLOOKUP(A643,BD_ORDENES!A:BE,14,FALSE())</f>
        <v>#N/A</v>
      </c>
      <c r="N643" s="68" t="e">
        <f aca="false">VLOOKUP(A643,BD_ORDENES!A:BE,15,FALSE())</f>
        <v>#N/A</v>
      </c>
      <c r="O643" s="68" t="e">
        <f aca="false">VLOOKUP(A643,BD_ORDENES!A:BE,33,FALSE())</f>
        <v>#N/A</v>
      </c>
      <c r="P643" s="68" t="e">
        <f aca="false">VLOOKUP(A643,BD_ORDENES!A:BE,23,FALSE())</f>
        <v>#N/A</v>
      </c>
      <c r="Q643" s="68" t="e">
        <f aca="false">VLOOKUP(A643,BD_ORDENES!A:BE,52,FALSE())</f>
        <v>#N/A</v>
      </c>
      <c r="R643" s="68" t="e">
        <f aca="false">VLOOKUP(A643,BD_ORDENES!A:BE,25,FALSE())</f>
        <v>#N/A</v>
      </c>
      <c r="S643" s="68" t="e">
        <f aca="false">VLOOKUP(A643,BD_ORDENES!A:BE,22,FALSE())</f>
        <v>#N/A</v>
      </c>
      <c r="T643" s="65" t="e">
        <f aca="false">VLOOKUP(A643,BD_ORDENES!A:BE,55,FALSE())</f>
        <v>#N/A</v>
      </c>
      <c r="U643" s="68" t="e">
        <f aca="false">VLOOKUP(A643,BD_ORDENES!A:BE,57,FALSE())</f>
        <v>#N/A</v>
      </c>
      <c r="V643" s="70"/>
      <c r="W643" s="71"/>
    </row>
    <row r="644" s="72" customFormat="true" ht="98.25" hidden="false" customHeight="true" outlineLevel="0" collapsed="false">
      <c r="A644" s="62" t="n">
        <f aca="false">A643+1</f>
        <v>637</v>
      </c>
      <c r="B644" s="63" t="e">
        <f aca="false">VLOOKUP(A644,BD_ORDENES!A:BG,12,FALSE())</f>
        <v>#N/A</v>
      </c>
      <c r="C644" s="64" t="n">
        <v>637</v>
      </c>
      <c r="D644" s="65" t="e">
        <f aca="false">VLOOKUP(A644,BD_ORDENES!A:BE,10,0)</f>
        <v>#N/A</v>
      </c>
      <c r="E644" s="66" t="e">
        <f aca="false">VLOOKUP(A644,BD_ORDENES!A:BG,4,FALSE())</f>
        <v>#N/A</v>
      </c>
      <c r="F644" s="66" t="e">
        <f aca="false">VLOOKUP(A644,BD_ORDENES!A:BE,56,FALSE())</f>
        <v>#N/A</v>
      </c>
      <c r="G644" s="67" t="e">
        <f aca="false">VLOOKUP(A644,BD_ORDENES!A:BE,13,FALSE())</f>
        <v>#N/A</v>
      </c>
      <c r="H644" s="68" t="e">
        <f aca="false">VLOOKUP(A644,BD_ORDENES!A:BE,17,FALSE())</f>
        <v>#N/A</v>
      </c>
      <c r="I644" s="68" t="e">
        <f aca="false">VLOOKUP(A644,BD_ORDENES!A:BE,18,FALSE())</f>
        <v>#N/A</v>
      </c>
      <c r="J644" s="68" t="e">
        <f aca="false">VLOOKUP(A644,BD_ORDENES!A:BE,19,FALSE())</f>
        <v>#N/A</v>
      </c>
      <c r="K644" s="68" t="e">
        <f aca="false">VLOOKUP(A644,BD_ORDENES!A:BE,20,FALSE())</f>
        <v>#N/A</v>
      </c>
      <c r="L644" s="68" t="e">
        <f aca="false">VLOOKUP(A644,BD_ORDENES!A:BE,21,FALSE())</f>
        <v>#N/A</v>
      </c>
      <c r="M644" s="69" t="e">
        <f aca="false">VLOOKUP(A644,BD_ORDENES!A:BE,14,FALSE())</f>
        <v>#N/A</v>
      </c>
      <c r="N644" s="68" t="e">
        <f aca="false">VLOOKUP(A644,BD_ORDENES!A:BE,15,FALSE())</f>
        <v>#N/A</v>
      </c>
      <c r="O644" s="68" t="e">
        <f aca="false">VLOOKUP(A644,BD_ORDENES!A:BE,33,FALSE())</f>
        <v>#N/A</v>
      </c>
      <c r="P644" s="68" t="e">
        <f aca="false">VLOOKUP(A644,BD_ORDENES!A:BE,23,FALSE())</f>
        <v>#N/A</v>
      </c>
      <c r="Q644" s="68" t="e">
        <f aca="false">VLOOKUP(A644,BD_ORDENES!A:BE,52,FALSE())</f>
        <v>#N/A</v>
      </c>
      <c r="R644" s="68" t="e">
        <f aca="false">VLOOKUP(A644,BD_ORDENES!A:BE,25,FALSE())</f>
        <v>#N/A</v>
      </c>
      <c r="S644" s="68" t="e">
        <f aca="false">VLOOKUP(A644,BD_ORDENES!A:BE,22,FALSE())</f>
        <v>#N/A</v>
      </c>
      <c r="T644" s="65" t="e">
        <f aca="false">VLOOKUP(A644,BD_ORDENES!A:BE,55,FALSE())</f>
        <v>#N/A</v>
      </c>
      <c r="U644" s="68" t="e">
        <f aca="false">VLOOKUP(A644,BD_ORDENES!A:BE,57,FALSE())</f>
        <v>#N/A</v>
      </c>
      <c r="V644" s="70"/>
      <c r="W644" s="71"/>
    </row>
    <row r="645" s="72" customFormat="true" ht="98.25" hidden="false" customHeight="true" outlineLevel="0" collapsed="false">
      <c r="A645" s="62" t="n">
        <f aca="false">A644+1</f>
        <v>638</v>
      </c>
      <c r="B645" s="63" t="e">
        <f aca="false">VLOOKUP(A645,BD_ORDENES!A:BG,12,FALSE())</f>
        <v>#N/A</v>
      </c>
      <c r="C645" s="64" t="n">
        <v>638</v>
      </c>
      <c r="D645" s="65" t="e">
        <f aca="false">VLOOKUP(A645,BD_ORDENES!A:BE,10,0)</f>
        <v>#N/A</v>
      </c>
      <c r="E645" s="66" t="e">
        <f aca="false">VLOOKUP(A645,BD_ORDENES!A:BG,4,FALSE())</f>
        <v>#N/A</v>
      </c>
      <c r="F645" s="66" t="e">
        <f aca="false">VLOOKUP(A645,BD_ORDENES!A:BE,56,FALSE())</f>
        <v>#N/A</v>
      </c>
      <c r="G645" s="67" t="e">
        <f aca="false">VLOOKUP(A645,BD_ORDENES!A:BE,13,FALSE())</f>
        <v>#N/A</v>
      </c>
      <c r="H645" s="68" t="e">
        <f aca="false">VLOOKUP(A645,BD_ORDENES!A:BE,17,FALSE())</f>
        <v>#N/A</v>
      </c>
      <c r="I645" s="68" t="e">
        <f aca="false">VLOOKUP(A645,BD_ORDENES!A:BE,18,FALSE())</f>
        <v>#N/A</v>
      </c>
      <c r="J645" s="68" t="e">
        <f aca="false">VLOOKUP(A645,BD_ORDENES!A:BE,19,FALSE())</f>
        <v>#N/A</v>
      </c>
      <c r="K645" s="68" t="e">
        <f aca="false">VLOOKUP(A645,BD_ORDENES!A:BE,20,FALSE())</f>
        <v>#N/A</v>
      </c>
      <c r="L645" s="68" t="e">
        <f aca="false">VLOOKUP(A645,BD_ORDENES!A:BE,21,FALSE())</f>
        <v>#N/A</v>
      </c>
      <c r="M645" s="69" t="e">
        <f aca="false">VLOOKUP(A645,BD_ORDENES!A:BE,14,FALSE())</f>
        <v>#N/A</v>
      </c>
      <c r="N645" s="68" t="e">
        <f aca="false">VLOOKUP(A645,BD_ORDENES!A:BE,15,FALSE())</f>
        <v>#N/A</v>
      </c>
      <c r="O645" s="68" t="e">
        <f aca="false">VLOOKUP(A645,BD_ORDENES!A:BE,33,FALSE())</f>
        <v>#N/A</v>
      </c>
      <c r="P645" s="68" t="e">
        <f aca="false">VLOOKUP(A645,BD_ORDENES!A:BE,23,FALSE())</f>
        <v>#N/A</v>
      </c>
      <c r="Q645" s="68" t="e">
        <f aca="false">VLOOKUP(A645,BD_ORDENES!A:BE,52,FALSE())</f>
        <v>#N/A</v>
      </c>
      <c r="R645" s="68" t="e">
        <f aca="false">VLOOKUP(A645,BD_ORDENES!A:BE,25,FALSE())</f>
        <v>#N/A</v>
      </c>
      <c r="S645" s="68" t="e">
        <f aca="false">VLOOKUP(A645,BD_ORDENES!A:BE,22,FALSE())</f>
        <v>#N/A</v>
      </c>
      <c r="T645" s="65" t="e">
        <f aca="false">VLOOKUP(A645,BD_ORDENES!A:BE,55,FALSE())</f>
        <v>#N/A</v>
      </c>
      <c r="U645" s="68" t="e">
        <f aca="false">VLOOKUP(A645,BD_ORDENES!A:BE,57,FALSE())</f>
        <v>#N/A</v>
      </c>
      <c r="V645" s="70"/>
      <c r="W645" s="71"/>
    </row>
    <row r="646" s="72" customFormat="true" ht="98.25" hidden="false" customHeight="true" outlineLevel="0" collapsed="false">
      <c r="A646" s="62" t="n">
        <f aca="false">A645+1</f>
        <v>639</v>
      </c>
      <c r="B646" s="63" t="e">
        <f aca="false">VLOOKUP(A646,BD_ORDENES!A:BG,12,FALSE())</f>
        <v>#N/A</v>
      </c>
      <c r="C646" s="64" t="n">
        <v>639</v>
      </c>
      <c r="D646" s="65" t="e">
        <f aca="false">VLOOKUP(A646,BD_ORDENES!A:BE,10,0)</f>
        <v>#N/A</v>
      </c>
      <c r="E646" s="66" t="e">
        <f aca="false">VLOOKUP(A646,BD_ORDENES!A:BG,4,FALSE())</f>
        <v>#N/A</v>
      </c>
      <c r="F646" s="66" t="e">
        <f aca="false">VLOOKUP(A646,BD_ORDENES!A:BE,56,FALSE())</f>
        <v>#N/A</v>
      </c>
      <c r="G646" s="67" t="e">
        <f aca="false">VLOOKUP(A646,BD_ORDENES!A:BE,13,FALSE())</f>
        <v>#N/A</v>
      </c>
      <c r="H646" s="68" t="e">
        <f aca="false">VLOOKUP(A646,BD_ORDENES!A:BE,17,FALSE())</f>
        <v>#N/A</v>
      </c>
      <c r="I646" s="68" t="e">
        <f aca="false">VLOOKUP(A646,BD_ORDENES!A:BE,18,FALSE())</f>
        <v>#N/A</v>
      </c>
      <c r="J646" s="68" t="e">
        <f aca="false">VLOOKUP(A646,BD_ORDENES!A:BE,19,FALSE())</f>
        <v>#N/A</v>
      </c>
      <c r="K646" s="68" t="e">
        <f aca="false">VLOOKUP(A646,BD_ORDENES!A:BE,20,FALSE())</f>
        <v>#N/A</v>
      </c>
      <c r="L646" s="68" t="e">
        <f aca="false">VLOOKUP(A646,BD_ORDENES!A:BE,21,FALSE())</f>
        <v>#N/A</v>
      </c>
      <c r="M646" s="69" t="e">
        <f aca="false">VLOOKUP(A646,BD_ORDENES!A:BE,14,FALSE())</f>
        <v>#N/A</v>
      </c>
      <c r="N646" s="68" t="e">
        <f aca="false">VLOOKUP(A646,BD_ORDENES!A:BE,15,FALSE())</f>
        <v>#N/A</v>
      </c>
      <c r="O646" s="68" t="e">
        <f aca="false">VLOOKUP(A646,BD_ORDENES!A:BE,33,FALSE())</f>
        <v>#N/A</v>
      </c>
      <c r="P646" s="68" t="e">
        <f aca="false">VLOOKUP(A646,BD_ORDENES!A:BE,23,FALSE())</f>
        <v>#N/A</v>
      </c>
      <c r="Q646" s="68" t="e">
        <f aca="false">VLOOKUP(A646,BD_ORDENES!A:BE,52,FALSE())</f>
        <v>#N/A</v>
      </c>
      <c r="R646" s="68" t="e">
        <f aca="false">VLOOKUP(A646,BD_ORDENES!A:BE,25,FALSE())</f>
        <v>#N/A</v>
      </c>
      <c r="S646" s="68" t="e">
        <f aca="false">VLOOKUP(A646,BD_ORDENES!A:BE,22,FALSE())</f>
        <v>#N/A</v>
      </c>
      <c r="T646" s="65" t="e">
        <f aca="false">VLOOKUP(A646,BD_ORDENES!A:BE,55,FALSE())</f>
        <v>#N/A</v>
      </c>
      <c r="U646" s="68" t="e">
        <f aca="false">VLOOKUP(A646,BD_ORDENES!A:BE,57,FALSE())</f>
        <v>#N/A</v>
      </c>
      <c r="V646" s="70"/>
      <c r="W646" s="71"/>
    </row>
    <row r="647" s="72" customFormat="true" ht="98.25" hidden="false" customHeight="true" outlineLevel="0" collapsed="false">
      <c r="A647" s="62" t="n">
        <f aca="false">A646+1</f>
        <v>640</v>
      </c>
      <c r="B647" s="63" t="e">
        <f aca="false">VLOOKUP(A647,BD_ORDENES!A:BG,12,FALSE())</f>
        <v>#N/A</v>
      </c>
      <c r="C647" s="64" t="n">
        <v>640</v>
      </c>
      <c r="D647" s="65" t="e">
        <f aca="false">VLOOKUP(A647,BD_ORDENES!A:BE,10,0)</f>
        <v>#N/A</v>
      </c>
      <c r="E647" s="66" t="e">
        <f aca="false">VLOOKUP(A647,BD_ORDENES!A:BG,4,FALSE())</f>
        <v>#N/A</v>
      </c>
      <c r="F647" s="66" t="e">
        <f aca="false">VLOOKUP(A647,BD_ORDENES!A:BE,56,FALSE())</f>
        <v>#N/A</v>
      </c>
      <c r="G647" s="67" t="e">
        <f aca="false">VLOOKUP(A647,BD_ORDENES!A:BE,13,FALSE())</f>
        <v>#N/A</v>
      </c>
      <c r="H647" s="68" t="e">
        <f aca="false">VLOOKUP(A647,BD_ORDENES!A:BE,17,FALSE())</f>
        <v>#N/A</v>
      </c>
      <c r="I647" s="68" t="e">
        <f aca="false">VLOOKUP(A647,BD_ORDENES!A:BE,18,FALSE())</f>
        <v>#N/A</v>
      </c>
      <c r="J647" s="68" t="e">
        <f aca="false">VLOOKUP(A647,BD_ORDENES!A:BE,19,FALSE())</f>
        <v>#N/A</v>
      </c>
      <c r="K647" s="68" t="e">
        <f aca="false">VLOOKUP(A647,BD_ORDENES!A:BE,20,FALSE())</f>
        <v>#N/A</v>
      </c>
      <c r="L647" s="68" t="e">
        <f aca="false">VLOOKUP(A647,BD_ORDENES!A:BE,21,FALSE())</f>
        <v>#N/A</v>
      </c>
      <c r="M647" s="69" t="e">
        <f aca="false">VLOOKUP(A647,BD_ORDENES!A:BE,14,FALSE())</f>
        <v>#N/A</v>
      </c>
      <c r="N647" s="68" t="e">
        <f aca="false">VLOOKUP(A647,BD_ORDENES!A:BE,15,FALSE())</f>
        <v>#N/A</v>
      </c>
      <c r="O647" s="68" t="e">
        <f aca="false">VLOOKUP(A647,BD_ORDENES!A:BE,33,FALSE())</f>
        <v>#N/A</v>
      </c>
      <c r="P647" s="68" t="e">
        <f aca="false">VLOOKUP(A647,BD_ORDENES!A:BE,23,FALSE())</f>
        <v>#N/A</v>
      </c>
      <c r="Q647" s="68" t="e">
        <f aca="false">VLOOKUP(A647,BD_ORDENES!A:BE,52,FALSE())</f>
        <v>#N/A</v>
      </c>
      <c r="R647" s="68" t="e">
        <f aca="false">VLOOKUP(A647,BD_ORDENES!A:BE,25,FALSE())</f>
        <v>#N/A</v>
      </c>
      <c r="S647" s="68" t="e">
        <f aca="false">VLOOKUP(A647,BD_ORDENES!A:BE,22,FALSE())</f>
        <v>#N/A</v>
      </c>
      <c r="T647" s="65" t="e">
        <f aca="false">VLOOKUP(A647,BD_ORDENES!A:BE,55,FALSE())</f>
        <v>#N/A</v>
      </c>
      <c r="U647" s="68" t="e">
        <f aca="false">VLOOKUP(A647,BD_ORDENES!A:BE,57,FALSE())</f>
        <v>#N/A</v>
      </c>
      <c r="V647" s="70"/>
      <c r="W647" s="71"/>
    </row>
    <row r="648" s="72" customFormat="true" ht="98.25" hidden="false" customHeight="true" outlineLevel="0" collapsed="false">
      <c r="A648" s="62" t="n">
        <f aca="false">A647+1</f>
        <v>641</v>
      </c>
      <c r="B648" s="63" t="e">
        <f aca="false">VLOOKUP(A648,BD_ORDENES!A:BG,12,FALSE())</f>
        <v>#N/A</v>
      </c>
      <c r="C648" s="64" t="n">
        <v>641</v>
      </c>
      <c r="D648" s="65" t="e">
        <f aca="false">VLOOKUP(A648,BD_ORDENES!A:BE,10,0)</f>
        <v>#N/A</v>
      </c>
      <c r="E648" s="66" t="e">
        <f aca="false">VLOOKUP(A648,BD_ORDENES!A:BG,4,FALSE())</f>
        <v>#N/A</v>
      </c>
      <c r="F648" s="66" t="e">
        <f aca="false">VLOOKUP(A648,BD_ORDENES!A:BE,56,FALSE())</f>
        <v>#N/A</v>
      </c>
      <c r="G648" s="67" t="e">
        <f aca="false">VLOOKUP(A648,BD_ORDENES!A:BE,13,FALSE())</f>
        <v>#N/A</v>
      </c>
      <c r="H648" s="68" t="e">
        <f aca="false">VLOOKUP(A648,BD_ORDENES!A:BE,17,FALSE())</f>
        <v>#N/A</v>
      </c>
      <c r="I648" s="68" t="e">
        <f aca="false">VLOOKUP(A648,BD_ORDENES!A:BE,18,FALSE())</f>
        <v>#N/A</v>
      </c>
      <c r="J648" s="68" t="e">
        <f aca="false">VLOOKUP(A648,BD_ORDENES!A:BE,19,FALSE())</f>
        <v>#N/A</v>
      </c>
      <c r="K648" s="68" t="e">
        <f aca="false">VLOOKUP(A648,BD_ORDENES!A:BE,20,FALSE())</f>
        <v>#N/A</v>
      </c>
      <c r="L648" s="68" t="e">
        <f aca="false">VLOOKUP(A648,BD_ORDENES!A:BE,21,FALSE())</f>
        <v>#N/A</v>
      </c>
      <c r="M648" s="69" t="e">
        <f aca="false">VLOOKUP(A648,BD_ORDENES!A:BE,14,FALSE())</f>
        <v>#N/A</v>
      </c>
      <c r="N648" s="68" t="e">
        <f aca="false">VLOOKUP(A648,BD_ORDENES!A:BE,15,FALSE())</f>
        <v>#N/A</v>
      </c>
      <c r="O648" s="68" t="e">
        <f aca="false">VLOOKUP(A648,BD_ORDENES!A:BE,33,FALSE())</f>
        <v>#N/A</v>
      </c>
      <c r="P648" s="68" t="e">
        <f aca="false">VLOOKUP(A648,BD_ORDENES!A:BE,23,FALSE())</f>
        <v>#N/A</v>
      </c>
      <c r="Q648" s="68" t="e">
        <f aca="false">VLOOKUP(A648,BD_ORDENES!A:BE,52,FALSE())</f>
        <v>#N/A</v>
      </c>
      <c r="R648" s="68" t="e">
        <f aca="false">VLOOKUP(A648,BD_ORDENES!A:BE,25,FALSE())</f>
        <v>#N/A</v>
      </c>
      <c r="S648" s="68" t="e">
        <f aca="false">VLOOKUP(A648,BD_ORDENES!A:BE,22,FALSE())</f>
        <v>#N/A</v>
      </c>
      <c r="T648" s="65" t="e">
        <f aca="false">VLOOKUP(A648,BD_ORDENES!A:BE,55,FALSE())</f>
        <v>#N/A</v>
      </c>
      <c r="U648" s="68" t="e">
        <f aca="false">VLOOKUP(A648,BD_ORDENES!A:BE,57,FALSE())</f>
        <v>#N/A</v>
      </c>
      <c r="V648" s="70"/>
      <c r="W648" s="71"/>
    </row>
    <row r="649" s="72" customFormat="true" ht="98.25" hidden="false" customHeight="true" outlineLevel="0" collapsed="false">
      <c r="A649" s="62" t="n">
        <f aca="false">A648+1</f>
        <v>642</v>
      </c>
      <c r="B649" s="63" t="e">
        <f aca="false">VLOOKUP(A649,BD_ORDENES!A:BG,12,FALSE())</f>
        <v>#N/A</v>
      </c>
      <c r="C649" s="64" t="n">
        <v>642</v>
      </c>
      <c r="D649" s="65" t="e">
        <f aca="false">VLOOKUP(A649,BD_ORDENES!A:BE,10,0)</f>
        <v>#N/A</v>
      </c>
      <c r="E649" s="66" t="e">
        <f aca="false">VLOOKUP(A649,BD_ORDENES!A:BG,4,FALSE())</f>
        <v>#N/A</v>
      </c>
      <c r="F649" s="66" t="e">
        <f aca="false">VLOOKUP(A649,BD_ORDENES!A:BE,56,FALSE())</f>
        <v>#N/A</v>
      </c>
      <c r="G649" s="67" t="e">
        <f aca="false">VLOOKUP(A649,BD_ORDENES!A:BE,13,FALSE())</f>
        <v>#N/A</v>
      </c>
      <c r="H649" s="68" t="e">
        <f aca="false">VLOOKUP(A649,BD_ORDENES!A:BE,17,FALSE())</f>
        <v>#N/A</v>
      </c>
      <c r="I649" s="68" t="e">
        <f aca="false">VLOOKUP(A649,BD_ORDENES!A:BE,18,FALSE())</f>
        <v>#N/A</v>
      </c>
      <c r="J649" s="68" t="e">
        <f aca="false">VLOOKUP(A649,BD_ORDENES!A:BE,19,FALSE())</f>
        <v>#N/A</v>
      </c>
      <c r="K649" s="68" t="e">
        <f aca="false">VLOOKUP(A649,BD_ORDENES!A:BE,20,FALSE())</f>
        <v>#N/A</v>
      </c>
      <c r="L649" s="68" t="e">
        <f aca="false">VLOOKUP(A649,BD_ORDENES!A:BE,21,FALSE())</f>
        <v>#N/A</v>
      </c>
      <c r="M649" s="69" t="e">
        <f aca="false">VLOOKUP(A649,BD_ORDENES!A:BE,14,FALSE())</f>
        <v>#N/A</v>
      </c>
      <c r="N649" s="68" t="e">
        <f aca="false">VLOOKUP(A649,BD_ORDENES!A:BE,15,FALSE())</f>
        <v>#N/A</v>
      </c>
      <c r="O649" s="68" t="e">
        <f aca="false">VLOOKUP(A649,BD_ORDENES!A:BE,33,FALSE())</f>
        <v>#N/A</v>
      </c>
      <c r="P649" s="68" t="e">
        <f aca="false">VLOOKUP(A649,BD_ORDENES!A:BE,23,FALSE())</f>
        <v>#N/A</v>
      </c>
      <c r="Q649" s="68" t="e">
        <f aca="false">VLOOKUP(A649,BD_ORDENES!A:BE,52,FALSE())</f>
        <v>#N/A</v>
      </c>
      <c r="R649" s="68" t="e">
        <f aca="false">VLOOKUP(A649,BD_ORDENES!A:BE,25,FALSE())</f>
        <v>#N/A</v>
      </c>
      <c r="S649" s="68" t="e">
        <f aca="false">VLOOKUP(A649,BD_ORDENES!A:BE,22,FALSE())</f>
        <v>#N/A</v>
      </c>
      <c r="T649" s="65" t="e">
        <f aca="false">VLOOKUP(A649,BD_ORDENES!A:BE,55,FALSE())</f>
        <v>#N/A</v>
      </c>
      <c r="U649" s="68" t="e">
        <f aca="false">VLOOKUP(A649,BD_ORDENES!A:BE,57,FALSE())</f>
        <v>#N/A</v>
      </c>
      <c r="V649" s="70"/>
      <c r="W649" s="71"/>
    </row>
    <row r="650" s="72" customFormat="true" ht="98.25" hidden="false" customHeight="true" outlineLevel="0" collapsed="false">
      <c r="A650" s="62" t="n">
        <f aca="false">A649+1</f>
        <v>643</v>
      </c>
      <c r="B650" s="63" t="e">
        <f aca="false">VLOOKUP(A650,BD_ORDENES!A:BG,12,FALSE())</f>
        <v>#N/A</v>
      </c>
      <c r="C650" s="64" t="n">
        <v>643</v>
      </c>
      <c r="D650" s="65" t="e">
        <f aca="false">VLOOKUP(A650,BD_ORDENES!A:BE,10,0)</f>
        <v>#N/A</v>
      </c>
      <c r="E650" s="66" t="e">
        <f aca="false">VLOOKUP(A650,BD_ORDENES!A:BG,4,FALSE())</f>
        <v>#N/A</v>
      </c>
      <c r="F650" s="66" t="e">
        <f aca="false">VLOOKUP(A650,BD_ORDENES!A:BE,56,FALSE())</f>
        <v>#N/A</v>
      </c>
      <c r="G650" s="67" t="e">
        <f aca="false">VLOOKUP(A650,BD_ORDENES!A:BE,13,FALSE())</f>
        <v>#N/A</v>
      </c>
      <c r="H650" s="68" t="e">
        <f aca="false">VLOOKUP(A650,BD_ORDENES!A:BE,17,FALSE())</f>
        <v>#N/A</v>
      </c>
      <c r="I650" s="68" t="e">
        <f aca="false">VLOOKUP(A650,BD_ORDENES!A:BE,18,FALSE())</f>
        <v>#N/A</v>
      </c>
      <c r="J650" s="68" t="e">
        <f aca="false">VLOOKUP(A650,BD_ORDENES!A:BE,19,FALSE())</f>
        <v>#N/A</v>
      </c>
      <c r="K650" s="68" t="e">
        <f aca="false">VLOOKUP(A650,BD_ORDENES!A:BE,20,FALSE())</f>
        <v>#N/A</v>
      </c>
      <c r="L650" s="68" t="e">
        <f aca="false">VLOOKUP(A650,BD_ORDENES!A:BE,21,FALSE())</f>
        <v>#N/A</v>
      </c>
      <c r="M650" s="69" t="e">
        <f aca="false">VLOOKUP(A650,BD_ORDENES!A:BE,14,FALSE())</f>
        <v>#N/A</v>
      </c>
      <c r="N650" s="68" t="e">
        <f aca="false">VLOOKUP(A650,BD_ORDENES!A:BE,15,FALSE())</f>
        <v>#N/A</v>
      </c>
      <c r="O650" s="68" t="e">
        <f aca="false">VLOOKUP(A650,BD_ORDENES!A:BE,33,FALSE())</f>
        <v>#N/A</v>
      </c>
      <c r="P650" s="68" t="e">
        <f aca="false">VLOOKUP(A650,BD_ORDENES!A:BE,23,FALSE())</f>
        <v>#N/A</v>
      </c>
      <c r="Q650" s="68" t="e">
        <f aca="false">VLOOKUP(A650,BD_ORDENES!A:BE,52,FALSE())</f>
        <v>#N/A</v>
      </c>
      <c r="R650" s="68" t="e">
        <f aca="false">VLOOKUP(A650,BD_ORDENES!A:BE,25,FALSE())</f>
        <v>#N/A</v>
      </c>
      <c r="S650" s="68" t="e">
        <f aca="false">VLOOKUP(A650,BD_ORDENES!A:BE,22,FALSE())</f>
        <v>#N/A</v>
      </c>
      <c r="T650" s="65" t="e">
        <f aca="false">VLOOKUP(A650,BD_ORDENES!A:BE,55,FALSE())</f>
        <v>#N/A</v>
      </c>
      <c r="U650" s="68" t="e">
        <f aca="false">VLOOKUP(A650,BD_ORDENES!A:BE,57,FALSE())</f>
        <v>#N/A</v>
      </c>
      <c r="V650" s="70"/>
      <c r="W650" s="71"/>
    </row>
    <row r="651" s="72" customFormat="true" ht="98.25" hidden="false" customHeight="true" outlineLevel="0" collapsed="false">
      <c r="A651" s="62" t="n">
        <f aca="false">A650+1</f>
        <v>644</v>
      </c>
      <c r="B651" s="63" t="e">
        <f aca="false">VLOOKUP(A651,BD_ORDENES!A:BG,12,FALSE())</f>
        <v>#N/A</v>
      </c>
      <c r="C651" s="64" t="n">
        <v>644</v>
      </c>
      <c r="D651" s="65" t="e">
        <f aca="false">VLOOKUP(A651,BD_ORDENES!A:BE,10,0)</f>
        <v>#N/A</v>
      </c>
      <c r="E651" s="66" t="e">
        <f aca="false">VLOOKUP(A651,BD_ORDENES!A:BG,4,FALSE())</f>
        <v>#N/A</v>
      </c>
      <c r="F651" s="66" t="e">
        <f aca="false">VLOOKUP(A651,BD_ORDENES!A:BE,56,FALSE())</f>
        <v>#N/A</v>
      </c>
      <c r="G651" s="67" t="e">
        <f aca="false">VLOOKUP(A651,BD_ORDENES!A:BE,13,FALSE())</f>
        <v>#N/A</v>
      </c>
      <c r="H651" s="68" t="e">
        <f aca="false">VLOOKUP(A651,BD_ORDENES!A:BE,17,FALSE())</f>
        <v>#N/A</v>
      </c>
      <c r="I651" s="68" t="e">
        <f aca="false">VLOOKUP(A651,BD_ORDENES!A:BE,18,FALSE())</f>
        <v>#N/A</v>
      </c>
      <c r="J651" s="68" t="e">
        <f aca="false">VLOOKUP(A651,BD_ORDENES!A:BE,19,FALSE())</f>
        <v>#N/A</v>
      </c>
      <c r="K651" s="68" t="e">
        <f aca="false">VLOOKUP(A651,BD_ORDENES!A:BE,20,FALSE())</f>
        <v>#N/A</v>
      </c>
      <c r="L651" s="68" t="e">
        <f aca="false">VLOOKUP(A651,BD_ORDENES!A:BE,21,FALSE())</f>
        <v>#N/A</v>
      </c>
      <c r="M651" s="69" t="e">
        <f aca="false">VLOOKUP(A651,BD_ORDENES!A:BE,14,FALSE())</f>
        <v>#N/A</v>
      </c>
      <c r="N651" s="68" t="e">
        <f aca="false">VLOOKUP(A651,BD_ORDENES!A:BE,15,FALSE())</f>
        <v>#N/A</v>
      </c>
      <c r="O651" s="68" t="e">
        <f aca="false">VLOOKUP(A651,BD_ORDENES!A:BE,33,FALSE())</f>
        <v>#N/A</v>
      </c>
      <c r="P651" s="68" t="e">
        <f aca="false">VLOOKUP(A651,BD_ORDENES!A:BE,23,FALSE())</f>
        <v>#N/A</v>
      </c>
      <c r="Q651" s="68" t="e">
        <f aca="false">VLOOKUP(A651,BD_ORDENES!A:BE,52,FALSE())</f>
        <v>#N/A</v>
      </c>
      <c r="R651" s="68" t="e">
        <f aca="false">VLOOKUP(A651,BD_ORDENES!A:BE,25,FALSE())</f>
        <v>#N/A</v>
      </c>
      <c r="S651" s="68" t="e">
        <f aca="false">VLOOKUP(A651,BD_ORDENES!A:BE,22,FALSE())</f>
        <v>#N/A</v>
      </c>
      <c r="T651" s="65" t="e">
        <f aca="false">VLOOKUP(A651,BD_ORDENES!A:BE,55,FALSE())</f>
        <v>#N/A</v>
      </c>
      <c r="U651" s="68" t="e">
        <f aca="false">VLOOKUP(A651,BD_ORDENES!A:BE,57,FALSE())</f>
        <v>#N/A</v>
      </c>
      <c r="V651" s="70"/>
      <c r="W651" s="71"/>
    </row>
    <row r="652" s="72" customFormat="true" ht="98.25" hidden="false" customHeight="true" outlineLevel="0" collapsed="false">
      <c r="A652" s="62" t="n">
        <f aca="false">A651+1</f>
        <v>645</v>
      </c>
      <c r="B652" s="63" t="e">
        <f aca="false">VLOOKUP(A652,BD_ORDENES!A:BG,12,FALSE())</f>
        <v>#N/A</v>
      </c>
      <c r="C652" s="64" t="n">
        <v>645</v>
      </c>
      <c r="D652" s="65" t="e">
        <f aca="false">VLOOKUP(A652,BD_ORDENES!A:BE,10,0)</f>
        <v>#N/A</v>
      </c>
      <c r="E652" s="66" t="e">
        <f aca="false">VLOOKUP(A652,BD_ORDENES!A:BG,4,FALSE())</f>
        <v>#N/A</v>
      </c>
      <c r="F652" s="66" t="e">
        <f aca="false">VLOOKUP(A652,BD_ORDENES!A:BE,56,FALSE())</f>
        <v>#N/A</v>
      </c>
      <c r="G652" s="67" t="e">
        <f aca="false">VLOOKUP(A652,BD_ORDENES!A:BE,13,FALSE())</f>
        <v>#N/A</v>
      </c>
      <c r="H652" s="68" t="e">
        <f aca="false">VLOOKUP(A652,BD_ORDENES!A:BE,17,FALSE())</f>
        <v>#N/A</v>
      </c>
      <c r="I652" s="68" t="e">
        <f aca="false">VLOOKUP(A652,BD_ORDENES!A:BE,18,FALSE())</f>
        <v>#N/A</v>
      </c>
      <c r="J652" s="68" t="e">
        <f aca="false">VLOOKUP(A652,BD_ORDENES!A:BE,19,FALSE())</f>
        <v>#N/A</v>
      </c>
      <c r="K652" s="68" t="e">
        <f aca="false">VLOOKUP(A652,BD_ORDENES!A:BE,20,FALSE())</f>
        <v>#N/A</v>
      </c>
      <c r="L652" s="68" t="e">
        <f aca="false">VLOOKUP(A652,BD_ORDENES!A:BE,21,FALSE())</f>
        <v>#N/A</v>
      </c>
      <c r="M652" s="69" t="e">
        <f aca="false">VLOOKUP(A652,BD_ORDENES!A:BE,14,FALSE())</f>
        <v>#N/A</v>
      </c>
      <c r="N652" s="68" t="e">
        <f aca="false">VLOOKUP(A652,BD_ORDENES!A:BE,15,FALSE())</f>
        <v>#N/A</v>
      </c>
      <c r="O652" s="68" t="e">
        <f aca="false">VLOOKUP(A652,BD_ORDENES!A:BE,33,FALSE())</f>
        <v>#N/A</v>
      </c>
      <c r="P652" s="68" t="e">
        <f aca="false">VLOOKUP(A652,BD_ORDENES!A:BE,23,FALSE())</f>
        <v>#N/A</v>
      </c>
      <c r="Q652" s="68" t="e">
        <f aca="false">VLOOKUP(A652,BD_ORDENES!A:BE,52,FALSE())</f>
        <v>#N/A</v>
      </c>
      <c r="R652" s="68" t="e">
        <f aca="false">VLOOKUP(A652,BD_ORDENES!A:BE,25,FALSE())</f>
        <v>#N/A</v>
      </c>
      <c r="S652" s="68" t="e">
        <f aca="false">VLOOKUP(A652,BD_ORDENES!A:BE,22,FALSE())</f>
        <v>#N/A</v>
      </c>
      <c r="T652" s="65" t="e">
        <f aca="false">VLOOKUP(A652,BD_ORDENES!A:BE,55,FALSE())</f>
        <v>#N/A</v>
      </c>
      <c r="U652" s="68" t="e">
        <f aca="false">VLOOKUP(A652,BD_ORDENES!A:BE,57,FALSE())</f>
        <v>#N/A</v>
      </c>
      <c r="V652" s="70"/>
      <c r="W652" s="71"/>
    </row>
    <row r="653" s="72" customFormat="true" ht="98.25" hidden="false" customHeight="true" outlineLevel="0" collapsed="false">
      <c r="A653" s="62" t="n">
        <f aca="false">A652+1</f>
        <v>646</v>
      </c>
      <c r="B653" s="63" t="e">
        <f aca="false">VLOOKUP(A653,BD_ORDENES!A:BG,12,FALSE())</f>
        <v>#N/A</v>
      </c>
      <c r="C653" s="64" t="n">
        <v>646</v>
      </c>
      <c r="D653" s="65" t="e">
        <f aca="false">VLOOKUP(A653,BD_ORDENES!A:BE,10,0)</f>
        <v>#N/A</v>
      </c>
      <c r="E653" s="66" t="e">
        <f aca="false">VLOOKUP(A653,BD_ORDENES!A:BG,4,FALSE())</f>
        <v>#N/A</v>
      </c>
      <c r="F653" s="66" t="e">
        <f aca="false">VLOOKUP(A653,BD_ORDENES!A:BE,56,FALSE())</f>
        <v>#N/A</v>
      </c>
      <c r="G653" s="67" t="e">
        <f aca="false">VLOOKUP(A653,BD_ORDENES!A:BE,13,FALSE())</f>
        <v>#N/A</v>
      </c>
      <c r="H653" s="68" t="e">
        <f aca="false">VLOOKUP(A653,BD_ORDENES!A:BE,17,FALSE())</f>
        <v>#N/A</v>
      </c>
      <c r="I653" s="68" t="e">
        <f aca="false">VLOOKUP(A653,BD_ORDENES!A:BE,18,FALSE())</f>
        <v>#N/A</v>
      </c>
      <c r="J653" s="68" t="e">
        <f aca="false">VLOOKUP(A653,BD_ORDENES!A:BE,19,FALSE())</f>
        <v>#N/A</v>
      </c>
      <c r="K653" s="68" t="e">
        <f aca="false">VLOOKUP(A653,BD_ORDENES!A:BE,20,FALSE())</f>
        <v>#N/A</v>
      </c>
      <c r="L653" s="68" t="e">
        <f aca="false">VLOOKUP(A653,BD_ORDENES!A:BE,21,FALSE())</f>
        <v>#N/A</v>
      </c>
      <c r="M653" s="69" t="e">
        <f aca="false">VLOOKUP(A653,BD_ORDENES!A:BE,14,FALSE())</f>
        <v>#N/A</v>
      </c>
      <c r="N653" s="68" t="e">
        <f aca="false">VLOOKUP(A653,BD_ORDENES!A:BE,15,FALSE())</f>
        <v>#N/A</v>
      </c>
      <c r="O653" s="68" t="e">
        <f aca="false">VLOOKUP(A653,BD_ORDENES!A:BE,33,FALSE())</f>
        <v>#N/A</v>
      </c>
      <c r="P653" s="68" t="e">
        <f aca="false">VLOOKUP(A653,BD_ORDENES!A:BE,23,FALSE())</f>
        <v>#N/A</v>
      </c>
      <c r="Q653" s="68" t="e">
        <f aca="false">VLOOKUP(A653,BD_ORDENES!A:BE,52,FALSE())</f>
        <v>#N/A</v>
      </c>
      <c r="R653" s="68" t="e">
        <f aca="false">VLOOKUP(A653,BD_ORDENES!A:BE,25,FALSE())</f>
        <v>#N/A</v>
      </c>
      <c r="S653" s="68" t="e">
        <f aca="false">VLOOKUP(A653,BD_ORDENES!A:BE,22,FALSE())</f>
        <v>#N/A</v>
      </c>
      <c r="T653" s="65" t="e">
        <f aca="false">VLOOKUP(A653,BD_ORDENES!A:BE,55,FALSE())</f>
        <v>#N/A</v>
      </c>
      <c r="U653" s="68" t="e">
        <f aca="false">VLOOKUP(A653,BD_ORDENES!A:BE,57,FALSE())</f>
        <v>#N/A</v>
      </c>
      <c r="V653" s="70"/>
      <c r="W653" s="71"/>
    </row>
    <row r="654" s="72" customFormat="true" ht="98.25" hidden="false" customHeight="true" outlineLevel="0" collapsed="false">
      <c r="A654" s="62" t="n">
        <f aca="false">A653+1</f>
        <v>647</v>
      </c>
      <c r="B654" s="63" t="e">
        <f aca="false">VLOOKUP(A654,BD_ORDENES!A:BG,12,FALSE())</f>
        <v>#N/A</v>
      </c>
      <c r="C654" s="64" t="n">
        <v>647</v>
      </c>
      <c r="D654" s="65" t="e">
        <f aca="false">VLOOKUP(A654,BD_ORDENES!A:BE,10,0)</f>
        <v>#N/A</v>
      </c>
      <c r="E654" s="66" t="e">
        <f aca="false">VLOOKUP(A654,BD_ORDENES!A:BG,4,FALSE())</f>
        <v>#N/A</v>
      </c>
      <c r="F654" s="66" t="e">
        <f aca="false">VLOOKUP(A654,BD_ORDENES!A:BE,56,FALSE())</f>
        <v>#N/A</v>
      </c>
      <c r="G654" s="67" t="e">
        <f aca="false">VLOOKUP(A654,BD_ORDENES!A:BE,13,FALSE())</f>
        <v>#N/A</v>
      </c>
      <c r="H654" s="68" t="e">
        <f aca="false">VLOOKUP(A654,BD_ORDENES!A:BE,17,FALSE())</f>
        <v>#N/A</v>
      </c>
      <c r="I654" s="68" t="e">
        <f aca="false">VLOOKUP(A654,BD_ORDENES!A:BE,18,FALSE())</f>
        <v>#N/A</v>
      </c>
      <c r="J654" s="68" t="e">
        <f aca="false">VLOOKUP(A654,BD_ORDENES!A:BE,19,FALSE())</f>
        <v>#N/A</v>
      </c>
      <c r="K654" s="68" t="e">
        <f aca="false">VLOOKUP(A654,BD_ORDENES!A:BE,20,FALSE())</f>
        <v>#N/A</v>
      </c>
      <c r="L654" s="68" t="e">
        <f aca="false">VLOOKUP(A654,BD_ORDENES!A:BE,21,FALSE())</f>
        <v>#N/A</v>
      </c>
      <c r="M654" s="69" t="e">
        <f aca="false">VLOOKUP(A654,BD_ORDENES!A:BE,14,FALSE())</f>
        <v>#N/A</v>
      </c>
      <c r="N654" s="68" t="e">
        <f aca="false">VLOOKUP(A654,BD_ORDENES!A:BE,15,FALSE())</f>
        <v>#N/A</v>
      </c>
      <c r="O654" s="68" t="e">
        <f aca="false">VLOOKUP(A654,BD_ORDENES!A:BE,33,FALSE())</f>
        <v>#N/A</v>
      </c>
      <c r="P654" s="68" t="e">
        <f aca="false">VLOOKUP(A654,BD_ORDENES!A:BE,23,FALSE())</f>
        <v>#N/A</v>
      </c>
      <c r="Q654" s="68" t="e">
        <f aca="false">VLOOKUP(A654,BD_ORDENES!A:BE,52,FALSE())</f>
        <v>#N/A</v>
      </c>
      <c r="R654" s="68" t="e">
        <f aca="false">VLOOKUP(A654,BD_ORDENES!A:BE,25,FALSE())</f>
        <v>#N/A</v>
      </c>
      <c r="S654" s="68" t="e">
        <f aca="false">VLOOKUP(A654,BD_ORDENES!A:BE,22,FALSE())</f>
        <v>#N/A</v>
      </c>
      <c r="T654" s="65" t="e">
        <f aca="false">VLOOKUP(A654,BD_ORDENES!A:BE,55,FALSE())</f>
        <v>#N/A</v>
      </c>
      <c r="U654" s="68" t="e">
        <f aca="false">VLOOKUP(A654,BD_ORDENES!A:BE,57,FALSE())</f>
        <v>#N/A</v>
      </c>
      <c r="V654" s="70"/>
      <c r="W654" s="71"/>
    </row>
    <row r="655" s="72" customFormat="true" ht="98.25" hidden="false" customHeight="true" outlineLevel="0" collapsed="false">
      <c r="A655" s="62" t="n">
        <f aca="false">A654+1</f>
        <v>648</v>
      </c>
      <c r="B655" s="63" t="e">
        <f aca="false">VLOOKUP(A655,BD_ORDENES!A:BG,12,FALSE())</f>
        <v>#N/A</v>
      </c>
      <c r="C655" s="64" t="n">
        <v>648</v>
      </c>
      <c r="D655" s="65" t="e">
        <f aca="false">VLOOKUP(A655,BD_ORDENES!A:BE,10,0)</f>
        <v>#N/A</v>
      </c>
      <c r="E655" s="66" t="e">
        <f aca="false">VLOOKUP(A655,BD_ORDENES!A:BG,4,FALSE())</f>
        <v>#N/A</v>
      </c>
      <c r="F655" s="66" t="e">
        <f aca="false">VLOOKUP(A655,BD_ORDENES!A:BE,56,FALSE())</f>
        <v>#N/A</v>
      </c>
      <c r="G655" s="67" t="e">
        <f aca="false">VLOOKUP(A655,BD_ORDENES!A:BE,13,FALSE())</f>
        <v>#N/A</v>
      </c>
      <c r="H655" s="68" t="e">
        <f aca="false">VLOOKUP(A655,BD_ORDENES!A:BE,17,FALSE())</f>
        <v>#N/A</v>
      </c>
      <c r="I655" s="68" t="e">
        <f aca="false">VLOOKUP(A655,BD_ORDENES!A:BE,18,FALSE())</f>
        <v>#N/A</v>
      </c>
      <c r="J655" s="68" t="e">
        <f aca="false">VLOOKUP(A655,BD_ORDENES!A:BE,19,FALSE())</f>
        <v>#N/A</v>
      </c>
      <c r="K655" s="68" t="e">
        <f aca="false">VLOOKUP(A655,BD_ORDENES!A:BE,20,FALSE())</f>
        <v>#N/A</v>
      </c>
      <c r="L655" s="68" t="e">
        <f aca="false">VLOOKUP(A655,BD_ORDENES!A:BE,21,FALSE())</f>
        <v>#N/A</v>
      </c>
      <c r="M655" s="69" t="e">
        <f aca="false">VLOOKUP(A655,BD_ORDENES!A:BE,14,FALSE())</f>
        <v>#N/A</v>
      </c>
      <c r="N655" s="68" t="e">
        <f aca="false">VLOOKUP(A655,BD_ORDENES!A:BE,15,FALSE())</f>
        <v>#N/A</v>
      </c>
      <c r="O655" s="68" t="e">
        <f aca="false">VLOOKUP(A655,BD_ORDENES!A:BE,33,FALSE())</f>
        <v>#N/A</v>
      </c>
      <c r="P655" s="68" t="e">
        <f aca="false">VLOOKUP(A655,BD_ORDENES!A:BE,23,FALSE())</f>
        <v>#N/A</v>
      </c>
      <c r="Q655" s="68" t="e">
        <f aca="false">VLOOKUP(A655,BD_ORDENES!A:BE,52,FALSE())</f>
        <v>#N/A</v>
      </c>
      <c r="R655" s="68" t="e">
        <f aca="false">VLOOKUP(A655,BD_ORDENES!A:BE,25,FALSE())</f>
        <v>#N/A</v>
      </c>
      <c r="S655" s="68" t="e">
        <f aca="false">VLOOKUP(A655,BD_ORDENES!A:BE,22,FALSE())</f>
        <v>#N/A</v>
      </c>
      <c r="T655" s="65" t="e">
        <f aca="false">VLOOKUP(A655,BD_ORDENES!A:BE,55,FALSE())</f>
        <v>#N/A</v>
      </c>
      <c r="U655" s="68" t="e">
        <f aca="false">VLOOKUP(A655,BD_ORDENES!A:BE,57,FALSE())</f>
        <v>#N/A</v>
      </c>
      <c r="V655" s="70"/>
      <c r="W655" s="71"/>
    </row>
    <row r="656" s="72" customFormat="true" ht="98.25" hidden="false" customHeight="true" outlineLevel="0" collapsed="false">
      <c r="A656" s="62" t="n">
        <f aca="false">A655+1</f>
        <v>649</v>
      </c>
      <c r="B656" s="63" t="e">
        <f aca="false">VLOOKUP(A656,BD_ORDENES!A:BG,12,FALSE())</f>
        <v>#N/A</v>
      </c>
      <c r="C656" s="64" t="n">
        <v>649</v>
      </c>
      <c r="D656" s="65" t="e">
        <f aca="false">VLOOKUP(A656,BD_ORDENES!A:BE,10,0)</f>
        <v>#N/A</v>
      </c>
      <c r="E656" s="66" t="e">
        <f aca="false">VLOOKUP(A656,BD_ORDENES!A:BG,4,FALSE())</f>
        <v>#N/A</v>
      </c>
      <c r="F656" s="66" t="e">
        <f aca="false">VLOOKUP(A656,BD_ORDENES!A:BE,56,FALSE())</f>
        <v>#N/A</v>
      </c>
      <c r="G656" s="67" t="e">
        <f aca="false">VLOOKUP(A656,BD_ORDENES!A:BE,13,FALSE())</f>
        <v>#N/A</v>
      </c>
      <c r="H656" s="68" t="e">
        <f aca="false">VLOOKUP(A656,BD_ORDENES!A:BE,17,FALSE())</f>
        <v>#N/A</v>
      </c>
      <c r="I656" s="68" t="e">
        <f aca="false">VLOOKUP(A656,BD_ORDENES!A:BE,18,FALSE())</f>
        <v>#N/A</v>
      </c>
      <c r="J656" s="68" t="e">
        <f aca="false">VLOOKUP(A656,BD_ORDENES!A:BE,19,FALSE())</f>
        <v>#N/A</v>
      </c>
      <c r="K656" s="68" t="e">
        <f aca="false">VLOOKUP(A656,BD_ORDENES!A:BE,20,FALSE())</f>
        <v>#N/A</v>
      </c>
      <c r="L656" s="68" t="e">
        <f aca="false">VLOOKUP(A656,BD_ORDENES!A:BE,21,FALSE())</f>
        <v>#N/A</v>
      </c>
      <c r="M656" s="69" t="e">
        <f aca="false">VLOOKUP(A656,BD_ORDENES!A:BE,14,FALSE())</f>
        <v>#N/A</v>
      </c>
      <c r="N656" s="68" t="e">
        <f aca="false">VLOOKUP(A656,BD_ORDENES!A:BE,15,FALSE())</f>
        <v>#N/A</v>
      </c>
      <c r="O656" s="68" t="e">
        <f aca="false">VLOOKUP(A656,BD_ORDENES!A:BE,33,FALSE())</f>
        <v>#N/A</v>
      </c>
      <c r="P656" s="68" t="e">
        <f aca="false">VLOOKUP(A656,BD_ORDENES!A:BE,23,FALSE())</f>
        <v>#N/A</v>
      </c>
      <c r="Q656" s="68" t="e">
        <f aca="false">VLOOKUP(A656,BD_ORDENES!A:BE,52,FALSE())</f>
        <v>#N/A</v>
      </c>
      <c r="R656" s="68" t="e">
        <f aca="false">VLOOKUP(A656,BD_ORDENES!A:BE,25,FALSE())</f>
        <v>#N/A</v>
      </c>
      <c r="S656" s="68" t="e">
        <f aca="false">VLOOKUP(A656,BD_ORDENES!A:BE,22,FALSE())</f>
        <v>#N/A</v>
      </c>
      <c r="T656" s="65" t="e">
        <f aca="false">VLOOKUP(A656,BD_ORDENES!A:BE,55,FALSE())</f>
        <v>#N/A</v>
      </c>
      <c r="U656" s="68" t="e">
        <f aca="false">VLOOKUP(A656,BD_ORDENES!A:BE,57,FALSE())</f>
        <v>#N/A</v>
      </c>
      <c r="V656" s="70"/>
      <c r="W656" s="71"/>
    </row>
    <row r="657" s="72" customFormat="true" ht="98.25" hidden="false" customHeight="true" outlineLevel="0" collapsed="false">
      <c r="A657" s="62" t="n">
        <f aca="false">A656+1</f>
        <v>650</v>
      </c>
      <c r="B657" s="63" t="e">
        <f aca="false">VLOOKUP(A657,BD_ORDENES!A:BG,12,FALSE())</f>
        <v>#N/A</v>
      </c>
      <c r="C657" s="64" t="n">
        <v>650</v>
      </c>
      <c r="D657" s="65" t="e">
        <f aca="false">VLOOKUP(A657,BD_ORDENES!A:BE,10,0)</f>
        <v>#N/A</v>
      </c>
      <c r="E657" s="66" t="e">
        <f aca="false">VLOOKUP(A657,BD_ORDENES!A:BG,4,FALSE())</f>
        <v>#N/A</v>
      </c>
      <c r="F657" s="66" t="e">
        <f aca="false">VLOOKUP(A657,BD_ORDENES!A:BE,56,FALSE())</f>
        <v>#N/A</v>
      </c>
      <c r="G657" s="67" t="e">
        <f aca="false">VLOOKUP(A657,BD_ORDENES!A:BE,13,FALSE())</f>
        <v>#N/A</v>
      </c>
      <c r="H657" s="68" t="e">
        <f aca="false">VLOOKUP(A657,BD_ORDENES!A:BE,17,FALSE())</f>
        <v>#N/A</v>
      </c>
      <c r="I657" s="68" t="e">
        <f aca="false">VLOOKUP(A657,BD_ORDENES!A:BE,18,FALSE())</f>
        <v>#N/A</v>
      </c>
      <c r="J657" s="68" t="e">
        <f aca="false">VLOOKUP(A657,BD_ORDENES!A:BE,19,FALSE())</f>
        <v>#N/A</v>
      </c>
      <c r="K657" s="68" t="e">
        <f aca="false">VLOOKUP(A657,BD_ORDENES!A:BE,20,FALSE())</f>
        <v>#N/A</v>
      </c>
      <c r="L657" s="68" t="e">
        <f aca="false">VLOOKUP(A657,BD_ORDENES!A:BE,21,FALSE())</f>
        <v>#N/A</v>
      </c>
      <c r="M657" s="69" t="e">
        <f aca="false">VLOOKUP(A657,BD_ORDENES!A:BE,14,FALSE())</f>
        <v>#N/A</v>
      </c>
      <c r="N657" s="68" t="e">
        <f aca="false">VLOOKUP(A657,BD_ORDENES!A:BE,15,FALSE())</f>
        <v>#N/A</v>
      </c>
      <c r="O657" s="68" t="e">
        <f aca="false">VLOOKUP(A657,BD_ORDENES!A:BE,33,FALSE())</f>
        <v>#N/A</v>
      </c>
      <c r="P657" s="68" t="e">
        <f aca="false">VLOOKUP(A657,BD_ORDENES!A:BE,23,FALSE())</f>
        <v>#N/A</v>
      </c>
      <c r="Q657" s="68" t="e">
        <f aca="false">VLOOKUP(A657,BD_ORDENES!A:BE,52,FALSE())</f>
        <v>#N/A</v>
      </c>
      <c r="R657" s="68" t="e">
        <f aca="false">VLOOKUP(A657,BD_ORDENES!A:BE,25,FALSE())</f>
        <v>#N/A</v>
      </c>
      <c r="S657" s="68" t="e">
        <f aca="false">VLOOKUP(A657,BD_ORDENES!A:BE,22,FALSE())</f>
        <v>#N/A</v>
      </c>
      <c r="T657" s="65" t="e">
        <f aca="false">VLOOKUP(A657,BD_ORDENES!A:BE,55,FALSE())</f>
        <v>#N/A</v>
      </c>
      <c r="U657" s="68" t="e">
        <f aca="false">VLOOKUP(A657,BD_ORDENES!A:BE,57,FALSE())</f>
        <v>#N/A</v>
      </c>
      <c r="V657" s="70"/>
      <c r="W657" s="71"/>
    </row>
    <row r="658" s="72" customFormat="true" ht="98.25" hidden="false" customHeight="true" outlineLevel="0" collapsed="false">
      <c r="A658" s="62" t="n">
        <f aca="false">A657+1</f>
        <v>651</v>
      </c>
      <c r="B658" s="63" t="e">
        <f aca="false">VLOOKUP(A658,BD_ORDENES!A:BG,12,FALSE())</f>
        <v>#N/A</v>
      </c>
      <c r="C658" s="64" t="n">
        <v>651</v>
      </c>
      <c r="D658" s="65" t="e">
        <f aca="false">VLOOKUP(A658,BD_ORDENES!A:BE,10,0)</f>
        <v>#N/A</v>
      </c>
      <c r="E658" s="66" t="e">
        <f aca="false">VLOOKUP(A658,BD_ORDENES!A:BG,4,FALSE())</f>
        <v>#N/A</v>
      </c>
      <c r="F658" s="66" t="e">
        <f aca="false">VLOOKUP(A658,BD_ORDENES!A:BE,56,FALSE())</f>
        <v>#N/A</v>
      </c>
      <c r="G658" s="67" t="e">
        <f aca="false">VLOOKUP(A658,BD_ORDENES!A:BE,13,FALSE())</f>
        <v>#N/A</v>
      </c>
      <c r="H658" s="68" t="e">
        <f aca="false">VLOOKUP(A658,BD_ORDENES!A:BE,17,FALSE())</f>
        <v>#N/A</v>
      </c>
      <c r="I658" s="68" t="e">
        <f aca="false">VLOOKUP(A658,BD_ORDENES!A:BE,18,FALSE())</f>
        <v>#N/A</v>
      </c>
      <c r="J658" s="68" t="e">
        <f aca="false">VLOOKUP(A658,BD_ORDENES!A:BE,19,FALSE())</f>
        <v>#N/A</v>
      </c>
      <c r="K658" s="68" t="e">
        <f aca="false">VLOOKUP(A658,BD_ORDENES!A:BE,20,FALSE())</f>
        <v>#N/A</v>
      </c>
      <c r="L658" s="68" t="e">
        <f aca="false">VLOOKUP(A658,BD_ORDENES!A:BE,21,FALSE())</f>
        <v>#N/A</v>
      </c>
      <c r="M658" s="69" t="e">
        <f aca="false">VLOOKUP(A658,BD_ORDENES!A:BE,14,FALSE())</f>
        <v>#N/A</v>
      </c>
      <c r="N658" s="68" t="e">
        <f aca="false">VLOOKUP(A658,BD_ORDENES!A:BE,15,FALSE())</f>
        <v>#N/A</v>
      </c>
      <c r="O658" s="68" t="e">
        <f aca="false">VLOOKUP(A658,BD_ORDENES!A:BE,33,FALSE())</f>
        <v>#N/A</v>
      </c>
      <c r="P658" s="68" t="e">
        <f aca="false">VLOOKUP(A658,BD_ORDENES!A:BE,23,FALSE())</f>
        <v>#N/A</v>
      </c>
      <c r="Q658" s="68" t="e">
        <f aca="false">VLOOKUP(A658,BD_ORDENES!A:BE,52,FALSE())</f>
        <v>#N/A</v>
      </c>
      <c r="R658" s="68" t="e">
        <f aca="false">VLOOKUP(A658,BD_ORDENES!A:BE,25,FALSE())</f>
        <v>#N/A</v>
      </c>
      <c r="S658" s="68" t="e">
        <f aca="false">VLOOKUP(A658,BD_ORDENES!A:BE,22,FALSE())</f>
        <v>#N/A</v>
      </c>
      <c r="T658" s="65" t="e">
        <f aca="false">VLOOKUP(A658,BD_ORDENES!A:BE,55,FALSE())</f>
        <v>#N/A</v>
      </c>
      <c r="U658" s="68" t="e">
        <f aca="false">VLOOKUP(A658,BD_ORDENES!A:BE,57,FALSE())</f>
        <v>#N/A</v>
      </c>
      <c r="V658" s="70"/>
      <c r="W658" s="71"/>
    </row>
    <row r="659" s="72" customFormat="true" ht="98.25" hidden="false" customHeight="true" outlineLevel="0" collapsed="false">
      <c r="A659" s="62" t="n">
        <f aca="false">A658+1</f>
        <v>652</v>
      </c>
      <c r="B659" s="63" t="e">
        <f aca="false">VLOOKUP(A659,BD_ORDENES!A:BG,12,FALSE())</f>
        <v>#N/A</v>
      </c>
      <c r="C659" s="64" t="n">
        <v>652</v>
      </c>
      <c r="D659" s="65" t="e">
        <f aca="false">VLOOKUP(A659,BD_ORDENES!A:BE,10,0)</f>
        <v>#N/A</v>
      </c>
      <c r="E659" s="66" t="e">
        <f aca="false">VLOOKUP(A659,BD_ORDENES!A:BG,4,FALSE())</f>
        <v>#N/A</v>
      </c>
      <c r="F659" s="66" t="e">
        <f aca="false">VLOOKUP(A659,BD_ORDENES!A:BE,56,FALSE())</f>
        <v>#N/A</v>
      </c>
      <c r="G659" s="67" t="e">
        <f aca="false">VLOOKUP(A659,BD_ORDENES!A:BE,13,FALSE())</f>
        <v>#N/A</v>
      </c>
      <c r="H659" s="68" t="e">
        <f aca="false">VLOOKUP(A659,BD_ORDENES!A:BE,17,FALSE())</f>
        <v>#N/A</v>
      </c>
      <c r="I659" s="68" t="e">
        <f aca="false">VLOOKUP(A659,BD_ORDENES!A:BE,18,FALSE())</f>
        <v>#N/A</v>
      </c>
      <c r="J659" s="68" t="e">
        <f aca="false">VLOOKUP(A659,BD_ORDENES!A:BE,19,FALSE())</f>
        <v>#N/A</v>
      </c>
      <c r="K659" s="68" t="e">
        <f aca="false">VLOOKUP(A659,BD_ORDENES!A:BE,20,FALSE())</f>
        <v>#N/A</v>
      </c>
      <c r="L659" s="68" t="e">
        <f aca="false">VLOOKUP(A659,BD_ORDENES!A:BE,21,FALSE())</f>
        <v>#N/A</v>
      </c>
      <c r="M659" s="69" t="e">
        <f aca="false">VLOOKUP(A659,BD_ORDENES!A:BE,14,FALSE())</f>
        <v>#N/A</v>
      </c>
      <c r="N659" s="68" t="e">
        <f aca="false">VLOOKUP(A659,BD_ORDENES!A:BE,15,FALSE())</f>
        <v>#N/A</v>
      </c>
      <c r="O659" s="68" t="e">
        <f aca="false">VLOOKUP(A659,BD_ORDENES!A:BE,33,FALSE())</f>
        <v>#N/A</v>
      </c>
      <c r="P659" s="68" t="e">
        <f aca="false">VLOOKUP(A659,BD_ORDENES!A:BE,23,FALSE())</f>
        <v>#N/A</v>
      </c>
      <c r="Q659" s="68" t="e">
        <f aca="false">VLOOKUP(A659,BD_ORDENES!A:BE,52,FALSE())</f>
        <v>#N/A</v>
      </c>
      <c r="R659" s="68" t="e">
        <f aca="false">VLOOKUP(A659,BD_ORDENES!A:BE,25,FALSE())</f>
        <v>#N/A</v>
      </c>
      <c r="S659" s="68" t="e">
        <f aca="false">VLOOKUP(A659,BD_ORDENES!A:BE,22,FALSE())</f>
        <v>#N/A</v>
      </c>
      <c r="T659" s="65" t="e">
        <f aca="false">VLOOKUP(A659,BD_ORDENES!A:BE,55,FALSE())</f>
        <v>#N/A</v>
      </c>
      <c r="U659" s="68" t="e">
        <f aca="false">VLOOKUP(A659,BD_ORDENES!A:BE,57,FALSE())</f>
        <v>#N/A</v>
      </c>
      <c r="V659" s="70"/>
      <c r="W659" s="71"/>
    </row>
    <row r="660" s="72" customFormat="true" ht="98.25" hidden="false" customHeight="true" outlineLevel="0" collapsed="false">
      <c r="A660" s="62" t="n">
        <f aca="false">A659+1</f>
        <v>653</v>
      </c>
      <c r="B660" s="63" t="e">
        <f aca="false">VLOOKUP(A660,BD_ORDENES!A:BG,12,FALSE())</f>
        <v>#N/A</v>
      </c>
      <c r="C660" s="64" t="n">
        <v>653</v>
      </c>
      <c r="D660" s="65" t="e">
        <f aca="false">VLOOKUP(A660,BD_ORDENES!A:BE,10,0)</f>
        <v>#N/A</v>
      </c>
      <c r="E660" s="66" t="e">
        <f aca="false">VLOOKUP(A660,BD_ORDENES!A:BG,4,FALSE())</f>
        <v>#N/A</v>
      </c>
      <c r="F660" s="66" t="e">
        <f aca="false">VLOOKUP(A660,BD_ORDENES!A:BE,56,FALSE())</f>
        <v>#N/A</v>
      </c>
      <c r="G660" s="67" t="e">
        <f aca="false">VLOOKUP(A660,BD_ORDENES!A:BE,13,FALSE())</f>
        <v>#N/A</v>
      </c>
      <c r="H660" s="68" t="e">
        <f aca="false">VLOOKUP(A660,BD_ORDENES!A:BE,17,FALSE())</f>
        <v>#N/A</v>
      </c>
      <c r="I660" s="68" t="e">
        <f aca="false">VLOOKUP(A660,BD_ORDENES!A:BE,18,FALSE())</f>
        <v>#N/A</v>
      </c>
      <c r="J660" s="68" t="e">
        <f aca="false">VLOOKUP(A660,BD_ORDENES!A:BE,19,FALSE())</f>
        <v>#N/A</v>
      </c>
      <c r="K660" s="68" t="e">
        <f aca="false">VLOOKUP(A660,BD_ORDENES!A:BE,20,FALSE())</f>
        <v>#N/A</v>
      </c>
      <c r="L660" s="68" t="e">
        <f aca="false">VLOOKUP(A660,BD_ORDENES!A:BE,21,FALSE())</f>
        <v>#N/A</v>
      </c>
      <c r="M660" s="69" t="e">
        <f aca="false">VLOOKUP(A660,BD_ORDENES!A:BE,14,FALSE())</f>
        <v>#N/A</v>
      </c>
      <c r="N660" s="68" t="e">
        <f aca="false">VLOOKUP(A660,BD_ORDENES!A:BE,15,FALSE())</f>
        <v>#N/A</v>
      </c>
      <c r="O660" s="68" t="e">
        <f aca="false">VLOOKUP(A660,BD_ORDENES!A:BE,33,FALSE())</f>
        <v>#N/A</v>
      </c>
      <c r="P660" s="68" t="e">
        <f aca="false">VLOOKUP(A660,BD_ORDENES!A:BE,23,FALSE())</f>
        <v>#N/A</v>
      </c>
      <c r="Q660" s="68" t="e">
        <f aca="false">VLOOKUP(A660,BD_ORDENES!A:BE,52,FALSE())</f>
        <v>#N/A</v>
      </c>
      <c r="R660" s="68" t="e">
        <f aca="false">VLOOKUP(A660,BD_ORDENES!A:BE,25,FALSE())</f>
        <v>#N/A</v>
      </c>
      <c r="S660" s="68" t="e">
        <f aca="false">VLOOKUP(A660,BD_ORDENES!A:BE,22,FALSE())</f>
        <v>#N/A</v>
      </c>
      <c r="T660" s="65" t="e">
        <f aca="false">VLOOKUP(A660,BD_ORDENES!A:BE,55,FALSE())</f>
        <v>#N/A</v>
      </c>
      <c r="U660" s="68" t="e">
        <f aca="false">VLOOKUP(A660,BD_ORDENES!A:BE,57,FALSE())</f>
        <v>#N/A</v>
      </c>
      <c r="V660" s="70"/>
      <c r="W660" s="71"/>
    </row>
    <row r="661" s="72" customFormat="true" ht="98.25" hidden="false" customHeight="true" outlineLevel="0" collapsed="false">
      <c r="A661" s="62" t="n">
        <f aca="false">A660+1</f>
        <v>654</v>
      </c>
      <c r="B661" s="63" t="e">
        <f aca="false">VLOOKUP(A661,BD_ORDENES!A:BG,12,FALSE())</f>
        <v>#N/A</v>
      </c>
      <c r="C661" s="64" t="n">
        <v>654</v>
      </c>
      <c r="D661" s="65" t="e">
        <f aca="false">VLOOKUP(A661,BD_ORDENES!A:BE,10,0)</f>
        <v>#N/A</v>
      </c>
      <c r="E661" s="66" t="e">
        <f aca="false">VLOOKUP(A661,BD_ORDENES!A:BG,4,FALSE())</f>
        <v>#N/A</v>
      </c>
      <c r="F661" s="66" t="e">
        <f aca="false">VLOOKUP(A661,BD_ORDENES!A:BE,56,FALSE())</f>
        <v>#N/A</v>
      </c>
      <c r="G661" s="67" t="e">
        <f aca="false">VLOOKUP(A661,BD_ORDENES!A:BE,13,FALSE())</f>
        <v>#N/A</v>
      </c>
      <c r="H661" s="68" t="e">
        <f aca="false">VLOOKUP(A661,BD_ORDENES!A:BE,17,FALSE())</f>
        <v>#N/A</v>
      </c>
      <c r="I661" s="68" t="e">
        <f aca="false">VLOOKUP(A661,BD_ORDENES!A:BE,18,FALSE())</f>
        <v>#N/A</v>
      </c>
      <c r="J661" s="68" t="e">
        <f aca="false">VLOOKUP(A661,BD_ORDENES!A:BE,19,FALSE())</f>
        <v>#N/A</v>
      </c>
      <c r="K661" s="68" t="e">
        <f aca="false">VLOOKUP(A661,BD_ORDENES!A:BE,20,FALSE())</f>
        <v>#N/A</v>
      </c>
      <c r="L661" s="68" t="e">
        <f aca="false">VLOOKUP(A661,BD_ORDENES!A:BE,21,FALSE())</f>
        <v>#N/A</v>
      </c>
      <c r="M661" s="69" t="e">
        <f aca="false">VLOOKUP(A661,BD_ORDENES!A:BE,14,FALSE())</f>
        <v>#N/A</v>
      </c>
      <c r="N661" s="68" t="e">
        <f aca="false">VLOOKUP(A661,BD_ORDENES!A:BE,15,FALSE())</f>
        <v>#N/A</v>
      </c>
      <c r="O661" s="68" t="e">
        <f aca="false">VLOOKUP(A661,BD_ORDENES!A:BE,33,FALSE())</f>
        <v>#N/A</v>
      </c>
      <c r="P661" s="68" t="e">
        <f aca="false">VLOOKUP(A661,BD_ORDENES!A:BE,23,FALSE())</f>
        <v>#N/A</v>
      </c>
      <c r="Q661" s="68" t="e">
        <f aca="false">VLOOKUP(A661,BD_ORDENES!A:BE,52,FALSE())</f>
        <v>#N/A</v>
      </c>
      <c r="R661" s="68" t="e">
        <f aca="false">VLOOKUP(A661,BD_ORDENES!A:BE,25,FALSE())</f>
        <v>#N/A</v>
      </c>
      <c r="S661" s="68" t="e">
        <f aca="false">VLOOKUP(A661,BD_ORDENES!A:BE,22,FALSE())</f>
        <v>#N/A</v>
      </c>
      <c r="T661" s="65" t="e">
        <f aca="false">VLOOKUP(A661,BD_ORDENES!A:BE,55,FALSE())</f>
        <v>#N/A</v>
      </c>
      <c r="U661" s="68" t="e">
        <f aca="false">VLOOKUP(A661,BD_ORDENES!A:BE,57,FALSE())</f>
        <v>#N/A</v>
      </c>
      <c r="V661" s="70"/>
      <c r="W661" s="71"/>
    </row>
    <row r="662" s="72" customFormat="true" ht="98.25" hidden="false" customHeight="true" outlineLevel="0" collapsed="false">
      <c r="A662" s="62" t="n">
        <f aca="false">A661+1</f>
        <v>655</v>
      </c>
      <c r="B662" s="63" t="e">
        <f aca="false">VLOOKUP(A662,BD_ORDENES!A:BG,12,FALSE())</f>
        <v>#N/A</v>
      </c>
      <c r="C662" s="64" t="n">
        <v>655</v>
      </c>
      <c r="D662" s="65" t="e">
        <f aca="false">VLOOKUP(A662,BD_ORDENES!A:BE,10,0)</f>
        <v>#N/A</v>
      </c>
      <c r="E662" s="66" t="e">
        <f aca="false">VLOOKUP(A662,BD_ORDENES!A:BG,4,FALSE())</f>
        <v>#N/A</v>
      </c>
      <c r="F662" s="66" t="e">
        <f aca="false">VLOOKUP(A662,BD_ORDENES!A:BE,56,FALSE())</f>
        <v>#N/A</v>
      </c>
      <c r="G662" s="67" t="e">
        <f aca="false">VLOOKUP(A662,BD_ORDENES!A:BE,13,FALSE())</f>
        <v>#N/A</v>
      </c>
      <c r="H662" s="68" t="e">
        <f aca="false">VLOOKUP(A662,BD_ORDENES!A:BE,17,FALSE())</f>
        <v>#N/A</v>
      </c>
      <c r="I662" s="68" t="e">
        <f aca="false">VLOOKUP(A662,BD_ORDENES!A:BE,18,FALSE())</f>
        <v>#N/A</v>
      </c>
      <c r="J662" s="68" t="e">
        <f aca="false">VLOOKUP(A662,BD_ORDENES!A:BE,19,FALSE())</f>
        <v>#N/A</v>
      </c>
      <c r="K662" s="68" t="e">
        <f aca="false">VLOOKUP(A662,BD_ORDENES!A:BE,20,FALSE())</f>
        <v>#N/A</v>
      </c>
      <c r="L662" s="68" t="e">
        <f aca="false">VLOOKUP(A662,BD_ORDENES!A:BE,21,FALSE())</f>
        <v>#N/A</v>
      </c>
      <c r="M662" s="69" t="e">
        <f aca="false">VLOOKUP(A662,BD_ORDENES!A:BE,14,FALSE())</f>
        <v>#N/A</v>
      </c>
      <c r="N662" s="68" t="e">
        <f aca="false">VLOOKUP(A662,BD_ORDENES!A:BE,15,FALSE())</f>
        <v>#N/A</v>
      </c>
      <c r="O662" s="68" t="e">
        <f aca="false">VLOOKUP(A662,BD_ORDENES!A:BE,33,FALSE())</f>
        <v>#N/A</v>
      </c>
      <c r="P662" s="68" t="e">
        <f aca="false">VLOOKUP(A662,BD_ORDENES!A:BE,23,FALSE())</f>
        <v>#N/A</v>
      </c>
      <c r="Q662" s="68" t="e">
        <f aca="false">VLOOKUP(A662,BD_ORDENES!A:BE,52,FALSE())</f>
        <v>#N/A</v>
      </c>
      <c r="R662" s="68" t="e">
        <f aca="false">VLOOKUP(A662,BD_ORDENES!A:BE,25,FALSE())</f>
        <v>#N/A</v>
      </c>
      <c r="S662" s="68" t="e">
        <f aca="false">VLOOKUP(A662,BD_ORDENES!A:BE,22,FALSE())</f>
        <v>#N/A</v>
      </c>
      <c r="T662" s="65" t="e">
        <f aca="false">VLOOKUP(A662,BD_ORDENES!A:BE,55,FALSE())</f>
        <v>#N/A</v>
      </c>
      <c r="U662" s="68" t="e">
        <f aca="false">VLOOKUP(A662,BD_ORDENES!A:BE,57,FALSE())</f>
        <v>#N/A</v>
      </c>
      <c r="V662" s="70"/>
      <c r="W662" s="71"/>
    </row>
    <row r="663" s="72" customFormat="true" ht="98.25" hidden="false" customHeight="true" outlineLevel="0" collapsed="false">
      <c r="A663" s="62" t="n">
        <f aca="false">A662+1</f>
        <v>656</v>
      </c>
      <c r="B663" s="63" t="e">
        <f aca="false">VLOOKUP(A663,BD_ORDENES!A:BG,12,FALSE())</f>
        <v>#N/A</v>
      </c>
      <c r="C663" s="64" t="n">
        <v>656</v>
      </c>
      <c r="D663" s="65" t="e">
        <f aca="false">VLOOKUP(A663,BD_ORDENES!A:BE,10,0)</f>
        <v>#N/A</v>
      </c>
      <c r="E663" s="66" t="e">
        <f aca="false">VLOOKUP(A663,BD_ORDENES!A:BG,4,FALSE())</f>
        <v>#N/A</v>
      </c>
      <c r="F663" s="66" t="e">
        <f aca="false">VLOOKUP(A663,BD_ORDENES!A:BE,56,FALSE())</f>
        <v>#N/A</v>
      </c>
      <c r="G663" s="67" t="e">
        <f aca="false">VLOOKUP(A663,BD_ORDENES!A:BE,13,FALSE())</f>
        <v>#N/A</v>
      </c>
      <c r="H663" s="68" t="e">
        <f aca="false">VLOOKUP(A663,BD_ORDENES!A:BE,17,FALSE())</f>
        <v>#N/A</v>
      </c>
      <c r="I663" s="68" t="e">
        <f aca="false">VLOOKUP(A663,BD_ORDENES!A:BE,18,FALSE())</f>
        <v>#N/A</v>
      </c>
      <c r="J663" s="68" t="e">
        <f aca="false">VLOOKUP(A663,BD_ORDENES!A:BE,19,FALSE())</f>
        <v>#N/A</v>
      </c>
      <c r="K663" s="68" t="e">
        <f aca="false">VLOOKUP(A663,BD_ORDENES!A:BE,20,FALSE())</f>
        <v>#N/A</v>
      </c>
      <c r="L663" s="68" t="e">
        <f aca="false">VLOOKUP(A663,BD_ORDENES!A:BE,21,FALSE())</f>
        <v>#N/A</v>
      </c>
      <c r="M663" s="69" t="e">
        <f aca="false">VLOOKUP(A663,BD_ORDENES!A:BE,14,FALSE())</f>
        <v>#N/A</v>
      </c>
      <c r="N663" s="68" t="e">
        <f aca="false">VLOOKUP(A663,BD_ORDENES!A:BE,15,FALSE())</f>
        <v>#N/A</v>
      </c>
      <c r="O663" s="68" t="e">
        <f aca="false">VLOOKUP(A663,BD_ORDENES!A:BE,33,FALSE())</f>
        <v>#N/A</v>
      </c>
      <c r="P663" s="68" t="e">
        <f aca="false">VLOOKUP(A663,BD_ORDENES!A:BE,23,FALSE())</f>
        <v>#N/A</v>
      </c>
      <c r="Q663" s="68" t="e">
        <f aca="false">VLOOKUP(A663,BD_ORDENES!A:BE,52,FALSE())</f>
        <v>#N/A</v>
      </c>
      <c r="R663" s="68" t="e">
        <f aca="false">VLOOKUP(A663,BD_ORDENES!A:BE,25,FALSE())</f>
        <v>#N/A</v>
      </c>
      <c r="S663" s="68" t="e">
        <f aca="false">VLOOKUP(A663,BD_ORDENES!A:BE,22,FALSE())</f>
        <v>#N/A</v>
      </c>
      <c r="T663" s="65" t="e">
        <f aca="false">VLOOKUP(A663,BD_ORDENES!A:BE,55,FALSE())</f>
        <v>#N/A</v>
      </c>
      <c r="U663" s="68" t="e">
        <f aca="false">VLOOKUP(A663,BD_ORDENES!A:BE,57,FALSE())</f>
        <v>#N/A</v>
      </c>
      <c r="V663" s="70"/>
      <c r="W663" s="71"/>
    </row>
    <row r="664" s="72" customFormat="true" ht="98.25" hidden="false" customHeight="true" outlineLevel="0" collapsed="false">
      <c r="A664" s="62" t="n">
        <f aca="false">A663+1</f>
        <v>657</v>
      </c>
      <c r="B664" s="63" t="e">
        <f aca="false">VLOOKUP(A664,BD_ORDENES!A:BG,12,FALSE())</f>
        <v>#N/A</v>
      </c>
      <c r="C664" s="64" t="n">
        <v>657</v>
      </c>
      <c r="D664" s="65" t="e">
        <f aca="false">VLOOKUP(A664,BD_ORDENES!A:BE,10,0)</f>
        <v>#N/A</v>
      </c>
      <c r="E664" s="66" t="e">
        <f aca="false">VLOOKUP(A664,BD_ORDENES!A:BG,4,FALSE())</f>
        <v>#N/A</v>
      </c>
      <c r="F664" s="66" t="e">
        <f aca="false">VLOOKUP(A664,BD_ORDENES!A:BE,56,FALSE())</f>
        <v>#N/A</v>
      </c>
      <c r="G664" s="67" t="e">
        <f aca="false">VLOOKUP(A664,BD_ORDENES!A:BE,13,FALSE())</f>
        <v>#N/A</v>
      </c>
      <c r="H664" s="68" t="e">
        <f aca="false">VLOOKUP(A664,BD_ORDENES!A:BE,17,FALSE())</f>
        <v>#N/A</v>
      </c>
      <c r="I664" s="68" t="e">
        <f aca="false">VLOOKUP(A664,BD_ORDENES!A:BE,18,FALSE())</f>
        <v>#N/A</v>
      </c>
      <c r="J664" s="68" t="e">
        <f aca="false">VLOOKUP(A664,BD_ORDENES!A:BE,19,FALSE())</f>
        <v>#N/A</v>
      </c>
      <c r="K664" s="68" t="e">
        <f aca="false">VLOOKUP(A664,BD_ORDENES!A:BE,20,FALSE())</f>
        <v>#N/A</v>
      </c>
      <c r="L664" s="68" t="e">
        <f aca="false">VLOOKUP(A664,BD_ORDENES!A:BE,21,FALSE())</f>
        <v>#N/A</v>
      </c>
      <c r="M664" s="69" t="e">
        <f aca="false">VLOOKUP(A664,BD_ORDENES!A:BE,14,FALSE())</f>
        <v>#N/A</v>
      </c>
      <c r="N664" s="68" t="e">
        <f aca="false">VLOOKUP(A664,BD_ORDENES!A:BE,15,FALSE())</f>
        <v>#N/A</v>
      </c>
      <c r="O664" s="68" t="e">
        <f aca="false">VLOOKUP(A664,BD_ORDENES!A:BE,33,FALSE())</f>
        <v>#N/A</v>
      </c>
      <c r="P664" s="68" t="e">
        <f aca="false">VLOOKUP(A664,BD_ORDENES!A:BE,23,FALSE())</f>
        <v>#N/A</v>
      </c>
      <c r="Q664" s="68" t="e">
        <f aca="false">VLOOKUP(A664,BD_ORDENES!A:BE,52,FALSE())</f>
        <v>#N/A</v>
      </c>
      <c r="R664" s="68" t="e">
        <f aca="false">VLOOKUP(A664,BD_ORDENES!A:BE,25,FALSE())</f>
        <v>#N/A</v>
      </c>
      <c r="S664" s="68" t="e">
        <f aca="false">VLOOKUP(A664,BD_ORDENES!A:BE,22,FALSE())</f>
        <v>#N/A</v>
      </c>
      <c r="T664" s="65" t="e">
        <f aca="false">VLOOKUP(A664,BD_ORDENES!A:BE,55,FALSE())</f>
        <v>#N/A</v>
      </c>
      <c r="U664" s="68" t="e">
        <f aca="false">VLOOKUP(A664,BD_ORDENES!A:BE,57,FALSE())</f>
        <v>#N/A</v>
      </c>
      <c r="V664" s="70"/>
      <c r="W664" s="71"/>
    </row>
    <row r="665" s="72" customFormat="true" ht="98.25" hidden="false" customHeight="true" outlineLevel="0" collapsed="false">
      <c r="A665" s="62" t="n">
        <f aca="false">A664+1</f>
        <v>658</v>
      </c>
      <c r="B665" s="63" t="e">
        <f aca="false">VLOOKUP(A665,BD_ORDENES!A:BG,12,FALSE())</f>
        <v>#N/A</v>
      </c>
      <c r="C665" s="64" t="n">
        <v>658</v>
      </c>
      <c r="D665" s="65" t="e">
        <f aca="false">VLOOKUP(A665,BD_ORDENES!A:BE,10,0)</f>
        <v>#N/A</v>
      </c>
      <c r="E665" s="66" t="e">
        <f aca="false">VLOOKUP(A665,BD_ORDENES!A:BG,4,FALSE())</f>
        <v>#N/A</v>
      </c>
      <c r="F665" s="66" t="e">
        <f aca="false">VLOOKUP(A665,BD_ORDENES!A:BE,56,FALSE())</f>
        <v>#N/A</v>
      </c>
      <c r="G665" s="67" t="e">
        <f aca="false">VLOOKUP(A665,BD_ORDENES!A:BE,13,FALSE())</f>
        <v>#N/A</v>
      </c>
      <c r="H665" s="68" t="e">
        <f aca="false">VLOOKUP(A665,BD_ORDENES!A:BE,17,FALSE())</f>
        <v>#N/A</v>
      </c>
      <c r="I665" s="68" t="e">
        <f aca="false">VLOOKUP(A665,BD_ORDENES!A:BE,18,FALSE())</f>
        <v>#N/A</v>
      </c>
      <c r="J665" s="68" t="e">
        <f aca="false">VLOOKUP(A665,BD_ORDENES!A:BE,19,FALSE())</f>
        <v>#N/A</v>
      </c>
      <c r="K665" s="68" t="e">
        <f aca="false">VLOOKUP(A665,BD_ORDENES!A:BE,20,FALSE())</f>
        <v>#N/A</v>
      </c>
      <c r="L665" s="68" t="e">
        <f aca="false">VLOOKUP(A665,BD_ORDENES!A:BE,21,FALSE())</f>
        <v>#N/A</v>
      </c>
      <c r="M665" s="69" t="e">
        <f aca="false">VLOOKUP(A665,BD_ORDENES!A:BE,14,FALSE())</f>
        <v>#N/A</v>
      </c>
      <c r="N665" s="68" t="e">
        <f aca="false">VLOOKUP(A665,BD_ORDENES!A:BE,15,FALSE())</f>
        <v>#N/A</v>
      </c>
      <c r="O665" s="68" t="e">
        <f aca="false">VLOOKUP(A665,BD_ORDENES!A:BE,33,FALSE())</f>
        <v>#N/A</v>
      </c>
      <c r="P665" s="68" t="e">
        <f aca="false">VLOOKUP(A665,BD_ORDENES!A:BE,23,FALSE())</f>
        <v>#N/A</v>
      </c>
      <c r="Q665" s="68" t="e">
        <f aca="false">VLOOKUP(A665,BD_ORDENES!A:BE,52,FALSE())</f>
        <v>#N/A</v>
      </c>
      <c r="R665" s="68" t="e">
        <f aca="false">VLOOKUP(A665,BD_ORDENES!A:BE,25,FALSE())</f>
        <v>#N/A</v>
      </c>
      <c r="S665" s="68" t="e">
        <f aca="false">VLOOKUP(A665,BD_ORDENES!A:BE,22,FALSE())</f>
        <v>#N/A</v>
      </c>
      <c r="T665" s="65" t="e">
        <f aca="false">VLOOKUP(A665,BD_ORDENES!A:BE,55,FALSE())</f>
        <v>#N/A</v>
      </c>
      <c r="U665" s="68" t="e">
        <f aca="false">VLOOKUP(A665,BD_ORDENES!A:BE,57,FALSE())</f>
        <v>#N/A</v>
      </c>
      <c r="V665" s="70"/>
      <c r="W665" s="71"/>
    </row>
    <row r="666" s="72" customFormat="true" ht="98.25" hidden="false" customHeight="true" outlineLevel="0" collapsed="false">
      <c r="A666" s="62" t="n">
        <f aca="false">A665+1</f>
        <v>659</v>
      </c>
      <c r="B666" s="63" t="e">
        <f aca="false">VLOOKUP(A666,BD_ORDENES!A:BG,12,FALSE())</f>
        <v>#N/A</v>
      </c>
      <c r="C666" s="64" t="n">
        <v>659</v>
      </c>
      <c r="D666" s="65" t="e">
        <f aca="false">VLOOKUP(A666,BD_ORDENES!A:BE,10,0)</f>
        <v>#N/A</v>
      </c>
      <c r="E666" s="66" t="e">
        <f aca="false">VLOOKUP(A666,BD_ORDENES!A:BG,4,FALSE())</f>
        <v>#N/A</v>
      </c>
      <c r="F666" s="66" t="e">
        <f aca="false">VLOOKUP(A666,BD_ORDENES!A:BE,56,FALSE())</f>
        <v>#N/A</v>
      </c>
      <c r="G666" s="67" t="e">
        <f aca="false">VLOOKUP(A666,BD_ORDENES!A:BE,13,FALSE())</f>
        <v>#N/A</v>
      </c>
      <c r="H666" s="68" t="e">
        <f aca="false">VLOOKUP(A666,BD_ORDENES!A:BE,17,FALSE())</f>
        <v>#N/A</v>
      </c>
      <c r="I666" s="68" t="e">
        <f aca="false">VLOOKUP(A666,BD_ORDENES!A:BE,18,FALSE())</f>
        <v>#N/A</v>
      </c>
      <c r="J666" s="68" t="e">
        <f aca="false">VLOOKUP(A666,BD_ORDENES!A:BE,19,FALSE())</f>
        <v>#N/A</v>
      </c>
      <c r="K666" s="68" t="e">
        <f aca="false">VLOOKUP(A666,BD_ORDENES!A:BE,20,FALSE())</f>
        <v>#N/A</v>
      </c>
      <c r="L666" s="68" t="e">
        <f aca="false">VLOOKUP(A666,BD_ORDENES!A:BE,21,FALSE())</f>
        <v>#N/A</v>
      </c>
      <c r="M666" s="69" t="e">
        <f aca="false">VLOOKUP(A666,BD_ORDENES!A:BE,14,FALSE())</f>
        <v>#N/A</v>
      </c>
      <c r="N666" s="68" t="e">
        <f aca="false">VLOOKUP(A666,BD_ORDENES!A:BE,15,FALSE())</f>
        <v>#N/A</v>
      </c>
      <c r="O666" s="68" t="e">
        <f aca="false">VLOOKUP(A666,BD_ORDENES!A:BE,33,FALSE())</f>
        <v>#N/A</v>
      </c>
      <c r="P666" s="68" t="e">
        <f aca="false">VLOOKUP(A666,BD_ORDENES!A:BE,23,FALSE())</f>
        <v>#N/A</v>
      </c>
      <c r="Q666" s="68" t="e">
        <f aca="false">VLOOKUP(A666,BD_ORDENES!A:BE,52,FALSE())</f>
        <v>#N/A</v>
      </c>
      <c r="R666" s="68" t="e">
        <f aca="false">VLOOKUP(A666,BD_ORDENES!A:BE,25,FALSE())</f>
        <v>#N/A</v>
      </c>
      <c r="S666" s="68" t="e">
        <f aca="false">VLOOKUP(A666,BD_ORDENES!A:BE,22,FALSE())</f>
        <v>#N/A</v>
      </c>
      <c r="T666" s="65" t="e">
        <f aca="false">VLOOKUP(A666,BD_ORDENES!A:BE,55,FALSE())</f>
        <v>#N/A</v>
      </c>
      <c r="U666" s="68" t="e">
        <f aca="false">VLOOKUP(A666,BD_ORDENES!A:BE,57,FALSE())</f>
        <v>#N/A</v>
      </c>
      <c r="V666" s="70"/>
      <c r="W666" s="71"/>
    </row>
    <row r="667" s="72" customFormat="true" ht="98.25" hidden="false" customHeight="true" outlineLevel="0" collapsed="false">
      <c r="A667" s="62" t="n">
        <f aca="false">A666+1</f>
        <v>660</v>
      </c>
      <c r="B667" s="63" t="e">
        <f aca="false">VLOOKUP(A667,BD_ORDENES!A:BG,12,FALSE())</f>
        <v>#N/A</v>
      </c>
      <c r="C667" s="64" t="n">
        <v>660</v>
      </c>
      <c r="D667" s="65" t="e">
        <f aca="false">VLOOKUP(A667,BD_ORDENES!A:BE,10,0)</f>
        <v>#N/A</v>
      </c>
      <c r="E667" s="66" t="e">
        <f aca="false">VLOOKUP(A667,BD_ORDENES!A:BG,4,FALSE())</f>
        <v>#N/A</v>
      </c>
      <c r="F667" s="66" t="e">
        <f aca="false">VLOOKUP(A667,BD_ORDENES!A:BE,56,FALSE())</f>
        <v>#N/A</v>
      </c>
      <c r="G667" s="67" t="e">
        <f aca="false">VLOOKUP(A667,BD_ORDENES!A:BE,13,FALSE())</f>
        <v>#N/A</v>
      </c>
      <c r="H667" s="68" t="e">
        <f aca="false">VLOOKUP(A667,BD_ORDENES!A:BE,17,FALSE())</f>
        <v>#N/A</v>
      </c>
      <c r="I667" s="68" t="e">
        <f aca="false">VLOOKUP(A667,BD_ORDENES!A:BE,18,FALSE())</f>
        <v>#N/A</v>
      </c>
      <c r="J667" s="68" t="e">
        <f aca="false">VLOOKUP(A667,BD_ORDENES!A:BE,19,FALSE())</f>
        <v>#N/A</v>
      </c>
      <c r="K667" s="68" t="e">
        <f aca="false">VLOOKUP(A667,BD_ORDENES!A:BE,20,FALSE())</f>
        <v>#N/A</v>
      </c>
      <c r="L667" s="68" t="e">
        <f aca="false">VLOOKUP(A667,BD_ORDENES!A:BE,21,FALSE())</f>
        <v>#N/A</v>
      </c>
      <c r="M667" s="69" t="e">
        <f aca="false">VLOOKUP(A667,BD_ORDENES!A:BE,14,FALSE())</f>
        <v>#N/A</v>
      </c>
      <c r="N667" s="68" t="e">
        <f aca="false">VLOOKUP(A667,BD_ORDENES!A:BE,15,FALSE())</f>
        <v>#N/A</v>
      </c>
      <c r="O667" s="68" t="e">
        <f aca="false">VLOOKUP(A667,BD_ORDENES!A:BE,33,FALSE())</f>
        <v>#N/A</v>
      </c>
      <c r="P667" s="68" t="e">
        <f aca="false">VLOOKUP(A667,BD_ORDENES!A:BE,23,FALSE())</f>
        <v>#N/A</v>
      </c>
      <c r="Q667" s="68" t="e">
        <f aca="false">VLOOKUP(A667,BD_ORDENES!A:BE,52,FALSE())</f>
        <v>#N/A</v>
      </c>
      <c r="R667" s="68" t="e">
        <f aca="false">VLOOKUP(A667,BD_ORDENES!A:BE,25,FALSE())</f>
        <v>#N/A</v>
      </c>
      <c r="S667" s="68" t="e">
        <f aca="false">VLOOKUP(A667,BD_ORDENES!A:BE,22,FALSE())</f>
        <v>#N/A</v>
      </c>
      <c r="T667" s="65" t="e">
        <f aca="false">VLOOKUP(A667,BD_ORDENES!A:BE,55,FALSE())</f>
        <v>#N/A</v>
      </c>
      <c r="U667" s="68" t="e">
        <f aca="false">VLOOKUP(A667,BD_ORDENES!A:BE,57,FALSE())</f>
        <v>#N/A</v>
      </c>
      <c r="V667" s="70"/>
      <c r="W667" s="71"/>
    </row>
    <row r="668" s="72" customFormat="true" ht="98.25" hidden="false" customHeight="true" outlineLevel="0" collapsed="false">
      <c r="A668" s="62" t="n">
        <f aca="false">A667+1</f>
        <v>661</v>
      </c>
      <c r="B668" s="63" t="e">
        <f aca="false">VLOOKUP(A668,BD_ORDENES!A:BG,12,FALSE())</f>
        <v>#N/A</v>
      </c>
      <c r="C668" s="64" t="n">
        <v>661</v>
      </c>
      <c r="D668" s="65" t="e">
        <f aca="false">VLOOKUP(A668,BD_ORDENES!A:BE,10,0)</f>
        <v>#N/A</v>
      </c>
      <c r="E668" s="66" t="e">
        <f aca="false">VLOOKUP(A668,BD_ORDENES!A:BG,4,FALSE())</f>
        <v>#N/A</v>
      </c>
      <c r="F668" s="66" t="e">
        <f aca="false">VLOOKUP(A668,BD_ORDENES!A:BE,56,FALSE())</f>
        <v>#N/A</v>
      </c>
      <c r="G668" s="67" t="e">
        <f aca="false">VLOOKUP(A668,BD_ORDENES!A:BE,13,FALSE())</f>
        <v>#N/A</v>
      </c>
      <c r="H668" s="68" t="e">
        <f aca="false">VLOOKUP(A668,BD_ORDENES!A:BE,17,FALSE())</f>
        <v>#N/A</v>
      </c>
      <c r="I668" s="68" t="e">
        <f aca="false">VLOOKUP(A668,BD_ORDENES!A:BE,18,FALSE())</f>
        <v>#N/A</v>
      </c>
      <c r="J668" s="68" t="e">
        <f aca="false">VLOOKUP(A668,BD_ORDENES!A:BE,19,FALSE())</f>
        <v>#N/A</v>
      </c>
      <c r="K668" s="68" t="e">
        <f aca="false">VLOOKUP(A668,BD_ORDENES!A:BE,20,FALSE())</f>
        <v>#N/A</v>
      </c>
      <c r="L668" s="68" t="e">
        <f aca="false">VLOOKUP(A668,BD_ORDENES!A:BE,21,FALSE())</f>
        <v>#N/A</v>
      </c>
      <c r="M668" s="69" t="e">
        <f aca="false">VLOOKUP(A668,BD_ORDENES!A:BE,14,FALSE())</f>
        <v>#N/A</v>
      </c>
      <c r="N668" s="68" t="e">
        <f aca="false">VLOOKUP(A668,BD_ORDENES!A:BE,15,FALSE())</f>
        <v>#N/A</v>
      </c>
      <c r="O668" s="68" t="e">
        <f aca="false">VLOOKUP(A668,BD_ORDENES!A:BE,33,FALSE())</f>
        <v>#N/A</v>
      </c>
      <c r="P668" s="68" t="e">
        <f aca="false">VLOOKUP(A668,BD_ORDENES!A:BE,23,FALSE())</f>
        <v>#N/A</v>
      </c>
      <c r="Q668" s="68" t="e">
        <f aca="false">VLOOKUP(A668,BD_ORDENES!A:BE,52,FALSE())</f>
        <v>#N/A</v>
      </c>
      <c r="R668" s="68" t="e">
        <f aca="false">VLOOKUP(A668,BD_ORDENES!A:BE,25,FALSE())</f>
        <v>#N/A</v>
      </c>
      <c r="S668" s="68" t="e">
        <f aca="false">VLOOKUP(A668,BD_ORDENES!A:BE,22,FALSE())</f>
        <v>#N/A</v>
      </c>
      <c r="T668" s="65" t="e">
        <f aca="false">VLOOKUP(A668,BD_ORDENES!A:BE,55,FALSE())</f>
        <v>#N/A</v>
      </c>
      <c r="U668" s="68" t="e">
        <f aca="false">VLOOKUP(A668,BD_ORDENES!A:BE,57,FALSE())</f>
        <v>#N/A</v>
      </c>
      <c r="V668" s="70"/>
      <c r="W668" s="71"/>
    </row>
    <row r="669" s="72" customFormat="true" ht="98.25" hidden="false" customHeight="true" outlineLevel="0" collapsed="false">
      <c r="A669" s="62" t="n">
        <f aca="false">A668+1</f>
        <v>662</v>
      </c>
      <c r="B669" s="63" t="e">
        <f aca="false">VLOOKUP(A669,BD_ORDENES!A:BG,12,FALSE())</f>
        <v>#N/A</v>
      </c>
      <c r="C669" s="64" t="n">
        <v>662</v>
      </c>
      <c r="D669" s="65" t="e">
        <f aca="false">VLOOKUP(A669,BD_ORDENES!A:BE,10,0)</f>
        <v>#N/A</v>
      </c>
      <c r="E669" s="66" t="e">
        <f aca="false">VLOOKUP(A669,BD_ORDENES!A:BG,4,FALSE())</f>
        <v>#N/A</v>
      </c>
      <c r="F669" s="66" t="e">
        <f aca="false">VLOOKUP(A669,BD_ORDENES!A:BE,56,FALSE())</f>
        <v>#N/A</v>
      </c>
      <c r="G669" s="67" t="e">
        <f aca="false">VLOOKUP(A669,BD_ORDENES!A:BE,13,FALSE())</f>
        <v>#N/A</v>
      </c>
      <c r="H669" s="68" t="e">
        <f aca="false">VLOOKUP(A669,BD_ORDENES!A:BE,17,FALSE())</f>
        <v>#N/A</v>
      </c>
      <c r="I669" s="68" t="e">
        <f aca="false">VLOOKUP(A669,BD_ORDENES!A:BE,18,FALSE())</f>
        <v>#N/A</v>
      </c>
      <c r="J669" s="68" t="e">
        <f aca="false">VLOOKUP(A669,BD_ORDENES!A:BE,19,FALSE())</f>
        <v>#N/A</v>
      </c>
      <c r="K669" s="68" t="e">
        <f aca="false">VLOOKUP(A669,BD_ORDENES!A:BE,20,FALSE())</f>
        <v>#N/A</v>
      </c>
      <c r="L669" s="68" t="e">
        <f aca="false">VLOOKUP(A669,BD_ORDENES!A:BE,21,FALSE())</f>
        <v>#N/A</v>
      </c>
      <c r="M669" s="69" t="e">
        <f aca="false">VLOOKUP(A669,BD_ORDENES!A:BE,14,FALSE())</f>
        <v>#N/A</v>
      </c>
      <c r="N669" s="68" t="e">
        <f aca="false">VLOOKUP(A669,BD_ORDENES!A:BE,15,FALSE())</f>
        <v>#N/A</v>
      </c>
      <c r="O669" s="68" t="e">
        <f aca="false">VLOOKUP(A669,BD_ORDENES!A:BE,33,FALSE())</f>
        <v>#N/A</v>
      </c>
      <c r="P669" s="68" t="e">
        <f aca="false">VLOOKUP(A669,BD_ORDENES!A:BE,23,FALSE())</f>
        <v>#N/A</v>
      </c>
      <c r="Q669" s="68" t="e">
        <f aca="false">VLOOKUP(A669,BD_ORDENES!A:BE,52,FALSE())</f>
        <v>#N/A</v>
      </c>
      <c r="R669" s="68" t="e">
        <f aca="false">VLOOKUP(A669,BD_ORDENES!A:BE,25,FALSE())</f>
        <v>#N/A</v>
      </c>
      <c r="S669" s="68" t="e">
        <f aca="false">VLOOKUP(A669,BD_ORDENES!A:BE,22,FALSE())</f>
        <v>#N/A</v>
      </c>
      <c r="T669" s="65" t="e">
        <f aca="false">VLOOKUP(A669,BD_ORDENES!A:BE,55,FALSE())</f>
        <v>#N/A</v>
      </c>
      <c r="U669" s="68" t="e">
        <f aca="false">VLOOKUP(A669,BD_ORDENES!A:BE,57,FALSE())</f>
        <v>#N/A</v>
      </c>
      <c r="V669" s="70"/>
      <c r="W669" s="71"/>
    </row>
    <row r="670" s="72" customFormat="true" ht="98.25" hidden="false" customHeight="true" outlineLevel="0" collapsed="false">
      <c r="A670" s="62" t="n">
        <f aca="false">A669+1</f>
        <v>663</v>
      </c>
      <c r="B670" s="63" t="e">
        <f aca="false">VLOOKUP(A670,BD_ORDENES!A:BG,12,FALSE())</f>
        <v>#N/A</v>
      </c>
      <c r="C670" s="64" t="n">
        <v>663</v>
      </c>
      <c r="D670" s="65" t="e">
        <f aca="false">VLOOKUP(A670,BD_ORDENES!A:BE,10,0)</f>
        <v>#N/A</v>
      </c>
      <c r="E670" s="66" t="e">
        <f aca="false">VLOOKUP(A670,BD_ORDENES!A:BG,4,FALSE())</f>
        <v>#N/A</v>
      </c>
      <c r="F670" s="66" t="e">
        <f aca="false">VLOOKUP(A670,BD_ORDENES!A:BE,56,FALSE())</f>
        <v>#N/A</v>
      </c>
      <c r="G670" s="67" t="e">
        <f aca="false">VLOOKUP(A670,BD_ORDENES!A:BE,13,FALSE())</f>
        <v>#N/A</v>
      </c>
      <c r="H670" s="68" t="e">
        <f aca="false">VLOOKUP(A670,BD_ORDENES!A:BE,17,FALSE())</f>
        <v>#N/A</v>
      </c>
      <c r="I670" s="68" t="e">
        <f aca="false">VLOOKUP(A670,BD_ORDENES!A:BE,18,FALSE())</f>
        <v>#N/A</v>
      </c>
      <c r="J670" s="68" t="e">
        <f aca="false">VLOOKUP(A670,BD_ORDENES!A:BE,19,FALSE())</f>
        <v>#N/A</v>
      </c>
      <c r="K670" s="68" t="e">
        <f aca="false">VLOOKUP(A670,BD_ORDENES!A:BE,20,FALSE())</f>
        <v>#N/A</v>
      </c>
      <c r="L670" s="68" t="e">
        <f aca="false">VLOOKUP(A670,BD_ORDENES!A:BE,21,FALSE())</f>
        <v>#N/A</v>
      </c>
      <c r="M670" s="69" t="e">
        <f aca="false">VLOOKUP(A670,BD_ORDENES!A:BE,14,FALSE())</f>
        <v>#N/A</v>
      </c>
      <c r="N670" s="68" t="e">
        <f aca="false">VLOOKUP(A670,BD_ORDENES!A:BE,15,FALSE())</f>
        <v>#N/A</v>
      </c>
      <c r="O670" s="68" t="e">
        <f aca="false">VLOOKUP(A670,BD_ORDENES!A:BE,33,FALSE())</f>
        <v>#N/A</v>
      </c>
      <c r="P670" s="68" t="e">
        <f aca="false">VLOOKUP(A670,BD_ORDENES!A:BE,23,FALSE())</f>
        <v>#N/A</v>
      </c>
      <c r="Q670" s="68" t="e">
        <f aca="false">VLOOKUP(A670,BD_ORDENES!A:BE,52,FALSE())</f>
        <v>#N/A</v>
      </c>
      <c r="R670" s="68" t="e">
        <f aca="false">VLOOKUP(A670,BD_ORDENES!A:BE,25,FALSE())</f>
        <v>#N/A</v>
      </c>
      <c r="S670" s="68" t="e">
        <f aca="false">VLOOKUP(A670,BD_ORDENES!A:BE,22,FALSE())</f>
        <v>#N/A</v>
      </c>
      <c r="T670" s="65" t="e">
        <f aca="false">VLOOKUP(A670,BD_ORDENES!A:BE,55,FALSE())</f>
        <v>#N/A</v>
      </c>
      <c r="U670" s="68" t="e">
        <f aca="false">VLOOKUP(A670,BD_ORDENES!A:BE,57,FALSE())</f>
        <v>#N/A</v>
      </c>
      <c r="V670" s="70"/>
      <c r="W670" s="71"/>
    </row>
    <row r="671" s="72" customFormat="true" ht="98.25" hidden="false" customHeight="true" outlineLevel="0" collapsed="false">
      <c r="A671" s="62" t="n">
        <f aca="false">A670+1</f>
        <v>664</v>
      </c>
      <c r="B671" s="63" t="e">
        <f aca="false">VLOOKUP(A671,BD_ORDENES!A:BG,12,FALSE())</f>
        <v>#N/A</v>
      </c>
      <c r="C671" s="64" t="n">
        <v>664</v>
      </c>
      <c r="D671" s="65" t="e">
        <f aca="false">VLOOKUP(A671,BD_ORDENES!A:BE,10,0)</f>
        <v>#N/A</v>
      </c>
      <c r="E671" s="66" t="e">
        <f aca="false">VLOOKUP(A671,BD_ORDENES!A:BG,4,FALSE())</f>
        <v>#N/A</v>
      </c>
      <c r="F671" s="66" t="e">
        <f aca="false">VLOOKUP(A671,BD_ORDENES!A:BE,56,FALSE())</f>
        <v>#N/A</v>
      </c>
      <c r="G671" s="67" t="e">
        <f aca="false">VLOOKUP(A671,BD_ORDENES!A:BE,13,FALSE())</f>
        <v>#N/A</v>
      </c>
      <c r="H671" s="68" t="e">
        <f aca="false">VLOOKUP(A671,BD_ORDENES!A:BE,17,FALSE())</f>
        <v>#N/A</v>
      </c>
      <c r="I671" s="68" t="e">
        <f aca="false">VLOOKUP(A671,BD_ORDENES!A:BE,18,FALSE())</f>
        <v>#N/A</v>
      </c>
      <c r="J671" s="68" t="e">
        <f aca="false">VLOOKUP(A671,BD_ORDENES!A:BE,19,FALSE())</f>
        <v>#N/A</v>
      </c>
      <c r="K671" s="68" t="e">
        <f aca="false">VLOOKUP(A671,BD_ORDENES!A:BE,20,FALSE())</f>
        <v>#N/A</v>
      </c>
      <c r="L671" s="68" t="e">
        <f aca="false">VLOOKUP(A671,BD_ORDENES!A:BE,21,FALSE())</f>
        <v>#N/A</v>
      </c>
      <c r="M671" s="69" t="e">
        <f aca="false">VLOOKUP(A671,BD_ORDENES!A:BE,14,FALSE())</f>
        <v>#N/A</v>
      </c>
      <c r="N671" s="68" t="e">
        <f aca="false">VLOOKUP(A671,BD_ORDENES!A:BE,15,FALSE())</f>
        <v>#N/A</v>
      </c>
      <c r="O671" s="68" t="e">
        <f aca="false">VLOOKUP(A671,BD_ORDENES!A:BE,33,FALSE())</f>
        <v>#N/A</v>
      </c>
      <c r="P671" s="68" t="e">
        <f aca="false">VLOOKUP(A671,BD_ORDENES!A:BE,23,FALSE())</f>
        <v>#N/A</v>
      </c>
      <c r="Q671" s="68" t="e">
        <f aca="false">VLOOKUP(A671,BD_ORDENES!A:BE,52,FALSE())</f>
        <v>#N/A</v>
      </c>
      <c r="R671" s="68" t="e">
        <f aca="false">VLOOKUP(A671,BD_ORDENES!A:BE,25,FALSE())</f>
        <v>#N/A</v>
      </c>
      <c r="S671" s="68" t="e">
        <f aca="false">VLOOKUP(A671,BD_ORDENES!A:BE,22,FALSE())</f>
        <v>#N/A</v>
      </c>
      <c r="T671" s="65" t="e">
        <f aca="false">VLOOKUP(A671,BD_ORDENES!A:BE,55,FALSE())</f>
        <v>#N/A</v>
      </c>
      <c r="U671" s="68" t="e">
        <f aca="false">VLOOKUP(A671,BD_ORDENES!A:BE,57,FALSE())</f>
        <v>#N/A</v>
      </c>
      <c r="V671" s="70"/>
      <c r="W671" s="71"/>
    </row>
    <row r="672" s="72" customFormat="true" ht="98.25" hidden="false" customHeight="true" outlineLevel="0" collapsed="false">
      <c r="A672" s="62" t="n">
        <f aca="false">A671+1</f>
        <v>665</v>
      </c>
      <c r="B672" s="63" t="e">
        <f aca="false">VLOOKUP(A672,BD_ORDENES!A:BG,12,FALSE())</f>
        <v>#N/A</v>
      </c>
      <c r="C672" s="64" t="n">
        <v>665</v>
      </c>
      <c r="D672" s="65" t="e">
        <f aca="false">VLOOKUP(A672,BD_ORDENES!A:BE,10,0)</f>
        <v>#N/A</v>
      </c>
      <c r="E672" s="66" t="e">
        <f aca="false">VLOOKUP(A672,BD_ORDENES!A:BG,4,FALSE())</f>
        <v>#N/A</v>
      </c>
      <c r="F672" s="66" t="e">
        <f aca="false">VLOOKUP(A672,BD_ORDENES!A:BE,56,FALSE())</f>
        <v>#N/A</v>
      </c>
      <c r="G672" s="67" t="e">
        <f aca="false">VLOOKUP(A672,BD_ORDENES!A:BE,13,FALSE())</f>
        <v>#N/A</v>
      </c>
      <c r="H672" s="68" t="e">
        <f aca="false">VLOOKUP(A672,BD_ORDENES!A:BE,17,FALSE())</f>
        <v>#N/A</v>
      </c>
      <c r="I672" s="68" t="e">
        <f aca="false">VLOOKUP(A672,BD_ORDENES!A:BE,18,FALSE())</f>
        <v>#N/A</v>
      </c>
      <c r="J672" s="68" t="e">
        <f aca="false">VLOOKUP(A672,BD_ORDENES!A:BE,19,FALSE())</f>
        <v>#N/A</v>
      </c>
      <c r="K672" s="68" t="e">
        <f aca="false">VLOOKUP(A672,BD_ORDENES!A:BE,20,FALSE())</f>
        <v>#N/A</v>
      </c>
      <c r="L672" s="68" t="e">
        <f aca="false">VLOOKUP(A672,BD_ORDENES!A:BE,21,FALSE())</f>
        <v>#N/A</v>
      </c>
      <c r="M672" s="69" t="e">
        <f aca="false">VLOOKUP(A672,BD_ORDENES!A:BE,14,FALSE())</f>
        <v>#N/A</v>
      </c>
      <c r="N672" s="68" t="e">
        <f aca="false">VLOOKUP(A672,BD_ORDENES!A:BE,15,FALSE())</f>
        <v>#N/A</v>
      </c>
      <c r="O672" s="68" t="e">
        <f aca="false">VLOOKUP(A672,BD_ORDENES!A:BE,33,FALSE())</f>
        <v>#N/A</v>
      </c>
      <c r="P672" s="68" t="e">
        <f aca="false">VLOOKUP(A672,BD_ORDENES!A:BE,23,FALSE())</f>
        <v>#N/A</v>
      </c>
      <c r="Q672" s="68" t="e">
        <f aca="false">VLOOKUP(A672,BD_ORDENES!A:BE,52,FALSE())</f>
        <v>#N/A</v>
      </c>
      <c r="R672" s="68" t="e">
        <f aca="false">VLOOKUP(A672,BD_ORDENES!A:BE,25,FALSE())</f>
        <v>#N/A</v>
      </c>
      <c r="S672" s="68" t="e">
        <f aca="false">VLOOKUP(A672,BD_ORDENES!A:BE,22,FALSE())</f>
        <v>#N/A</v>
      </c>
      <c r="T672" s="65" t="e">
        <f aca="false">VLOOKUP(A672,BD_ORDENES!A:BE,55,FALSE())</f>
        <v>#N/A</v>
      </c>
      <c r="U672" s="68" t="e">
        <f aca="false">VLOOKUP(A672,BD_ORDENES!A:BE,57,FALSE())</f>
        <v>#N/A</v>
      </c>
      <c r="V672" s="70"/>
      <c r="W672" s="71"/>
    </row>
    <row r="673" s="72" customFormat="true" ht="98.25" hidden="false" customHeight="true" outlineLevel="0" collapsed="false">
      <c r="A673" s="62" t="n">
        <f aca="false">A672+1</f>
        <v>666</v>
      </c>
      <c r="B673" s="63" t="e">
        <f aca="false">VLOOKUP(A673,BD_ORDENES!A:BG,12,FALSE())</f>
        <v>#N/A</v>
      </c>
      <c r="C673" s="64" t="n">
        <v>666</v>
      </c>
      <c r="D673" s="65" t="e">
        <f aca="false">VLOOKUP(A673,BD_ORDENES!A:BE,10,0)</f>
        <v>#N/A</v>
      </c>
      <c r="E673" s="66" t="e">
        <f aca="false">VLOOKUP(A673,BD_ORDENES!A:BG,4,FALSE())</f>
        <v>#N/A</v>
      </c>
      <c r="F673" s="66" t="e">
        <f aca="false">VLOOKUP(A673,BD_ORDENES!A:BE,56,FALSE())</f>
        <v>#N/A</v>
      </c>
      <c r="G673" s="67" t="e">
        <f aca="false">VLOOKUP(A673,BD_ORDENES!A:BE,13,FALSE())</f>
        <v>#N/A</v>
      </c>
      <c r="H673" s="68" t="e">
        <f aca="false">VLOOKUP(A673,BD_ORDENES!A:BE,17,FALSE())</f>
        <v>#N/A</v>
      </c>
      <c r="I673" s="68" t="e">
        <f aca="false">VLOOKUP(A673,BD_ORDENES!A:BE,18,FALSE())</f>
        <v>#N/A</v>
      </c>
      <c r="J673" s="68" t="e">
        <f aca="false">VLOOKUP(A673,BD_ORDENES!A:BE,19,FALSE())</f>
        <v>#N/A</v>
      </c>
      <c r="K673" s="68" t="e">
        <f aca="false">VLOOKUP(A673,BD_ORDENES!A:BE,20,FALSE())</f>
        <v>#N/A</v>
      </c>
      <c r="L673" s="68" t="e">
        <f aca="false">VLOOKUP(A673,BD_ORDENES!A:BE,21,FALSE())</f>
        <v>#N/A</v>
      </c>
      <c r="M673" s="69" t="e">
        <f aca="false">VLOOKUP(A673,BD_ORDENES!A:BE,14,FALSE())</f>
        <v>#N/A</v>
      </c>
      <c r="N673" s="68" t="e">
        <f aca="false">VLOOKUP(A673,BD_ORDENES!A:BE,15,FALSE())</f>
        <v>#N/A</v>
      </c>
      <c r="O673" s="68" t="e">
        <f aca="false">VLOOKUP(A673,BD_ORDENES!A:BE,33,FALSE())</f>
        <v>#N/A</v>
      </c>
      <c r="P673" s="68" t="e">
        <f aca="false">VLOOKUP(A673,BD_ORDENES!A:BE,23,FALSE())</f>
        <v>#N/A</v>
      </c>
      <c r="Q673" s="68" t="e">
        <f aca="false">VLOOKUP(A673,BD_ORDENES!A:BE,52,FALSE())</f>
        <v>#N/A</v>
      </c>
      <c r="R673" s="68" t="e">
        <f aca="false">VLOOKUP(A673,BD_ORDENES!A:BE,25,FALSE())</f>
        <v>#N/A</v>
      </c>
      <c r="S673" s="68" t="e">
        <f aca="false">VLOOKUP(A673,BD_ORDENES!A:BE,22,FALSE())</f>
        <v>#N/A</v>
      </c>
      <c r="T673" s="65" t="e">
        <f aca="false">VLOOKUP(A673,BD_ORDENES!A:BE,55,FALSE())</f>
        <v>#N/A</v>
      </c>
      <c r="U673" s="68" t="e">
        <f aca="false">VLOOKUP(A673,BD_ORDENES!A:BE,57,FALSE())</f>
        <v>#N/A</v>
      </c>
      <c r="V673" s="70"/>
      <c r="W673" s="71"/>
    </row>
    <row r="674" s="72" customFormat="true" ht="98.25" hidden="false" customHeight="true" outlineLevel="0" collapsed="false">
      <c r="A674" s="62" t="n">
        <f aca="false">A673+1</f>
        <v>667</v>
      </c>
      <c r="B674" s="63" t="e">
        <f aca="false">VLOOKUP(A674,BD_ORDENES!A:BG,12,FALSE())</f>
        <v>#N/A</v>
      </c>
      <c r="C674" s="64" t="n">
        <v>667</v>
      </c>
      <c r="D674" s="65" t="e">
        <f aca="false">VLOOKUP(A674,BD_ORDENES!A:BE,10,0)</f>
        <v>#N/A</v>
      </c>
      <c r="E674" s="66" t="e">
        <f aca="false">VLOOKUP(A674,BD_ORDENES!A:BG,4,FALSE())</f>
        <v>#N/A</v>
      </c>
      <c r="F674" s="66" t="e">
        <f aca="false">VLOOKUP(A674,BD_ORDENES!A:BE,56,FALSE())</f>
        <v>#N/A</v>
      </c>
      <c r="G674" s="67" t="e">
        <f aca="false">VLOOKUP(A674,BD_ORDENES!A:BE,13,FALSE())</f>
        <v>#N/A</v>
      </c>
      <c r="H674" s="68" t="e">
        <f aca="false">VLOOKUP(A674,BD_ORDENES!A:BE,17,FALSE())</f>
        <v>#N/A</v>
      </c>
      <c r="I674" s="68" t="e">
        <f aca="false">VLOOKUP(A674,BD_ORDENES!A:BE,18,FALSE())</f>
        <v>#N/A</v>
      </c>
      <c r="J674" s="68" t="e">
        <f aca="false">VLOOKUP(A674,BD_ORDENES!A:BE,19,FALSE())</f>
        <v>#N/A</v>
      </c>
      <c r="K674" s="68" t="e">
        <f aca="false">VLOOKUP(A674,BD_ORDENES!A:BE,20,FALSE())</f>
        <v>#N/A</v>
      </c>
      <c r="L674" s="68" t="e">
        <f aca="false">VLOOKUP(A674,BD_ORDENES!A:BE,21,FALSE())</f>
        <v>#N/A</v>
      </c>
      <c r="M674" s="69" t="e">
        <f aca="false">VLOOKUP(A674,BD_ORDENES!A:BE,14,FALSE())</f>
        <v>#N/A</v>
      </c>
      <c r="N674" s="68" t="e">
        <f aca="false">VLOOKUP(A674,BD_ORDENES!A:BE,15,FALSE())</f>
        <v>#N/A</v>
      </c>
      <c r="O674" s="68" t="e">
        <f aca="false">VLOOKUP(A674,BD_ORDENES!A:BE,33,FALSE())</f>
        <v>#N/A</v>
      </c>
      <c r="P674" s="68" t="e">
        <f aca="false">VLOOKUP(A674,BD_ORDENES!A:BE,23,FALSE())</f>
        <v>#N/A</v>
      </c>
      <c r="Q674" s="68" t="e">
        <f aca="false">VLOOKUP(A674,BD_ORDENES!A:BE,52,FALSE())</f>
        <v>#N/A</v>
      </c>
      <c r="R674" s="68" t="e">
        <f aca="false">VLOOKUP(A674,BD_ORDENES!A:BE,25,FALSE())</f>
        <v>#N/A</v>
      </c>
      <c r="S674" s="68" t="e">
        <f aca="false">VLOOKUP(A674,BD_ORDENES!A:BE,22,FALSE())</f>
        <v>#N/A</v>
      </c>
      <c r="T674" s="65" t="e">
        <f aca="false">VLOOKUP(A674,BD_ORDENES!A:BE,55,FALSE())</f>
        <v>#N/A</v>
      </c>
      <c r="U674" s="68" t="e">
        <f aca="false">VLOOKUP(A674,BD_ORDENES!A:BE,57,FALSE())</f>
        <v>#N/A</v>
      </c>
      <c r="V674" s="70"/>
      <c r="W674" s="71"/>
    </row>
    <row r="675" s="72" customFormat="true" ht="98.25" hidden="false" customHeight="true" outlineLevel="0" collapsed="false">
      <c r="A675" s="62" t="n">
        <f aca="false">A674+1</f>
        <v>668</v>
      </c>
      <c r="B675" s="63" t="e">
        <f aca="false">VLOOKUP(A675,BD_ORDENES!A:BG,12,FALSE())</f>
        <v>#N/A</v>
      </c>
      <c r="C675" s="64" t="n">
        <v>668</v>
      </c>
      <c r="D675" s="65" t="e">
        <f aca="false">VLOOKUP(A675,BD_ORDENES!A:BE,10,0)</f>
        <v>#N/A</v>
      </c>
      <c r="E675" s="66" t="e">
        <f aca="false">VLOOKUP(A675,BD_ORDENES!A:BG,4,FALSE())</f>
        <v>#N/A</v>
      </c>
      <c r="F675" s="66" t="e">
        <f aca="false">VLOOKUP(A675,BD_ORDENES!A:BE,56,FALSE())</f>
        <v>#N/A</v>
      </c>
      <c r="G675" s="67" t="e">
        <f aca="false">VLOOKUP(A675,BD_ORDENES!A:BE,13,FALSE())</f>
        <v>#N/A</v>
      </c>
      <c r="H675" s="68" t="e">
        <f aca="false">VLOOKUP(A675,BD_ORDENES!A:BE,17,FALSE())</f>
        <v>#N/A</v>
      </c>
      <c r="I675" s="68" t="e">
        <f aca="false">VLOOKUP(A675,BD_ORDENES!A:BE,18,FALSE())</f>
        <v>#N/A</v>
      </c>
      <c r="J675" s="68" t="e">
        <f aca="false">VLOOKUP(A675,BD_ORDENES!A:BE,19,FALSE())</f>
        <v>#N/A</v>
      </c>
      <c r="K675" s="68" t="e">
        <f aca="false">VLOOKUP(A675,BD_ORDENES!A:BE,20,FALSE())</f>
        <v>#N/A</v>
      </c>
      <c r="L675" s="68" t="e">
        <f aca="false">VLOOKUP(A675,BD_ORDENES!A:BE,21,FALSE())</f>
        <v>#N/A</v>
      </c>
      <c r="M675" s="69" t="e">
        <f aca="false">VLOOKUP(A675,BD_ORDENES!A:BE,14,FALSE())</f>
        <v>#N/A</v>
      </c>
      <c r="N675" s="68" t="e">
        <f aca="false">VLOOKUP(A675,BD_ORDENES!A:BE,15,FALSE())</f>
        <v>#N/A</v>
      </c>
      <c r="O675" s="68" t="e">
        <f aca="false">VLOOKUP(A675,BD_ORDENES!A:BE,33,FALSE())</f>
        <v>#N/A</v>
      </c>
      <c r="P675" s="68" t="e">
        <f aca="false">VLOOKUP(A675,BD_ORDENES!A:BE,23,FALSE())</f>
        <v>#N/A</v>
      </c>
      <c r="Q675" s="68" t="e">
        <f aca="false">VLOOKUP(A675,BD_ORDENES!A:BE,52,FALSE())</f>
        <v>#N/A</v>
      </c>
      <c r="R675" s="68" t="e">
        <f aca="false">VLOOKUP(A675,BD_ORDENES!A:BE,25,FALSE())</f>
        <v>#N/A</v>
      </c>
      <c r="S675" s="68" t="e">
        <f aca="false">VLOOKUP(A675,BD_ORDENES!A:BE,22,FALSE())</f>
        <v>#N/A</v>
      </c>
      <c r="T675" s="65" t="e">
        <f aca="false">VLOOKUP(A675,BD_ORDENES!A:BE,55,FALSE())</f>
        <v>#N/A</v>
      </c>
      <c r="U675" s="68" t="e">
        <f aca="false">VLOOKUP(A675,BD_ORDENES!A:BE,57,FALSE())</f>
        <v>#N/A</v>
      </c>
      <c r="V675" s="70"/>
      <c r="W675" s="71"/>
    </row>
    <row r="676" s="72" customFormat="true" ht="98.25" hidden="false" customHeight="true" outlineLevel="0" collapsed="false">
      <c r="A676" s="62" t="n">
        <f aca="false">A675+1</f>
        <v>669</v>
      </c>
      <c r="B676" s="63" t="e">
        <f aca="false">VLOOKUP(A676,BD_ORDENES!A:BG,12,FALSE())</f>
        <v>#N/A</v>
      </c>
      <c r="C676" s="64" t="n">
        <v>669</v>
      </c>
      <c r="D676" s="65" t="e">
        <f aca="false">VLOOKUP(A676,BD_ORDENES!A:BE,10,0)</f>
        <v>#N/A</v>
      </c>
      <c r="E676" s="66" t="e">
        <f aca="false">VLOOKUP(A676,BD_ORDENES!A:BG,4,FALSE())</f>
        <v>#N/A</v>
      </c>
      <c r="F676" s="66" t="e">
        <f aca="false">VLOOKUP(A676,BD_ORDENES!A:BE,56,FALSE())</f>
        <v>#N/A</v>
      </c>
      <c r="G676" s="67" t="e">
        <f aca="false">VLOOKUP(A676,BD_ORDENES!A:BE,13,FALSE())</f>
        <v>#N/A</v>
      </c>
      <c r="H676" s="68" t="e">
        <f aca="false">VLOOKUP(A676,BD_ORDENES!A:BE,17,FALSE())</f>
        <v>#N/A</v>
      </c>
      <c r="I676" s="68" t="e">
        <f aca="false">VLOOKUP(A676,BD_ORDENES!A:BE,18,FALSE())</f>
        <v>#N/A</v>
      </c>
      <c r="J676" s="68" t="e">
        <f aca="false">VLOOKUP(A676,BD_ORDENES!A:BE,19,FALSE())</f>
        <v>#N/A</v>
      </c>
      <c r="K676" s="68" t="e">
        <f aca="false">VLOOKUP(A676,BD_ORDENES!A:BE,20,FALSE())</f>
        <v>#N/A</v>
      </c>
      <c r="L676" s="68" t="e">
        <f aca="false">VLOOKUP(A676,BD_ORDENES!A:BE,21,FALSE())</f>
        <v>#N/A</v>
      </c>
      <c r="M676" s="69" t="e">
        <f aca="false">VLOOKUP(A676,BD_ORDENES!A:BE,14,FALSE())</f>
        <v>#N/A</v>
      </c>
      <c r="N676" s="68" t="e">
        <f aca="false">VLOOKUP(A676,BD_ORDENES!A:BE,15,FALSE())</f>
        <v>#N/A</v>
      </c>
      <c r="O676" s="68" t="e">
        <f aca="false">VLOOKUP(A676,BD_ORDENES!A:BE,33,FALSE())</f>
        <v>#N/A</v>
      </c>
      <c r="P676" s="68" t="e">
        <f aca="false">VLOOKUP(A676,BD_ORDENES!A:BE,23,FALSE())</f>
        <v>#N/A</v>
      </c>
      <c r="Q676" s="68" t="e">
        <f aca="false">VLOOKUP(A676,BD_ORDENES!A:BE,52,FALSE())</f>
        <v>#N/A</v>
      </c>
      <c r="R676" s="68" t="e">
        <f aca="false">VLOOKUP(A676,BD_ORDENES!A:BE,25,FALSE())</f>
        <v>#N/A</v>
      </c>
      <c r="S676" s="68" t="e">
        <f aca="false">VLOOKUP(A676,BD_ORDENES!A:BE,22,FALSE())</f>
        <v>#N/A</v>
      </c>
      <c r="T676" s="65" t="e">
        <f aca="false">VLOOKUP(A676,BD_ORDENES!A:BE,55,FALSE())</f>
        <v>#N/A</v>
      </c>
      <c r="U676" s="68" t="e">
        <f aca="false">VLOOKUP(A676,BD_ORDENES!A:BE,57,FALSE())</f>
        <v>#N/A</v>
      </c>
      <c r="V676" s="70"/>
      <c r="W676" s="71"/>
    </row>
    <row r="677" s="72" customFormat="true" ht="98.25" hidden="false" customHeight="true" outlineLevel="0" collapsed="false">
      <c r="A677" s="62" t="n">
        <f aca="false">A676+1</f>
        <v>670</v>
      </c>
      <c r="B677" s="63" t="e">
        <f aca="false">VLOOKUP(A677,BD_ORDENES!A:BG,12,FALSE())</f>
        <v>#N/A</v>
      </c>
      <c r="C677" s="64" t="n">
        <v>670</v>
      </c>
      <c r="D677" s="65" t="e">
        <f aca="false">VLOOKUP(A677,BD_ORDENES!A:BE,10,0)</f>
        <v>#N/A</v>
      </c>
      <c r="E677" s="66" t="e">
        <f aca="false">VLOOKUP(A677,BD_ORDENES!A:BG,4,FALSE())</f>
        <v>#N/A</v>
      </c>
      <c r="F677" s="66" t="e">
        <f aca="false">VLOOKUP(A677,BD_ORDENES!A:BE,56,FALSE())</f>
        <v>#N/A</v>
      </c>
      <c r="G677" s="67" t="e">
        <f aca="false">VLOOKUP(A677,BD_ORDENES!A:BE,13,FALSE())</f>
        <v>#N/A</v>
      </c>
      <c r="H677" s="68" t="e">
        <f aca="false">VLOOKUP(A677,BD_ORDENES!A:BE,17,FALSE())</f>
        <v>#N/A</v>
      </c>
      <c r="I677" s="68" t="e">
        <f aca="false">VLOOKUP(A677,BD_ORDENES!A:BE,18,FALSE())</f>
        <v>#N/A</v>
      </c>
      <c r="J677" s="68" t="e">
        <f aca="false">VLOOKUP(A677,BD_ORDENES!A:BE,19,FALSE())</f>
        <v>#N/A</v>
      </c>
      <c r="K677" s="68" t="e">
        <f aca="false">VLOOKUP(A677,BD_ORDENES!A:BE,20,FALSE())</f>
        <v>#N/A</v>
      </c>
      <c r="L677" s="68" t="e">
        <f aca="false">VLOOKUP(A677,BD_ORDENES!A:BE,21,FALSE())</f>
        <v>#N/A</v>
      </c>
      <c r="M677" s="69" t="e">
        <f aca="false">VLOOKUP(A677,BD_ORDENES!A:BE,14,FALSE())</f>
        <v>#N/A</v>
      </c>
      <c r="N677" s="68" t="e">
        <f aca="false">VLOOKUP(A677,BD_ORDENES!A:BE,15,FALSE())</f>
        <v>#N/A</v>
      </c>
      <c r="O677" s="68" t="e">
        <f aca="false">VLOOKUP(A677,BD_ORDENES!A:BE,33,FALSE())</f>
        <v>#N/A</v>
      </c>
      <c r="P677" s="68" t="e">
        <f aca="false">VLOOKUP(A677,BD_ORDENES!A:BE,23,FALSE())</f>
        <v>#N/A</v>
      </c>
      <c r="Q677" s="68" t="e">
        <f aca="false">VLOOKUP(A677,BD_ORDENES!A:BE,52,FALSE())</f>
        <v>#N/A</v>
      </c>
      <c r="R677" s="68" t="e">
        <f aca="false">VLOOKUP(A677,BD_ORDENES!A:BE,25,FALSE())</f>
        <v>#N/A</v>
      </c>
      <c r="S677" s="68" t="e">
        <f aca="false">VLOOKUP(A677,BD_ORDENES!A:BE,22,FALSE())</f>
        <v>#N/A</v>
      </c>
      <c r="T677" s="65" t="e">
        <f aca="false">VLOOKUP(A677,BD_ORDENES!A:BE,55,FALSE())</f>
        <v>#N/A</v>
      </c>
      <c r="U677" s="68" t="e">
        <f aca="false">VLOOKUP(A677,BD_ORDENES!A:BE,57,FALSE())</f>
        <v>#N/A</v>
      </c>
      <c r="V677" s="70"/>
      <c r="W677" s="71"/>
    </row>
    <row r="678" s="72" customFormat="true" ht="98.25" hidden="false" customHeight="true" outlineLevel="0" collapsed="false">
      <c r="A678" s="62" t="n">
        <f aca="false">A677+1</f>
        <v>671</v>
      </c>
      <c r="B678" s="63" t="e">
        <f aca="false">VLOOKUP(A678,BD_ORDENES!A:BG,12,FALSE())</f>
        <v>#N/A</v>
      </c>
      <c r="C678" s="64" t="n">
        <v>671</v>
      </c>
      <c r="D678" s="65" t="e">
        <f aca="false">VLOOKUP(A678,BD_ORDENES!A:BE,10,0)</f>
        <v>#N/A</v>
      </c>
      <c r="E678" s="66" t="e">
        <f aca="false">VLOOKUP(A678,BD_ORDENES!A:BG,4,FALSE())</f>
        <v>#N/A</v>
      </c>
      <c r="F678" s="66" t="e">
        <f aca="false">VLOOKUP(A678,BD_ORDENES!A:BE,56,FALSE())</f>
        <v>#N/A</v>
      </c>
      <c r="G678" s="67" t="e">
        <f aca="false">VLOOKUP(A678,BD_ORDENES!A:BE,13,FALSE())</f>
        <v>#N/A</v>
      </c>
      <c r="H678" s="68" t="e">
        <f aca="false">VLOOKUP(A678,BD_ORDENES!A:BE,17,FALSE())</f>
        <v>#N/A</v>
      </c>
      <c r="I678" s="68" t="e">
        <f aca="false">VLOOKUP(A678,BD_ORDENES!A:BE,18,FALSE())</f>
        <v>#N/A</v>
      </c>
      <c r="J678" s="68" t="e">
        <f aca="false">VLOOKUP(A678,BD_ORDENES!A:BE,19,FALSE())</f>
        <v>#N/A</v>
      </c>
      <c r="K678" s="68" t="e">
        <f aca="false">VLOOKUP(A678,BD_ORDENES!A:BE,20,FALSE())</f>
        <v>#N/A</v>
      </c>
      <c r="L678" s="68" t="e">
        <f aca="false">VLOOKUP(A678,BD_ORDENES!A:BE,21,FALSE())</f>
        <v>#N/A</v>
      </c>
      <c r="M678" s="69" t="e">
        <f aca="false">VLOOKUP(A678,BD_ORDENES!A:BE,14,FALSE())</f>
        <v>#N/A</v>
      </c>
      <c r="N678" s="68" t="e">
        <f aca="false">VLOOKUP(A678,BD_ORDENES!A:BE,15,FALSE())</f>
        <v>#N/A</v>
      </c>
      <c r="O678" s="68" t="e">
        <f aca="false">VLOOKUP(A678,BD_ORDENES!A:BE,33,FALSE())</f>
        <v>#N/A</v>
      </c>
      <c r="P678" s="68" t="e">
        <f aca="false">VLOOKUP(A678,BD_ORDENES!A:BE,23,FALSE())</f>
        <v>#N/A</v>
      </c>
      <c r="Q678" s="68" t="e">
        <f aca="false">VLOOKUP(A678,BD_ORDENES!A:BE,52,FALSE())</f>
        <v>#N/A</v>
      </c>
      <c r="R678" s="68" t="e">
        <f aca="false">VLOOKUP(A678,BD_ORDENES!A:BE,25,FALSE())</f>
        <v>#N/A</v>
      </c>
      <c r="S678" s="68" t="e">
        <f aca="false">VLOOKUP(A678,BD_ORDENES!A:BE,22,FALSE())</f>
        <v>#N/A</v>
      </c>
      <c r="T678" s="65" t="e">
        <f aca="false">VLOOKUP(A678,BD_ORDENES!A:BE,55,FALSE())</f>
        <v>#N/A</v>
      </c>
      <c r="U678" s="68" t="e">
        <f aca="false">VLOOKUP(A678,BD_ORDENES!A:BE,57,FALSE())</f>
        <v>#N/A</v>
      </c>
      <c r="V678" s="70"/>
      <c r="W678" s="71"/>
    </row>
    <row r="679" s="72" customFormat="true" ht="98.25" hidden="false" customHeight="true" outlineLevel="0" collapsed="false">
      <c r="A679" s="62" t="n">
        <f aca="false">A678+1</f>
        <v>672</v>
      </c>
      <c r="B679" s="63" t="e">
        <f aca="false">VLOOKUP(A679,BD_ORDENES!A:BG,12,FALSE())</f>
        <v>#N/A</v>
      </c>
      <c r="C679" s="64" t="n">
        <v>672</v>
      </c>
      <c r="D679" s="65" t="e">
        <f aca="false">VLOOKUP(A679,BD_ORDENES!A:BE,10,0)</f>
        <v>#N/A</v>
      </c>
      <c r="E679" s="66" t="e">
        <f aca="false">VLOOKUP(A679,BD_ORDENES!A:BG,4,FALSE())</f>
        <v>#N/A</v>
      </c>
      <c r="F679" s="66" t="e">
        <f aca="false">VLOOKUP(A679,BD_ORDENES!A:BE,56,FALSE())</f>
        <v>#N/A</v>
      </c>
      <c r="G679" s="67" t="e">
        <f aca="false">VLOOKUP(A679,BD_ORDENES!A:BE,13,FALSE())</f>
        <v>#N/A</v>
      </c>
      <c r="H679" s="68" t="e">
        <f aca="false">VLOOKUP(A679,BD_ORDENES!A:BE,17,FALSE())</f>
        <v>#N/A</v>
      </c>
      <c r="I679" s="68" t="e">
        <f aca="false">VLOOKUP(A679,BD_ORDENES!A:BE,18,FALSE())</f>
        <v>#N/A</v>
      </c>
      <c r="J679" s="68" t="e">
        <f aca="false">VLOOKUP(A679,BD_ORDENES!A:BE,19,FALSE())</f>
        <v>#N/A</v>
      </c>
      <c r="K679" s="68" t="e">
        <f aca="false">VLOOKUP(A679,BD_ORDENES!A:BE,20,FALSE())</f>
        <v>#N/A</v>
      </c>
      <c r="L679" s="68" t="e">
        <f aca="false">VLOOKUP(A679,BD_ORDENES!A:BE,21,FALSE())</f>
        <v>#N/A</v>
      </c>
      <c r="M679" s="69" t="e">
        <f aca="false">VLOOKUP(A679,BD_ORDENES!A:BE,14,FALSE())</f>
        <v>#N/A</v>
      </c>
      <c r="N679" s="68" t="e">
        <f aca="false">VLOOKUP(A679,BD_ORDENES!A:BE,15,FALSE())</f>
        <v>#N/A</v>
      </c>
      <c r="O679" s="68" t="e">
        <f aca="false">VLOOKUP(A679,BD_ORDENES!A:BE,33,FALSE())</f>
        <v>#N/A</v>
      </c>
      <c r="P679" s="68" t="e">
        <f aca="false">VLOOKUP(A679,BD_ORDENES!A:BE,23,FALSE())</f>
        <v>#N/A</v>
      </c>
      <c r="Q679" s="68" t="e">
        <f aca="false">VLOOKUP(A679,BD_ORDENES!A:BE,52,FALSE())</f>
        <v>#N/A</v>
      </c>
      <c r="R679" s="68" t="e">
        <f aca="false">VLOOKUP(A679,BD_ORDENES!A:BE,25,FALSE())</f>
        <v>#N/A</v>
      </c>
      <c r="S679" s="68" t="e">
        <f aca="false">VLOOKUP(A679,BD_ORDENES!A:BE,22,FALSE())</f>
        <v>#N/A</v>
      </c>
      <c r="T679" s="65" t="e">
        <f aca="false">VLOOKUP(A679,BD_ORDENES!A:BE,55,FALSE())</f>
        <v>#N/A</v>
      </c>
      <c r="U679" s="68" t="e">
        <f aca="false">VLOOKUP(A679,BD_ORDENES!A:BE,57,FALSE())</f>
        <v>#N/A</v>
      </c>
      <c r="V679" s="70"/>
      <c r="W679" s="71"/>
    </row>
    <row r="680" s="72" customFormat="true" ht="98.25" hidden="false" customHeight="true" outlineLevel="0" collapsed="false">
      <c r="A680" s="62" t="n">
        <f aca="false">A679+1</f>
        <v>673</v>
      </c>
      <c r="B680" s="63" t="e">
        <f aca="false">VLOOKUP(A680,BD_ORDENES!A:BG,12,FALSE())</f>
        <v>#N/A</v>
      </c>
      <c r="C680" s="64" t="n">
        <v>673</v>
      </c>
      <c r="D680" s="65" t="e">
        <f aca="false">VLOOKUP(A680,BD_ORDENES!A:BE,10,0)</f>
        <v>#N/A</v>
      </c>
      <c r="E680" s="66" t="e">
        <f aca="false">VLOOKUP(A680,BD_ORDENES!A:BG,4,FALSE())</f>
        <v>#N/A</v>
      </c>
      <c r="F680" s="66" t="e">
        <f aca="false">VLOOKUP(A680,BD_ORDENES!A:BE,56,FALSE())</f>
        <v>#N/A</v>
      </c>
      <c r="G680" s="67" t="e">
        <f aca="false">VLOOKUP(A680,BD_ORDENES!A:BE,13,FALSE())</f>
        <v>#N/A</v>
      </c>
      <c r="H680" s="68" t="e">
        <f aca="false">VLOOKUP(A680,BD_ORDENES!A:BE,17,FALSE())</f>
        <v>#N/A</v>
      </c>
      <c r="I680" s="68" t="e">
        <f aca="false">VLOOKUP(A680,BD_ORDENES!A:BE,18,FALSE())</f>
        <v>#N/A</v>
      </c>
      <c r="J680" s="68" t="e">
        <f aca="false">VLOOKUP(A680,BD_ORDENES!A:BE,19,FALSE())</f>
        <v>#N/A</v>
      </c>
      <c r="K680" s="68" t="e">
        <f aca="false">VLOOKUP(A680,BD_ORDENES!A:BE,20,FALSE())</f>
        <v>#N/A</v>
      </c>
      <c r="L680" s="68" t="e">
        <f aca="false">VLOOKUP(A680,BD_ORDENES!A:BE,21,FALSE())</f>
        <v>#N/A</v>
      </c>
      <c r="M680" s="69" t="e">
        <f aca="false">VLOOKUP(A680,BD_ORDENES!A:BE,14,FALSE())</f>
        <v>#N/A</v>
      </c>
      <c r="N680" s="68" t="e">
        <f aca="false">VLOOKUP(A680,BD_ORDENES!A:BE,15,FALSE())</f>
        <v>#N/A</v>
      </c>
      <c r="O680" s="68" t="e">
        <f aca="false">VLOOKUP(A680,BD_ORDENES!A:BE,33,FALSE())</f>
        <v>#N/A</v>
      </c>
      <c r="P680" s="68" t="e">
        <f aca="false">VLOOKUP(A680,BD_ORDENES!A:BE,23,FALSE())</f>
        <v>#N/A</v>
      </c>
      <c r="Q680" s="68" t="e">
        <f aca="false">VLOOKUP(A680,BD_ORDENES!A:BE,52,FALSE())</f>
        <v>#N/A</v>
      </c>
      <c r="R680" s="68" t="e">
        <f aca="false">VLOOKUP(A680,BD_ORDENES!A:BE,25,FALSE())</f>
        <v>#N/A</v>
      </c>
      <c r="S680" s="68" t="e">
        <f aca="false">VLOOKUP(A680,BD_ORDENES!A:BE,22,FALSE())</f>
        <v>#N/A</v>
      </c>
      <c r="T680" s="65" t="e">
        <f aca="false">VLOOKUP(A680,BD_ORDENES!A:BE,55,FALSE())</f>
        <v>#N/A</v>
      </c>
      <c r="U680" s="68" t="e">
        <f aca="false">VLOOKUP(A680,BD_ORDENES!A:BE,57,FALSE())</f>
        <v>#N/A</v>
      </c>
      <c r="V680" s="70"/>
      <c r="W680" s="71"/>
    </row>
    <row r="681" s="72" customFormat="true" ht="98.25" hidden="false" customHeight="true" outlineLevel="0" collapsed="false">
      <c r="A681" s="62" t="n">
        <f aca="false">A680+1</f>
        <v>674</v>
      </c>
      <c r="B681" s="63" t="e">
        <f aca="false">VLOOKUP(A681,BD_ORDENES!A:BG,12,FALSE())</f>
        <v>#N/A</v>
      </c>
      <c r="C681" s="64" t="n">
        <v>674</v>
      </c>
      <c r="D681" s="65" t="e">
        <f aca="false">VLOOKUP(A681,BD_ORDENES!A:BE,10,0)</f>
        <v>#N/A</v>
      </c>
      <c r="E681" s="66" t="e">
        <f aca="false">VLOOKUP(A681,BD_ORDENES!A:BG,4,FALSE())</f>
        <v>#N/A</v>
      </c>
      <c r="F681" s="66" t="e">
        <f aca="false">VLOOKUP(A681,BD_ORDENES!A:BE,56,FALSE())</f>
        <v>#N/A</v>
      </c>
      <c r="G681" s="67" t="e">
        <f aca="false">VLOOKUP(A681,BD_ORDENES!A:BE,13,FALSE())</f>
        <v>#N/A</v>
      </c>
      <c r="H681" s="68" t="e">
        <f aca="false">VLOOKUP(A681,BD_ORDENES!A:BE,17,FALSE())</f>
        <v>#N/A</v>
      </c>
      <c r="I681" s="68" t="e">
        <f aca="false">VLOOKUP(A681,BD_ORDENES!A:BE,18,FALSE())</f>
        <v>#N/A</v>
      </c>
      <c r="J681" s="68" t="e">
        <f aca="false">VLOOKUP(A681,BD_ORDENES!A:BE,19,FALSE())</f>
        <v>#N/A</v>
      </c>
      <c r="K681" s="68" t="e">
        <f aca="false">VLOOKUP(A681,BD_ORDENES!A:BE,20,FALSE())</f>
        <v>#N/A</v>
      </c>
      <c r="L681" s="68" t="e">
        <f aca="false">VLOOKUP(A681,BD_ORDENES!A:BE,21,FALSE())</f>
        <v>#N/A</v>
      </c>
      <c r="M681" s="69" t="e">
        <f aca="false">VLOOKUP(A681,BD_ORDENES!A:BE,14,FALSE())</f>
        <v>#N/A</v>
      </c>
      <c r="N681" s="68" t="e">
        <f aca="false">VLOOKUP(A681,BD_ORDENES!A:BE,15,FALSE())</f>
        <v>#N/A</v>
      </c>
      <c r="O681" s="68" t="e">
        <f aca="false">VLOOKUP(A681,BD_ORDENES!A:BE,33,FALSE())</f>
        <v>#N/A</v>
      </c>
      <c r="P681" s="68" t="e">
        <f aca="false">VLOOKUP(A681,BD_ORDENES!A:BE,23,FALSE())</f>
        <v>#N/A</v>
      </c>
      <c r="Q681" s="68" t="e">
        <f aca="false">VLOOKUP(A681,BD_ORDENES!A:BE,52,FALSE())</f>
        <v>#N/A</v>
      </c>
      <c r="R681" s="68" t="e">
        <f aca="false">VLOOKUP(A681,BD_ORDENES!A:BE,25,FALSE())</f>
        <v>#N/A</v>
      </c>
      <c r="S681" s="68" t="e">
        <f aca="false">VLOOKUP(A681,BD_ORDENES!A:BE,22,FALSE())</f>
        <v>#N/A</v>
      </c>
      <c r="T681" s="65" t="e">
        <f aca="false">VLOOKUP(A681,BD_ORDENES!A:BE,55,FALSE())</f>
        <v>#N/A</v>
      </c>
      <c r="U681" s="68" t="e">
        <f aca="false">VLOOKUP(A681,BD_ORDENES!A:BE,57,FALSE())</f>
        <v>#N/A</v>
      </c>
      <c r="V681" s="70"/>
      <c r="W681" s="71"/>
    </row>
    <row r="682" s="72" customFormat="true" ht="98.25" hidden="false" customHeight="true" outlineLevel="0" collapsed="false">
      <c r="A682" s="62" t="n">
        <f aca="false">A681+1</f>
        <v>675</v>
      </c>
      <c r="B682" s="63" t="e">
        <f aca="false">VLOOKUP(A682,BD_ORDENES!A:BG,12,FALSE())</f>
        <v>#N/A</v>
      </c>
      <c r="C682" s="64" t="n">
        <v>675</v>
      </c>
      <c r="D682" s="65" t="e">
        <f aca="false">VLOOKUP(A682,BD_ORDENES!A:BE,10,0)</f>
        <v>#N/A</v>
      </c>
      <c r="E682" s="66" t="e">
        <f aca="false">VLOOKUP(A682,BD_ORDENES!A:BG,4,FALSE())</f>
        <v>#N/A</v>
      </c>
      <c r="F682" s="66" t="e">
        <f aca="false">VLOOKUP(A682,BD_ORDENES!A:BE,56,FALSE())</f>
        <v>#N/A</v>
      </c>
      <c r="G682" s="67" t="e">
        <f aca="false">VLOOKUP(A682,BD_ORDENES!A:BE,13,FALSE())</f>
        <v>#N/A</v>
      </c>
      <c r="H682" s="68" t="e">
        <f aca="false">VLOOKUP(A682,BD_ORDENES!A:BE,17,FALSE())</f>
        <v>#N/A</v>
      </c>
      <c r="I682" s="68" t="e">
        <f aca="false">VLOOKUP(A682,BD_ORDENES!A:BE,18,FALSE())</f>
        <v>#N/A</v>
      </c>
      <c r="J682" s="68" t="e">
        <f aca="false">VLOOKUP(A682,BD_ORDENES!A:BE,19,FALSE())</f>
        <v>#N/A</v>
      </c>
      <c r="K682" s="68" t="e">
        <f aca="false">VLOOKUP(A682,BD_ORDENES!A:BE,20,FALSE())</f>
        <v>#N/A</v>
      </c>
      <c r="L682" s="68" t="e">
        <f aca="false">VLOOKUP(A682,BD_ORDENES!A:BE,21,FALSE())</f>
        <v>#N/A</v>
      </c>
      <c r="M682" s="69" t="e">
        <f aca="false">VLOOKUP(A682,BD_ORDENES!A:BE,14,FALSE())</f>
        <v>#N/A</v>
      </c>
      <c r="N682" s="68" t="e">
        <f aca="false">VLOOKUP(A682,BD_ORDENES!A:BE,15,FALSE())</f>
        <v>#N/A</v>
      </c>
      <c r="O682" s="68" t="e">
        <f aca="false">VLOOKUP(A682,BD_ORDENES!A:BE,33,FALSE())</f>
        <v>#N/A</v>
      </c>
      <c r="P682" s="68" t="e">
        <f aca="false">VLOOKUP(A682,BD_ORDENES!A:BE,23,FALSE())</f>
        <v>#N/A</v>
      </c>
      <c r="Q682" s="68" t="e">
        <f aca="false">VLOOKUP(A682,BD_ORDENES!A:BE,52,FALSE())</f>
        <v>#N/A</v>
      </c>
      <c r="R682" s="68" t="e">
        <f aca="false">VLOOKUP(A682,BD_ORDENES!A:BE,25,FALSE())</f>
        <v>#N/A</v>
      </c>
      <c r="S682" s="68" t="e">
        <f aca="false">VLOOKUP(A682,BD_ORDENES!A:BE,22,FALSE())</f>
        <v>#N/A</v>
      </c>
      <c r="T682" s="65" t="e">
        <f aca="false">VLOOKUP(A682,BD_ORDENES!A:BE,55,FALSE())</f>
        <v>#N/A</v>
      </c>
      <c r="U682" s="68" t="e">
        <f aca="false">VLOOKUP(A682,BD_ORDENES!A:BE,57,FALSE())</f>
        <v>#N/A</v>
      </c>
      <c r="V682" s="70"/>
      <c r="W682" s="71"/>
    </row>
    <row r="683" s="72" customFormat="true" ht="98.25" hidden="false" customHeight="true" outlineLevel="0" collapsed="false">
      <c r="A683" s="62" t="n">
        <f aca="false">A682+1</f>
        <v>676</v>
      </c>
      <c r="B683" s="63" t="e">
        <f aca="false">VLOOKUP(A683,BD_ORDENES!A:BG,12,FALSE())</f>
        <v>#N/A</v>
      </c>
      <c r="C683" s="64" t="n">
        <v>676</v>
      </c>
      <c r="D683" s="65" t="e">
        <f aca="false">VLOOKUP(A683,BD_ORDENES!A:BE,10,0)</f>
        <v>#N/A</v>
      </c>
      <c r="E683" s="66" t="e">
        <f aca="false">VLOOKUP(A683,BD_ORDENES!A:BG,4,FALSE())</f>
        <v>#N/A</v>
      </c>
      <c r="F683" s="66" t="e">
        <f aca="false">VLOOKUP(A683,BD_ORDENES!A:BE,56,FALSE())</f>
        <v>#N/A</v>
      </c>
      <c r="G683" s="67" t="e">
        <f aca="false">VLOOKUP(A683,BD_ORDENES!A:BE,13,FALSE())</f>
        <v>#N/A</v>
      </c>
      <c r="H683" s="68" t="e">
        <f aca="false">VLOOKUP(A683,BD_ORDENES!A:BE,17,FALSE())</f>
        <v>#N/A</v>
      </c>
      <c r="I683" s="68" t="e">
        <f aca="false">VLOOKUP(A683,BD_ORDENES!A:BE,18,FALSE())</f>
        <v>#N/A</v>
      </c>
      <c r="J683" s="68" t="e">
        <f aca="false">VLOOKUP(A683,BD_ORDENES!A:BE,19,FALSE())</f>
        <v>#N/A</v>
      </c>
      <c r="K683" s="68" t="e">
        <f aca="false">VLOOKUP(A683,BD_ORDENES!A:BE,20,FALSE())</f>
        <v>#N/A</v>
      </c>
      <c r="L683" s="68" t="e">
        <f aca="false">VLOOKUP(A683,BD_ORDENES!A:BE,21,FALSE())</f>
        <v>#N/A</v>
      </c>
      <c r="M683" s="69" t="e">
        <f aca="false">VLOOKUP(A683,BD_ORDENES!A:BE,14,FALSE())</f>
        <v>#N/A</v>
      </c>
      <c r="N683" s="68" t="e">
        <f aca="false">VLOOKUP(A683,BD_ORDENES!A:BE,15,FALSE())</f>
        <v>#N/A</v>
      </c>
      <c r="O683" s="68" t="e">
        <f aca="false">VLOOKUP(A683,BD_ORDENES!A:BE,33,FALSE())</f>
        <v>#N/A</v>
      </c>
      <c r="P683" s="68" t="e">
        <f aca="false">VLOOKUP(A683,BD_ORDENES!A:BE,23,FALSE())</f>
        <v>#N/A</v>
      </c>
      <c r="Q683" s="68" t="e">
        <f aca="false">VLOOKUP(A683,BD_ORDENES!A:BE,52,FALSE())</f>
        <v>#N/A</v>
      </c>
      <c r="R683" s="68" t="e">
        <f aca="false">VLOOKUP(A683,BD_ORDENES!A:BE,25,FALSE())</f>
        <v>#N/A</v>
      </c>
      <c r="S683" s="68" t="e">
        <f aca="false">VLOOKUP(A683,BD_ORDENES!A:BE,22,FALSE())</f>
        <v>#N/A</v>
      </c>
      <c r="T683" s="65" t="e">
        <f aca="false">VLOOKUP(A683,BD_ORDENES!A:BE,55,FALSE())</f>
        <v>#N/A</v>
      </c>
      <c r="U683" s="68" t="e">
        <f aca="false">VLOOKUP(A683,BD_ORDENES!A:BE,57,FALSE())</f>
        <v>#N/A</v>
      </c>
      <c r="V683" s="70"/>
      <c r="W683" s="71"/>
    </row>
    <row r="684" s="72" customFormat="true" ht="98.25" hidden="false" customHeight="true" outlineLevel="0" collapsed="false">
      <c r="A684" s="62" t="n">
        <f aca="false">A683+1</f>
        <v>677</v>
      </c>
      <c r="B684" s="63" t="e">
        <f aca="false">VLOOKUP(A684,BD_ORDENES!A:BG,12,FALSE())</f>
        <v>#N/A</v>
      </c>
      <c r="C684" s="64" t="n">
        <v>677</v>
      </c>
      <c r="D684" s="65" t="e">
        <f aca="false">VLOOKUP(A684,BD_ORDENES!A:BE,10,0)</f>
        <v>#N/A</v>
      </c>
      <c r="E684" s="66" t="e">
        <f aca="false">VLOOKUP(A684,BD_ORDENES!A:BG,4,FALSE())</f>
        <v>#N/A</v>
      </c>
      <c r="F684" s="66" t="e">
        <f aca="false">VLOOKUP(A684,BD_ORDENES!A:BE,56,FALSE())</f>
        <v>#N/A</v>
      </c>
      <c r="G684" s="67" t="e">
        <f aca="false">VLOOKUP(A684,BD_ORDENES!A:BE,13,FALSE())</f>
        <v>#N/A</v>
      </c>
      <c r="H684" s="68" t="e">
        <f aca="false">VLOOKUP(A684,BD_ORDENES!A:BE,17,FALSE())</f>
        <v>#N/A</v>
      </c>
      <c r="I684" s="68" t="e">
        <f aca="false">VLOOKUP(A684,BD_ORDENES!A:BE,18,FALSE())</f>
        <v>#N/A</v>
      </c>
      <c r="J684" s="68" t="e">
        <f aca="false">VLOOKUP(A684,BD_ORDENES!A:BE,19,FALSE())</f>
        <v>#N/A</v>
      </c>
      <c r="K684" s="68" t="e">
        <f aca="false">VLOOKUP(A684,BD_ORDENES!A:BE,20,FALSE())</f>
        <v>#N/A</v>
      </c>
      <c r="L684" s="68" t="e">
        <f aca="false">VLOOKUP(A684,BD_ORDENES!A:BE,21,FALSE())</f>
        <v>#N/A</v>
      </c>
      <c r="M684" s="69" t="e">
        <f aca="false">VLOOKUP(A684,BD_ORDENES!A:BE,14,FALSE())</f>
        <v>#N/A</v>
      </c>
      <c r="N684" s="68" t="e">
        <f aca="false">VLOOKUP(A684,BD_ORDENES!A:BE,15,FALSE())</f>
        <v>#N/A</v>
      </c>
      <c r="O684" s="68" t="e">
        <f aca="false">VLOOKUP(A684,BD_ORDENES!A:BE,33,FALSE())</f>
        <v>#N/A</v>
      </c>
      <c r="P684" s="68" t="e">
        <f aca="false">VLOOKUP(A684,BD_ORDENES!A:BE,23,FALSE())</f>
        <v>#N/A</v>
      </c>
      <c r="Q684" s="68" t="e">
        <f aca="false">VLOOKUP(A684,BD_ORDENES!A:BE,52,FALSE())</f>
        <v>#N/A</v>
      </c>
      <c r="R684" s="68" t="e">
        <f aca="false">VLOOKUP(A684,BD_ORDENES!A:BE,25,FALSE())</f>
        <v>#N/A</v>
      </c>
      <c r="S684" s="68" t="e">
        <f aca="false">VLOOKUP(A684,BD_ORDENES!A:BE,22,FALSE())</f>
        <v>#N/A</v>
      </c>
      <c r="T684" s="65" t="e">
        <f aca="false">VLOOKUP(A684,BD_ORDENES!A:BE,55,FALSE())</f>
        <v>#N/A</v>
      </c>
      <c r="U684" s="68" t="e">
        <f aca="false">VLOOKUP(A684,BD_ORDENES!A:BE,57,FALSE())</f>
        <v>#N/A</v>
      </c>
      <c r="V684" s="70"/>
      <c r="W684" s="71"/>
    </row>
    <row r="685" s="72" customFormat="true" ht="98.25" hidden="false" customHeight="true" outlineLevel="0" collapsed="false">
      <c r="A685" s="62" t="n">
        <f aca="false">A684+1</f>
        <v>678</v>
      </c>
      <c r="B685" s="63" t="e">
        <f aca="false">VLOOKUP(A685,BD_ORDENES!A:BG,12,FALSE())</f>
        <v>#N/A</v>
      </c>
      <c r="C685" s="64" t="n">
        <v>678</v>
      </c>
      <c r="D685" s="65" t="e">
        <f aca="false">VLOOKUP(A685,BD_ORDENES!A:BE,10,0)</f>
        <v>#N/A</v>
      </c>
      <c r="E685" s="66" t="e">
        <f aca="false">VLOOKUP(A685,BD_ORDENES!A:BG,4,FALSE())</f>
        <v>#N/A</v>
      </c>
      <c r="F685" s="66" t="e">
        <f aca="false">VLOOKUP(A685,BD_ORDENES!A:BE,56,FALSE())</f>
        <v>#N/A</v>
      </c>
      <c r="G685" s="67" t="e">
        <f aca="false">VLOOKUP(A685,BD_ORDENES!A:BE,13,FALSE())</f>
        <v>#N/A</v>
      </c>
      <c r="H685" s="68" t="e">
        <f aca="false">VLOOKUP(A685,BD_ORDENES!A:BE,17,FALSE())</f>
        <v>#N/A</v>
      </c>
      <c r="I685" s="68" t="e">
        <f aca="false">VLOOKUP(A685,BD_ORDENES!A:BE,18,FALSE())</f>
        <v>#N/A</v>
      </c>
      <c r="J685" s="68" t="e">
        <f aca="false">VLOOKUP(A685,BD_ORDENES!A:BE,19,FALSE())</f>
        <v>#N/A</v>
      </c>
      <c r="K685" s="68" t="e">
        <f aca="false">VLOOKUP(A685,BD_ORDENES!A:BE,20,FALSE())</f>
        <v>#N/A</v>
      </c>
      <c r="L685" s="68" t="e">
        <f aca="false">VLOOKUP(A685,BD_ORDENES!A:BE,21,FALSE())</f>
        <v>#N/A</v>
      </c>
      <c r="M685" s="69" t="e">
        <f aca="false">VLOOKUP(A685,BD_ORDENES!A:BE,14,FALSE())</f>
        <v>#N/A</v>
      </c>
      <c r="N685" s="68" t="e">
        <f aca="false">VLOOKUP(A685,BD_ORDENES!A:BE,15,FALSE())</f>
        <v>#N/A</v>
      </c>
      <c r="O685" s="68" t="e">
        <f aca="false">VLOOKUP(A685,BD_ORDENES!A:BE,33,FALSE())</f>
        <v>#N/A</v>
      </c>
      <c r="P685" s="68" t="e">
        <f aca="false">VLOOKUP(A685,BD_ORDENES!A:BE,23,FALSE())</f>
        <v>#N/A</v>
      </c>
      <c r="Q685" s="68" t="e">
        <f aca="false">VLOOKUP(A685,BD_ORDENES!A:BE,52,FALSE())</f>
        <v>#N/A</v>
      </c>
      <c r="R685" s="68" t="e">
        <f aca="false">VLOOKUP(A685,BD_ORDENES!A:BE,25,FALSE())</f>
        <v>#N/A</v>
      </c>
      <c r="S685" s="68" t="e">
        <f aca="false">VLOOKUP(A685,BD_ORDENES!A:BE,22,FALSE())</f>
        <v>#N/A</v>
      </c>
      <c r="T685" s="65" t="e">
        <f aca="false">VLOOKUP(A685,BD_ORDENES!A:BE,55,FALSE())</f>
        <v>#N/A</v>
      </c>
      <c r="U685" s="68" t="e">
        <f aca="false">VLOOKUP(A685,BD_ORDENES!A:BE,57,FALSE())</f>
        <v>#N/A</v>
      </c>
      <c r="V685" s="70"/>
      <c r="W685" s="71"/>
    </row>
    <row r="686" s="72" customFormat="true" ht="98.25" hidden="false" customHeight="true" outlineLevel="0" collapsed="false">
      <c r="A686" s="62" t="n">
        <f aca="false">A685+1</f>
        <v>679</v>
      </c>
      <c r="B686" s="63" t="e">
        <f aca="false">VLOOKUP(A686,BD_ORDENES!A:BG,12,FALSE())</f>
        <v>#N/A</v>
      </c>
      <c r="C686" s="64" t="n">
        <v>679</v>
      </c>
      <c r="D686" s="65" t="e">
        <f aca="false">VLOOKUP(A686,BD_ORDENES!A:BE,10,0)</f>
        <v>#N/A</v>
      </c>
      <c r="E686" s="66" t="e">
        <f aca="false">VLOOKUP(A686,BD_ORDENES!A:BG,4,FALSE())</f>
        <v>#N/A</v>
      </c>
      <c r="F686" s="66" t="e">
        <f aca="false">VLOOKUP(A686,BD_ORDENES!A:BE,56,FALSE())</f>
        <v>#N/A</v>
      </c>
      <c r="G686" s="67" t="e">
        <f aca="false">VLOOKUP(A686,BD_ORDENES!A:BE,13,FALSE())</f>
        <v>#N/A</v>
      </c>
      <c r="H686" s="68" t="e">
        <f aca="false">VLOOKUP(A686,BD_ORDENES!A:BE,17,FALSE())</f>
        <v>#N/A</v>
      </c>
      <c r="I686" s="68" t="e">
        <f aca="false">VLOOKUP(A686,BD_ORDENES!A:BE,18,FALSE())</f>
        <v>#N/A</v>
      </c>
      <c r="J686" s="68" t="e">
        <f aca="false">VLOOKUP(A686,BD_ORDENES!A:BE,19,FALSE())</f>
        <v>#N/A</v>
      </c>
      <c r="K686" s="68" t="e">
        <f aca="false">VLOOKUP(A686,BD_ORDENES!A:BE,20,FALSE())</f>
        <v>#N/A</v>
      </c>
      <c r="L686" s="68" t="e">
        <f aca="false">VLOOKUP(A686,BD_ORDENES!A:BE,21,FALSE())</f>
        <v>#N/A</v>
      </c>
      <c r="M686" s="69" t="e">
        <f aca="false">VLOOKUP(A686,BD_ORDENES!A:BE,14,FALSE())</f>
        <v>#N/A</v>
      </c>
      <c r="N686" s="68" t="e">
        <f aca="false">VLOOKUP(A686,BD_ORDENES!A:BE,15,FALSE())</f>
        <v>#N/A</v>
      </c>
      <c r="O686" s="68" t="e">
        <f aca="false">VLOOKUP(A686,BD_ORDENES!A:BE,33,FALSE())</f>
        <v>#N/A</v>
      </c>
      <c r="P686" s="68" t="e">
        <f aca="false">VLOOKUP(A686,BD_ORDENES!A:BE,23,FALSE())</f>
        <v>#N/A</v>
      </c>
      <c r="Q686" s="68" t="e">
        <f aca="false">VLOOKUP(A686,BD_ORDENES!A:BE,52,FALSE())</f>
        <v>#N/A</v>
      </c>
      <c r="R686" s="68" t="e">
        <f aca="false">VLOOKUP(A686,BD_ORDENES!A:BE,25,FALSE())</f>
        <v>#N/A</v>
      </c>
      <c r="S686" s="68" t="e">
        <f aca="false">VLOOKUP(A686,BD_ORDENES!A:BE,22,FALSE())</f>
        <v>#N/A</v>
      </c>
      <c r="T686" s="65" t="e">
        <f aca="false">VLOOKUP(A686,BD_ORDENES!A:BE,55,FALSE())</f>
        <v>#N/A</v>
      </c>
      <c r="U686" s="68" t="e">
        <f aca="false">VLOOKUP(A686,BD_ORDENES!A:BE,57,FALSE())</f>
        <v>#N/A</v>
      </c>
      <c r="V686" s="70"/>
      <c r="W686" s="71"/>
    </row>
    <row r="687" s="72" customFormat="true" ht="98.25" hidden="false" customHeight="true" outlineLevel="0" collapsed="false">
      <c r="A687" s="62" t="n">
        <f aca="false">A686+1</f>
        <v>680</v>
      </c>
      <c r="B687" s="63" t="e">
        <f aca="false">VLOOKUP(A687,BD_ORDENES!A:BG,12,FALSE())</f>
        <v>#N/A</v>
      </c>
      <c r="C687" s="64" t="n">
        <v>680</v>
      </c>
      <c r="D687" s="65" t="e">
        <f aca="false">VLOOKUP(A687,BD_ORDENES!A:BE,10,0)</f>
        <v>#N/A</v>
      </c>
      <c r="E687" s="66" t="e">
        <f aca="false">VLOOKUP(A687,BD_ORDENES!A:BG,4,FALSE())</f>
        <v>#N/A</v>
      </c>
      <c r="F687" s="66" t="e">
        <f aca="false">VLOOKUP(A687,BD_ORDENES!A:BE,56,FALSE())</f>
        <v>#N/A</v>
      </c>
      <c r="G687" s="67" t="e">
        <f aca="false">VLOOKUP(A687,BD_ORDENES!A:BE,13,FALSE())</f>
        <v>#N/A</v>
      </c>
      <c r="H687" s="68" t="e">
        <f aca="false">VLOOKUP(A687,BD_ORDENES!A:BE,17,FALSE())</f>
        <v>#N/A</v>
      </c>
      <c r="I687" s="68" t="e">
        <f aca="false">VLOOKUP(A687,BD_ORDENES!A:BE,18,FALSE())</f>
        <v>#N/A</v>
      </c>
      <c r="J687" s="68" t="e">
        <f aca="false">VLOOKUP(A687,BD_ORDENES!A:BE,19,FALSE())</f>
        <v>#N/A</v>
      </c>
      <c r="K687" s="68" t="e">
        <f aca="false">VLOOKUP(A687,BD_ORDENES!A:BE,20,FALSE())</f>
        <v>#N/A</v>
      </c>
      <c r="L687" s="68" t="e">
        <f aca="false">VLOOKUP(A687,BD_ORDENES!A:BE,21,FALSE())</f>
        <v>#N/A</v>
      </c>
      <c r="M687" s="69" t="e">
        <f aca="false">VLOOKUP(A687,BD_ORDENES!A:BE,14,FALSE())</f>
        <v>#N/A</v>
      </c>
      <c r="N687" s="68" t="e">
        <f aca="false">VLOOKUP(A687,BD_ORDENES!A:BE,15,FALSE())</f>
        <v>#N/A</v>
      </c>
      <c r="O687" s="68" t="e">
        <f aca="false">VLOOKUP(A687,BD_ORDENES!A:BE,33,FALSE())</f>
        <v>#N/A</v>
      </c>
      <c r="P687" s="68" t="e">
        <f aca="false">VLOOKUP(A687,BD_ORDENES!A:BE,23,FALSE())</f>
        <v>#N/A</v>
      </c>
      <c r="Q687" s="68" t="e">
        <f aca="false">VLOOKUP(A687,BD_ORDENES!A:BE,52,FALSE())</f>
        <v>#N/A</v>
      </c>
      <c r="R687" s="68" t="e">
        <f aca="false">VLOOKUP(A687,BD_ORDENES!A:BE,25,FALSE())</f>
        <v>#N/A</v>
      </c>
      <c r="S687" s="68" t="e">
        <f aca="false">VLOOKUP(A687,BD_ORDENES!A:BE,22,FALSE())</f>
        <v>#N/A</v>
      </c>
      <c r="T687" s="65" t="e">
        <f aca="false">VLOOKUP(A687,BD_ORDENES!A:BE,55,FALSE())</f>
        <v>#N/A</v>
      </c>
      <c r="U687" s="68" t="e">
        <f aca="false">VLOOKUP(A687,BD_ORDENES!A:BE,57,FALSE())</f>
        <v>#N/A</v>
      </c>
      <c r="V687" s="70"/>
      <c r="W687" s="71"/>
    </row>
    <row r="688" s="72" customFormat="true" ht="98.25" hidden="false" customHeight="true" outlineLevel="0" collapsed="false">
      <c r="A688" s="62" t="n">
        <f aca="false">A687+1</f>
        <v>681</v>
      </c>
      <c r="B688" s="63" t="e">
        <f aca="false">VLOOKUP(A688,BD_ORDENES!A:BG,12,FALSE())</f>
        <v>#N/A</v>
      </c>
      <c r="C688" s="64" t="n">
        <v>681</v>
      </c>
      <c r="D688" s="65" t="e">
        <f aca="false">VLOOKUP(A688,BD_ORDENES!A:BE,10,0)</f>
        <v>#N/A</v>
      </c>
      <c r="E688" s="66" t="e">
        <f aca="false">VLOOKUP(A688,BD_ORDENES!A:BG,4,FALSE())</f>
        <v>#N/A</v>
      </c>
      <c r="F688" s="66" t="e">
        <f aca="false">VLOOKUP(A688,BD_ORDENES!A:BE,56,FALSE())</f>
        <v>#N/A</v>
      </c>
      <c r="G688" s="67" t="e">
        <f aca="false">VLOOKUP(A688,BD_ORDENES!A:BE,13,FALSE())</f>
        <v>#N/A</v>
      </c>
      <c r="H688" s="68" t="e">
        <f aca="false">VLOOKUP(A688,BD_ORDENES!A:BE,17,FALSE())</f>
        <v>#N/A</v>
      </c>
      <c r="I688" s="68" t="e">
        <f aca="false">VLOOKUP(A688,BD_ORDENES!A:BE,18,FALSE())</f>
        <v>#N/A</v>
      </c>
      <c r="J688" s="68" t="e">
        <f aca="false">VLOOKUP(A688,BD_ORDENES!A:BE,19,FALSE())</f>
        <v>#N/A</v>
      </c>
      <c r="K688" s="68" t="e">
        <f aca="false">VLOOKUP(A688,BD_ORDENES!A:BE,20,FALSE())</f>
        <v>#N/A</v>
      </c>
      <c r="L688" s="68" t="e">
        <f aca="false">VLOOKUP(A688,BD_ORDENES!A:BE,21,FALSE())</f>
        <v>#N/A</v>
      </c>
      <c r="M688" s="69" t="e">
        <f aca="false">VLOOKUP(A688,BD_ORDENES!A:BE,14,FALSE())</f>
        <v>#N/A</v>
      </c>
      <c r="N688" s="68" t="e">
        <f aca="false">VLOOKUP(A688,BD_ORDENES!A:BE,15,FALSE())</f>
        <v>#N/A</v>
      </c>
      <c r="O688" s="68" t="e">
        <f aca="false">VLOOKUP(A688,BD_ORDENES!A:BE,33,FALSE())</f>
        <v>#N/A</v>
      </c>
      <c r="P688" s="68" t="e">
        <f aca="false">VLOOKUP(A688,BD_ORDENES!A:BE,23,FALSE())</f>
        <v>#N/A</v>
      </c>
      <c r="Q688" s="68" t="e">
        <f aca="false">VLOOKUP(A688,BD_ORDENES!A:BE,52,FALSE())</f>
        <v>#N/A</v>
      </c>
      <c r="R688" s="68" t="e">
        <f aca="false">VLOOKUP(A688,BD_ORDENES!A:BE,25,FALSE())</f>
        <v>#N/A</v>
      </c>
      <c r="S688" s="68" t="e">
        <f aca="false">VLOOKUP(A688,BD_ORDENES!A:BE,22,FALSE())</f>
        <v>#N/A</v>
      </c>
      <c r="T688" s="65" t="e">
        <f aca="false">VLOOKUP(A688,BD_ORDENES!A:BE,55,FALSE())</f>
        <v>#N/A</v>
      </c>
      <c r="U688" s="68" t="e">
        <f aca="false">VLOOKUP(A688,BD_ORDENES!A:BE,57,FALSE())</f>
        <v>#N/A</v>
      </c>
      <c r="V688" s="70"/>
      <c r="W688" s="71"/>
    </row>
    <row r="689" s="72" customFormat="true" ht="98.25" hidden="false" customHeight="true" outlineLevel="0" collapsed="false">
      <c r="A689" s="62" t="n">
        <f aca="false">A688+1</f>
        <v>682</v>
      </c>
      <c r="B689" s="63" t="e">
        <f aca="false">VLOOKUP(A689,BD_ORDENES!A:BG,12,FALSE())</f>
        <v>#N/A</v>
      </c>
      <c r="C689" s="64" t="n">
        <v>682</v>
      </c>
      <c r="D689" s="65" t="e">
        <f aca="false">VLOOKUP(A689,BD_ORDENES!A:BE,10,0)</f>
        <v>#N/A</v>
      </c>
      <c r="E689" s="66" t="e">
        <f aca="false">VLOOKUP(A689,BD_ORDENES!A:BG,4,FALSE())</f>
        <v>#N/A</v>
      </c>
      <c r="F689" s="66" t="e">
        <f aca="false">VLOOKUP(A689,BD_ORDENES!A:BE,56,FALSE())</f>
        <v>#N/A</v>
      </c>
      <c r="G689" s="67" t="e">
        <f aca="false">VLOOKUP(A689,BD_ORDENES!A:BE,13,FALSE())</f>
        <v>#N/A</v>
      </c>
      <c r="H689" s="68" t="e">
        <f aca="false">VLOOKUP(A689,BD_ORDENES!A:BE,17,FALSE())</f>
        <v>#N/A</v>
      </c>
      <c r="I689" s="68" t="e">
        <f aca="false">VLOOKUP(A689,BD_ORDENES!A:BE,18,FALSE())</f>
        <v>#N/A</v>
      </c>
      <c r="J689" s="68" t="e">
        <f aca="false">VLOOKUP(A689,BD_ORDENES!A:BE,19,FALSE())</f>
        <v>#N/A</v>
      </c>
      <c r="K689" s="68" t="e">
        <f aca="false">VLOOKUP(A689,BD_ORDENES!A:BE,20,FALSE())</f>
        <v>#N/A</v>
      </c>
      <c r="L689" s="68" t="e">
        <f aca="false">VLOOKUP(A689,BD_ORDENES!A:BE,21,FALSE())</f>
        <v>#N/A</v>
      </c>
      <c r="M689" s="69" t="e">
        <f aca="false">VLOOKUP(A689,BD_ORDENES!A:BE,14,FALSE())</f>
        <v>#N/A</v>
      </c>
      <c r="N689" s="68" t="e">
        <f aca="false">VLOOKUP(A689,BD_ORDENES!A:BE,15,FALSE())</f>
        <v>#N/A</v>
      </c>
      <c r="O689" s="68" t="e">
        <f aca="false">VLOOKUP(A689,BD_ORDENES!A:BE,33,FALSE())</f>
        <v>#N/A</v>
      </c>
      <c r="P689" s="68" t="e">
        <f aca="false">VLOOKUP(A689,BD_ORDENES!A:BE,23,FALSE())</f>
        <v>#N/A</v>
      </c>
      <c r="Q689" s="68" t="e">
        <f aca="false">VLOOKUP(A689,BD_ORDENES!A:BE,52,FALSE())</f>
        <v>#N/A</v>
      </c>
      <c r="R689" s="68" t="e">
        <f aca="false">VLOOKUP(A689,BD_ORDENES!A:BE,25,FALSE())</f>
        <v>#N/A</v>
      </c>
      <c r="S689" s="68" t="e">
        <f aca="false">VLOOKUP(A689,BD_ORDENES!A:BE,22,FALSE())</f>
        <v>#N/A</v>
      </c>
      <c r="T689" s="65" t="e">
        <f aca="false">VLOOKUP(A689,BD_ORDENES!A:BE,55,FALSE())</f>
        <v>#N/A</v>
      </c>
      <c r="U689" s="68" t="e">
        <f aca="false">VLOOKUP(A689,BD_ORDENES!A:BE,57,FALSE())</f>
        <v>#N/A</v>
      </c>
      <c r="V689" s="70"/>
      <c r="W689" s="71"/>
    </row>
    <row r="690" s="72" customFormat="true" ht="98.25" hidden="false" customHeight="true" outlineLevel="0" collapsed="false">
      <c r="A690" s="62" t="n">
        <f aca="false">A689+1</f>
        <v>683</v>
      </c>
      <c r="B690" s="63" t="e">
        <f aca="false">VLOOKUP(A690,BD_ORDENES!A:BG,12,FALSE())</f>
        <v>#N/A</v>
      </c>
      <c r="C690" s="64" t="n">
        <v>683</v>
      </c>
      <c r="D690" s="65" t="e">
        <f aca="false">VLOOKUP(A690,BD_ORDENES!A:BE,10,0)</f>
        <v>#N/A</v>
      </c>
      <c r="E690" s="66" t="e">
        <f aca="false">VLOOKUP(A690,BD_ORDENES!A:BG,4,FALSE())</f>
        <v>#N/A</v>
      </c>
      <c r="F690" s="66" t="e">
        <f aca="false">VLOOKUP(A690,BD_ORDENES!A:BE,56,FALSE())</f>
        <v>#N/A</v>
      </c>
      <c r="G690" s="67" t="e">
        <f aca="false">VLOOKUP(A690,BD_ORDENES!A:BE,13,FALSE())</f>
        <v>#N/A</v>
      </c>
      <c r="H690" s="68" t="e">
        <f aca="false">VLOOKUP(A690,BD_ORDENES!A:BE,17,FALSE())</f>
        <v>#N/A</v>
      </c>
      <c r="I690" s="68" t="e">
        <f aca="false">VLOOKUP(A690,BD_ORDENES!A:BE,18,FALSE())</f>
        <v>#N/A</v>
      </c>
      <c r="J690" s="68" t="e">
        <f aca="false">VLOOKUP(A690,BD_ORDENES!A:BE,19,FALSE())</f>
        <v>#N/A</v>
      </c>
      <c r="K690" s="68" t="e">
        <f aca="false">VLOOKUP(A690,BD_ORDENES!A:BE,20,FALSE())</f>
        <v>#N/A</v>
      </c>
      <c r="L690" s="68" t="e">
        <f aca="false">VLOOKUP(A690,BD_ORDENES!A:BE,21,FALSE())</f>
        <v>#N/A</v>
      </c>
      <c r="M690" s="69" t="e">
        <f aca="false">VLOOKUP(A690,BD_ORDENES!A:BE,14,FALSE())</f>
        <v>#N/A</v>
      </c>
      <c r="N690" s="68" t="e">
        <f aca="false">VLOOKUP(A690,BD_ORDENES!A:BE,15,FALSE())</f>
        <v>#N/A</v>
      </c>
      <c r="O690" s="68" t="e">
        <f aca="false">VLOOKUP(A690,BD_ORDENES!A:BE,33,FALSE())</f>
        <v>#N/A</v>
      </c>
      <c r="P690" s="68" t="e">
        <f aca="false">VLOOKUP(A690,BD_ORDENES!A:BE,23,FALSE())</f>
        <v>#N/A</v>
      </c>
      <c r="Q690" s="68" t="e">
        <f aca="false">VLOOKUP(A690,BD_ORDENES!A:BE,52,FALSE())</f>
        <v>#N/A</v>
      </c>
      <c r="R690" s="68" t="e">
        <f aca="false">VLOOKUP(A690,BD_ORDENES!A:BE,25,FALSE())</f>
        <v>#N/A</v>
      </c>
      <c r="S690" s="68" t="e">
        <f aca="false">VLOOKUP(A690,BD_ORDENES!A:BE,22,FALSE())</f>
        <v>#N/A</v>
      </c>
      <c r="T690" s="65" t="e">
        <f aca="false">VLOOKUP(A690,BD_ORDENES!A:BE,55,FALSE())</f>
        <v>#N/A</v>
      </c>
      <c r="U690" s="68" t="e">
        <f aca="false">VLOOKUP(A690,BD_ORDENES!A:BE,57,FALSE())</f>
        <v>#N/A</v>
      </c>
      <c r="V690" s="70"/>
      <c r="W690" s="71"/>
    </row>
    <row r="691" s="72" customFormat="true" ht="98.25" hidden="false" customHeight="true" outlineLevel="0" collapsed="false">
      <c r="A691" s="62" t="n">
        <f aca="false">A690+1</f>
        <v>684</v>
      </c>
      <c r="B691" s="63" t="e">
        <f aca="false">VLOOKUP(A691,BD_ORDENES!A:BG,12,FALSE())</f>
        <v>#N/A</v>
      </c>
      <c r="C691" s="64" t="n">
        <v>684</v>
      </c>
      <c r="D691" s="65" t="e">
        <f aca="false">VLOOKUP(A691,BD_ORDENES!A:BE,10,0)</f>
        <v>#N/A</v>
      </c>
      <c r="E691" s="66" t="e">
        <f aca="false">VLOOKUP(A691,BD_ORDENES!A:BG,4,FALSE())</f>
        <v>#N/A</v>
      </c>
      <c r="F691" s="66" t="e">
        <f aca="false">VLOOKUP(A691,BD_ORDENES!A:BE,56,FALSE())</f>
        <v>#N/A</v>
      </c>
      <c r="G691" s="67" t="e">
        <f aca="false">VLOOKUP(A691,BD_ORDENES!A:BE,13,FALSE())</f>
        <v>#N/A</v>
      </c>
      <c r="H691" s="68" t="e">
        <f aca="false">VLOOKUP(A691,BD_ORDENES!A:BE,17,FALSE())</f>
        <v>#N/A</v>
      </c>
      <c r="I691" s="68" t="e">
        <f aca="false">VLOOKUP(A691,BD_ORDENES!A:BE,18,FALSE())</f>
        <v>#N/A</v>
      </c>
      <c r="J691" s="68" t="e">
        <f aca="false">VLOOKUP(A691,BD_ORDENES!A:BE,19,FALSE())</f>
        <v>#N/A</v>
      </c>
      <c r="K691" s="68" t="e">
        <f aca="false">VLOOKUP(A691,BD_ORDENES!A:BE,20,FALSE())</f>
        <v>#N/A</v>
      </c>
      <c r="L691" s="68" t="e">
        <f aca="false">VLOOKUP(A691,BD_ORDENES!A:BE,21,FALSE())</f>
        <v>#N/A</v>
      </c>
      <c r="M691" s="69" t="e">
        <f aca="false">VLOOKUP(A691,BD_ORDENES!A:BE,14,FALSE())</f>
        <v>#N/A</v>
      </c>
      <c r="N691" s="68" t="e">
        <f aca="false">VLOOKUP(A691,BD_ORDENES!A:BE,15,FALSE())</f>
        <v>#N/A</v>
      </c>
      <c r="O691" s="68" t="e">
        <f aca="false">VLOOKUP(A691,BD_ORDENES!A:BE,33,FALSE())</f>
        <v>#N/A</v>
      </c>
      <c r="P691" s="68" t="e">
        <f aca="false">VLOOKUP(A691,BD_ORDENES!A:BE,23,FALSE())</f>
        <v>#N/A</v>
      </c>
      <c r="Q691" s="68" t="e">
        <f aca="false">VLOOKUP(A691,BD_ORDENES!A:BE,52,FALSE())</f>
        <v>#N/A</v>
      </c>
      <c r="R691" s="68" t="e">
        <f aca="false">VLOOKUP(A691,BD_ORDENES!A:BE,25,FALSE())</f>
        <v>#N/A</v>
      </c>
      <c r="S691" s="68" t="e">
        <f aca="false">VLOOKUP(A691,BD_ORDENES!A:BE,22,FALSE())</f>
        <v>#N/A</v>
      </c>
      <c r="T691" s="65" t="e">
        <f aca="false">VLOOKUP(A691,BD_ORDENES!A:BE,55,FALSE())</f>
        <v>#N/A</v>
      </c>
      <c r="U691" s="68" t="e">
        <f aca="false">VLOOKUP(A691,BD_ORDENES!A:BE,57,FALSE())</f>
        <v>#N/A</v>
      </c>
      <c r="V691" s="70"/>
      <c r="W691" s="71"/>
    </row>
    <row r="692" s="72" customFormat="true" ht="98.25" hidden="false" customHeight="true" outlineLevel="0" collapsed="false">
      <c r="A692" s="62" t="n">
        <f aca="false">A691+1</f>
        <v>685</v>
      </c>
      <c r="B692" s="63" t="e">
        <f aca="false">VLOOKUP(A692,BD_ORDENES!A:BG,12,FALSE())</f>
        <v>#N/A</v>
      </c>
      <c r="C692" s="64" t="n">
        <v>685</v>
      </c>
      <c r="D692" s="65" t="e">
        <f aca="false">VLOOKUP(A692,BD_ORDENES!A:BE,10,0)</f>
        <v>#N/A</v>
      </c>
      <c r="E692" s="66" t="e">
        <f aca="false">VLOOKUP(A692,BD_ORDENES!A:BG,4,FALSE())</f>
        <v>#N/A</v>
      </c>
      <c r="F692" s="66" t="e">
        <f aca="false">VLOOKUP(A692,BD_ORDENES!A:BE,56,FALSE())</f>
        <v>#N/A</v>
      </c>
      <c r="G692" s="67" t="e">
        <f aca="false">VLOOKUP(A692,BD_ORDENES!A:BE,13,FALSE())</f>
        <v>#N/A</v>
      </c>
      <c r="H692" s="68" t="e">
        <f aca="false">VLOOKUP(A692,BD_ORDENES!A:BE,17,FALSE())</f>
        <v>#N/A</v>
      </c>
      <c r="I692" s="68" t="e">
        <f aca="false">VLOOKUP(A692,BD_ORDENES!A:BE,18,FALSE())</f>
        <v>#N/A</v>
      </c>
      <c r="J692" s="68" t="e">
        <f aca="false">VLOOKUP(A692,BD_ORDENES!A:BE,19,FALSE())</f>
        <v>#N/A</v>
      </c>
      <c r="K692" s="68" t="e">
        <f aca="false">VLOOKUP(A692,BD_ORDENES!A:BE,20,FALSE())</f>
        <v>#N/A</v>
      </c>
      <c r="L692" s="68" t="e">
        <f aca="false">VLOOKUP(A692,BD_ORDENES!A:BE,21,FALSE())</f>
        <v>#N/A</v>
      </c>
      <c r="M692" s="69" t="e">
        <f aca="false">VLOOKUP(A692,BD_ORDENES!A:BE,14,FALSE())</f>
        <v>#N/A</v>
      </c>
      <c r="N692" s="68" t="e">
        <f aca="false">VLOOKUP(A692,BD_ORDENES!A:BE,15,FALSE())</f>
        <v>#N/A</v>
      </c>
      <c r="O692" s="68" t="e">
        <f aca="false">VLOOKUP(A692,BD_ORDENES!A:BE,33,FALSE())</f>
        <v>#N/A</v>
      </c>
      <c r="P692" s="68" t="e">
        <f aca="false">VLOOKUP(A692,BD_ORDENES!A:BE,23,FALSE())</f>
        <v>#N/A</v>
      </c>
      <c r="Q692" s="68" t="e">
        <f aca="false">VLOOKUP(A692,BD_ORDENES!A:BE,52,FALSE())</f>
        <v>#N/A</v>
      </c>
      <c r="R692" s="68" t="e">
        <f aca="false">VLOOKUP(A692,BD_ORDENES!A:BE,25,FALSE())</f>
        <v>#N/A</v>
      </c>
      <c r="S692" s="68" t="e">
        <f aca="false">VLOOKUP(A692,BD_ORDENES!A:BE,22,FALSE())</f>
        <v>#N/A</v>
      </c>
      <c r="T692" s="65" t="e">
        <f aca="false">VLOOKUP(A692,BD_ORDENES!A:BE,55,FALSE())</f>
        <v>#N/A</v>
      </c>
      <c r="U692" s="68" t="e">
        <f aca="false">VLOOKUP(A692,BD_ORDENES!A:BE,57,FALSE())</f>
        <v>#N/A</v>
      </c>
      <c r="V692" s="70"/>
      <c r="W692" s="71"/>
    </row>
    <row r="693" s="72" customFormat="true" ht="98.25" hidden="false" customHeight="true" outlineLevel="0" collapsed="false">
      <c r="A693" s="62" t="n">
        <f aca="false">A692+1</f>
        <v>686</v>
      </c>
      <c r="B693" s="63" t="e">
        <f aca="false">VLOOKUP(A693,BD_ORDENES!A:BG,12,FALSE())</f>
        <v>#N/A</v>
      </c>
      <c r="C693" s="64" t="n">
        <v>686</v>
      </c>
      <c r="D693" s="65" t="e">
        <f aca="false">VLOOKUP(A693,BD_ORDENES!A:BE,10,0)</f>
        <v>#N/A</v>
      </c>
      <c r="E693" s="66" t="e">
        <f aca="false">VLOOKUP(A693,BD_ORDENES!A:BG,4,FALSE())</f>
        <v>#N/A</v>
      </c>
      <c r="F693" s="66" t="e">
        <f aca="false">VLOOKUP(A693,BD_ORDENES!A:BE,56,FALSE())</f>
        <v>#N/A</v>
      </c>
      <c r="G693" s="67" t="e">
        <f aca="false">VLOOKUP(A693,BD_ORDENES!A:BE,13,FALSE())</f>
        <v>#N/A</v>
      </c>
      <c r="H693" s="68" t="e">
        <f aca="false">VLOOKUP(A693,BD_ORDENES!A:BE,17,FALSE())</f>
        <v>#N/A</v>
      </c>
      <c r="I693" s="68" t="e">
        <f aca="false">VLOOKUP(A693,BD_ORDENES!A:BE,18,FALSE())</f>
        <v>#N/A</v>
      </c>
      <c r="J693" s="68" t="e">
        <f aca="false">VLOOKUP(A693,BD_ORDENES!A:BE,19,FALSE())</f>
        <v>#N/A</v>
      </c>
      <c r="K693" s="68" t="e">
        <f aca="false">VLOOKUP(A693,BD_ORDENES!A:BE,20,FALSE())</f>
        <v>#N/A</v>
      </c>
      <c r="L693" s="68" t="e">
        <f aca="false">VLOOKUP(A693,BD_ORDENES!A:BE,21,FALSE())</f>
        <v>#N/A</v>
      </c>
      <c r="M693" s="69" t="e">
        <f aca="false">VLOOKUP(A693,BD_ORDENES!A:BE,14,FALSE())</f>
        <v>#N/A</v>
      </c>
      <c r="N693" s="68" t="e">
        <f aca="false">VLOOKUP(A693,BD_ORDENES!A:BE,15,FALSE())</f>
        <v>#N/A</v>
      </c>
      <c r="O693" s="68" t="e">
        <f aca="false">VLOOKUP(A693,BD_ORDENES!A:BE,33,FALSE())</f>
        <v>#N/A</v>
      </c>
      <c r="P693" s="68" t="e">
        <f aca="false">VLOOKUP(A693,BD_ORDENES!A:BE,23,FALSE())</f>
        <v>#N/A</v>
      </c>
      <c r="Q693" s="68" t="e">
        <f aca="false">VLOOKUP(A693,BD_ORDENES!A:BE,52,FALSE())</f>
        <v>#N/A</v>
      </c>
      <c r="R693" s="68" t="e">
        <f aca="false">VLOOKUP(A693,BD_ORDENES!A:BE,25,FALSE())</f>
        <v>#N/A</v>
      </c>
      <c r="S693" s="68" t="e">
        <f aca="false">VLOOKUP(A693,BD_ORDENES!A:BE,22,FALSE())</f>
        <v>#N/A</v>
      </c>
      <c r="T693" s="65" t="e">
        <f aca="false">VLOOKUP(A693,BD_ORDENES!A:BE,55,FALSE())</f>
        <v>#N/A</v>
      </c>
      <c r="U693" s="68" t="e">
        <f aca="false">VLOOKUP(A693,BD_ORDENES!A:BE,57,FALSE())</f>
        <v>#N/A</v>
      </c>
      <c r="V693" s="70"/>
      <c r="W693" s="71"/>
    </row>
    <row r="694" s="72" customFormat="true" ht="98.25" hidden="false" customHeight="true" outlineLevel="0" collapsed="false">
      <c r="A694" s="62" t="n">
        <f aca="false">A693+1</f>
        <v>687</v>
      </c>
      <c r="B694" s="63" t="e">
        <f aca="false">VLOOKUP(A694,BD_ORDENES!A:BG,12,FALSE())</f>
        <v>#N/A</v>
      </c>
      <c r="C694" s="64" t="n">
        <v>687</v>
      </c>
      <c r="D694" s="65" t="e">
        <f aca="false">VLOOKUP(A694,BD_ORDENES!A:BE,10,0)</f>
        <v>#N/A</v>
      </c>
      <c r="E694" s="66" t="e">
        <f aca="false">VLOOKUP(A694,BD_ORDENES!A:BG,4,FALSE())</f>
        <v>#N/A</v>
      </c>
      <c r="F694" s="66" t="e">
        <f aca="false">VLOOKUP(A694,BD_ORDENES!A:BE,56,FALSE())</f>
        <v>#N/A</v>
      </c>
      <c r="G694" s="67" t="e">
        <f aca="false">VLOOKUP(A694,BD_ORDENES!A:BE,13,FALSE())</f>
        <v>#N/A</v>
      </c>
      <c r="H694" s="68" t="e">
        <f aca="false">VLOOKUP(A694,BD_ORDENES!A:BE,17,FALSE())</f>
        <v>#N/A</v>
      </c>
      <c r="I694" s="68" t="e">
        <f aca="false">VLOOKUP(A694,BD_ORDENES!A:BE,18,FALSE())</f>
        <v>#N/A</v>
      </c>
      <c r="J694" s="68" t="e">
        <f aca="false">VLOOKUP(A694,BD_ORDENES!A:BE,19,FALSE())</f>
        <v>#N/A</v>
      </c>
      <c r="K694" s="68" t="e">
        <f aca="false">VLOOKUP(A694,BD_ORDENES!A:BE,20,FALSE())</f>
        <v>#N/A</v>
      </c>
      <c r="L694" s="68" t="e">
        <f aca="false">VLOOKUP(A694,BD_ORDENES!A:BE,21,FALSE())</f>
        <v>#N/A</v>
      </c>
      <c r="M694" s="69" t="e">
        <f aca="false">VLOOKUP(A694,BD_ORDENES!A:BE,14,FALSE())</f>
        <v>#N/A</v>
      </c>
      <c r="N694" s="68" t="e">
        <f aca="false">VLOOKUP(A694,BD_ORDENES!A:BE,15,FALSE())</f>
        <v>#N/A</v>
      </c>
      <c r="O694" s="68" t="e">
        <f aca="false">VLOOKUP(A694,BD_ORDENES!A:BE,33,FALSE())</f>
        <v>#N/A</v>
      </c>
      <c r="P694" s="68" t="e">
        <f aca="false">VLOOKUP(A694,BD_ORDENES!A:BE,23,FALSE())</f>
        <v>#N/A</v>
      </c>
      <c r="Q694" s="68" t="e">
        <f aca="false">VLOOKUP(A694,BD_ORDENES!A:BE,52,FALSE())</f>
        <v>#N/A</v>
      </c>
      <c r="R694" s="68" t="e">
        <f aca="false">VLOOKUP(A694,BD_ORDENES!A:BE,25,FALSE())</f>
        <v>#N/A</v>
      </c>
      <c r="S694" s="68" t="e">
        <f aca="false">VLOOKUP(A694,BD_ORDENES!A:BE,22,FALSE())</f>
        <v>#N/A</v>
      </c>
      <c r="T694" s="65" t="e">
        <f aca="false">VLOOKUP(A694,BD_ORDENES!A:BE,55,FALSE())</f>
        <v>#N/A</v>
      </c>
      <c r="U694" s="68" t="e">
        <f aca="false">VLOOKUP(A694,BD_ORDENES!A:BE,57,FALSE())</f>
        <v>#N/A</v>
      </c>
      <c r="V694" s="70"/>
      <c r="W694" s="71"/>
    </row>
    <row r="695" s="72" customFormat="true" ht="98.25" hidden="false" customHeight="true" outlineLevel="0" collapsed="false">
      <c r="A695" s="62" t="n">
        <f aca="false">A694+1</f>
        <v>688</v>
      </c>
      <c r="B695" s="63" t="e">
        <f aca="false">VLOOKUP(A695,BD_ORDENES!A:BG,12,FALSE())</f>
        <v>#N/A</v>
      </c>
      <c r="C695" s="64" t="n">
        <v>688</v>
      </c>
      <c r="D695" s="65" t="e">
        <f aca="false">VLOOKUP(A695,BD_ORDENES!A:BE,10,0)</f>
        <v>#N/A</v>
      </c>
      <c r="E695" s="66" t="e">
        <f aca="false">VLOOKUP(A695,BD_ORDENES!A:BG,4,FALSE())</f>
        <v>#N/A</v>
      </c>
      <c r="F695" s="66" t="e">
        <f aca="false">VLOOKUP(A695,BD_ORDENES!A:BE,56,FALSE())</f>
        <v>#N/A</v>
      </c>
      <c r="G695" s="67" t="e">
        <f aca="false">VLOOKUP(A695,BD_ORDENES!A:BE,13,FALSE())</f>
        <v>#N/A</v>
      </c>
      <c r="H695" s="68" t="e">
        <f aca="false">VLOOKUP(A695,BD_ORDENES!A:BE,17,FALSE())</f>
        <v>#N/A</v>
      </c>
      <c r="I695" s="68" t="e">
        <f aca="false">VLOOKUP(A695,BD_ORDENES!A:BE,18,FALSE())</f>
        <v>#N/A</v>
      </c>
      <c r="J695" s="68" t="e">
        <f aca="false">VLOOKUP(A695,BD_ORDENES!A:BE,19,FALSE())</f>
        <v>#N/A</v>
      </c>
      <c r="K695" s="68" t="e">
        <f aca="false">VLOOKUP(A695,BD_ORDENES!A:BE,20,FALSE())</f>
        <v>#N/A</v>
      </c>
      <c r="L695" s="68" t="e">
        <f aca="false">VLOOKUP(A695,BD_ORDENES!A:BE,21,FALSE())</f>
        <v>#N/A</v>
      </c>
      <c r="M695" s="69" t="e">
        <f aca="false">VLOOKUP(A695,BD_ORDENES!A:BE,14,FALSE())</f>
        <v>#N/A</v>
      </c>
      <c r="N695" s="68" t="e">
        <f aca="false">VLOOKUP(A695,BD_ORDENES!A:BE,15,FALSE())</f>
        <v>#N/A</v>
      </c>
      <c r="O695" s="68" t="e">
        <f aca="false">VLOOKUP(A695,BD_ORDENES!A:BE,33,FALSE())</f>
        <v>#N/A</v>
      </c>
      <c r="P695" s="68" t="e">
        <f aca="false">VLOOKUP(A695,BD_ORDENES!A:BE,23,FALSE())</f>
        <v>#N/A</v>
      </c>
      <c r="Q695" s="68" t="e">
        <f aca="false">VLOOKUP(A695,BD_ORDENES!A:BE,52,FALSE())</f>
        <v>#N/A</v>
      </c>
      <c r="R695" s="68" t="e">
        <f aca="false">VLOOKUP(A695,BD_ORDENES!A:BE,25,FALSE())</f>
        <v>#N/A</v>
      </c>
      <c r="S695" s="68" t="e">
        <f aca="false">VLOOKUP(A695,BD_ORDENES!A:BE,22,FALSE())</f>
        <v>#N/A</v>
      </c>
      <c r="T695" s="65" t="e">
        <f aca="false">VLOOKUP(A695,BD_ORDENES!A:BE,55,FALSE())</f>
        <v>#N/A</v>
      </c>
      <c r="U695" s="68" t="e">
        <f aca="false">VLOOKUP(A695,BD_ORDENES!A:BE,57,FALSE())</f>
        <v>#N/A</v>
      </c>
      <c r="V695" s="70"/>
      <c r="W695" s="71"/>
    </row>
    <row r="696" s="72" customFormat="true" ht="98.25" hidden="false" customHeight="true" outlineLevel="0" collapsed="false">
      <c r="A696" s="62" t="n">
        <f aca="false">A695+1</f>
        <v>689</v>
      </c>
      <c r="B696" s="63" t="e">
        <f aca="false">VLOOKUP(A696,BD_ORDENES!A:BG,12,FALSE())</f>
        <v>#N/A</v>
      </c>
      <c r="C696" s="64" t="n">
        <v>689</v>
      </c>
      <c r="D696" s="65" t="e">
        <f aca="false">VLOOKUP(A696,BD_ORDENES!A:BE,10,0)</f>
        <v>#N/A</v>
      </c>
      <c r="E696" s="66" t="e">
        <f aca="false">VLOOKUP(A696,BD_ORDENES!A:BG,4,FALSE())</f>
        <v>#N/A</v>
      </c>
      <c r="F696" s="66" t="e">
        <f aca="false">VLOOKUP(A696,BD_ORDENES!A:BE,56,FALSE())</f>
        <v>#N/A</v>
      </c>
      <c r="G696" s="67" t="e">
        <f aca="false">VLOOKUP(A696,BD_ORDENES!A:BE,13,FALSE())</f>
        <v>#N/A</v>
      </c>
      <c r="H696" s="68" t="e">
        <f aca="false">VLOOKUP(A696,BD_ORDENES!A:BE,17,FALSE())</f>
        <v>#N/A</v>
      </c>
      <c r="I696" s="68" t="e">
        <f aca="false">VLOOKUP(A696,BD_ORDENES!A:BE,18,FALSE())</f>
        <v>#N/A</v>
      </c>
      <c r="J696" s="68" t="e">
        <f aca="false">VLOOKUP(A696,BD_ORDENES!A:BE,19,FALSE())</f>
        <v>#N/A</v>
      </c>
      <c r="K696" s="68" t="e">
        <f aca="false">VLOOKUP(A696,BD_ORDENES!A:BE,20,FALSE())</f>
        <v>#N/A</v>
      </c>
      <c r="L696" s="68" t="e">
        <f aca="false">VLOOKUP(A696,BD_ORDENES!A:BE,21,FALSE())</f>
        <v>#N/A</v>
      </c>
      <c r="M696" s="69" t="e">
        <f aca="false">VLOOKUP(A696,BD_ORDENES!A:BE,14,FALSE())</f>
        <v>#N/A</v>
      </c>
      <c r="N696" s="68" t="e">
        <f aca="false">VLOOKUP(A696,BD_ORDENES!A:BE,15,FALSE())</f>
        <v>#N/A</v>
      </c>
      <c r="O696" s="68" t="e">
        <f aca="false">VLOOKUP(A696,BD_ORDENES!A:BE,33,FALSE())</f>
        <v>#N/A</v>
      </c>
      <c r="P696" s="68" t="e">
        <f aca="false">VLOOKUP(A696,BD_ORDENES!A:BE,23,FALSE())</f>
        <v>#N/A</v>
      </c>
      <c r="Q696" s="68" t="e">
        <f aca="false">VLOOKUP(A696,BD_ORDENES!A:BE,52,FALSE())</f>
        <v>#N/A</v>
      </c>
      <c r="R696" s="68" t="e">
        <f aca="false">VLOOKUP(A696,BD_ORDENES!A:BE,25,FALSE())</f>
        <v>#N/A</v>
      </c>
      <c r="S696" s="68" t="e">
        <f aca="false">VLOOKUP(A696,BD_ORDENES!A:BE,22,FALSE())</f>
        <v>#N/A</v>
      </c>
      <c r="T696" s="65" t="e">
        <f aca="false">VLOOKUP(A696,BD_ORDENES!A:BE,55,FALSE())</f>
        <v>#N/A</v>
      </c>
      <c r="U696" s="68" t="e">
        <f aca="false">VLOOKUP(A696,BD_ORDENES!A:BE,57,FALSE())</f>
        <v>#N/A</v>
      </c>
      <c r="V696" s="70"/>
      <c r="W696" s="71"/>
    </row>
    <row r="697" s="72" customFormat="true" ht="98.25" hidden="false" customHeight="true" outlineLevel="0" collapsed="false">
      <c r="A697" s="62" t="n">
        <f aca="false">A696+1</f>
        <v>690</v>
      </c>
      <c r="B697" s="63" t="e">
        <f aca="false">VLOOKUP(A697,BD_ORDENES!A:BG,12,FALSE())</f>
        <v>#N/A</v>
      </c>
      <c r="C697" s="64" t="n">
        <v>690</v>
      </c>
      <c r="D697" s="65" t="e">
        <f aca="false">VLOOKUP(A697,BD_ORDENES!A:BE,10,0)</f>
        <v>#N/A</v>
      </c>
      <c r="E697" s="66" t="e">
        <f aca="false">VLOOKUP(A697,BD_ORDENES!A:BG,4,FALSE())</f>
        <v>#N/A</v>
      </c>
      <c r="F697" s="66" t="e">
        <f aca="false">VLOOKUP(A697,BD_ORDENES!A:BE,56,FALSE())</f>
        <v>#N/A</v>
      </c>
      <c r="G697" s="67" t="e">
        <f aca="false">VLOOKUP(A697,BD_ORDENES!A:BE,13,FALSE())</f>
        <v>#N/A</v>
      </c>
      <c r="H697" s="68" t="e">
        <f aca="false">VLOOKUP(A697,BD_ORDENES!A:BE,17,FALSE())</f>
        <v>#N/A</v>
      </c>
      <c r="I697" s="68" t="e">
        <f aca="false">VLOOKUP(A697,BD_ORDENES!A:BE,18,FALSE())</f>
        <v>#N/A</v>
      </c>
      <c r="J697" s="68" t="e">
        <f aca="false">VLOOKUP(A697,BD_ORDENES!A:BE,19,FALSE())</f>
        <v>#N/A</v>
      </c>
      <c r="K697" s="68" t="e">
        <f aca="false">VLOOKUP(A697,BD_ORDENES!A:BE,20,FALSE())</f>
        <v>#N/A</v>
      </c>
      <c r="L697" s="68" t="e">
        <f aca="false">VLOOKUP(A697,BD_ORDENES!A:BE,21,FALSE())</f>
        <v>#N/A</v>
      </c>
      <c r="M697" s="69" t="e">
        <f aca="false">VLOOKUP(A697,BD_ORDENES!A:BE,14,FALSE())</f>
        <v>#N/A</v>
      </c>
      <c r="N697" s="68" t="e">
        <f aca="false">VLOOKUP(A697,BD_ORDENES!A:BE,15,FALSE())</f>
        <v>#N/A</v>
      </c>
      <c r="O697" s="68" t="e">
        <f aca="false">VLOOKUP(A697,BD_ORDENES!A:BE,33,FALSE())</f>
        <v>#N/A</v>
      </c>
      <c r="P697" s="68" t="e">
        <f aca="false">VLOOKUP(A697,BD_ORDENES!A:BE,23,FALSE())</f>
        <v>#N/A</v>
      </c>
      <c r="Q697" s="68" t="e">
        <f aca="false">VLOOKUP(A697,BD_ORDENES!A:BE,52,FALSE())</f>
        <v>#N/A</v>
      </c>
      <c r="R697" s="68" t="e">
        <f aca="false">VLOOKUP(A697,BD_ORDENES!A:BE,25,FALSE())</f>
        <v>#N/A</v>
      </c>
      <c r="S697" s="68" t="e">
        <f aca="false">VLOOKUP(A697,BD_ORDENES!A:BE,22,FALSE())</f>
        <v>#N/A</v>
      </c>
      <c r="T697" s="65" t="e">
        <f aca="false">VLOOKUP(A697,BD_ORDENES!A:BE,55,FALSE())</f>
        <v>#N/A</v>
      </c>
      <c r="U697" s="68" t="e">
        <f aca="false">VLOOKUP(A697,BD_ORDENES!A:BE,57,FALSE())</f>
        <v>#N/A</v>
      </c>
      <c r="V697" s="70"/>
      <c r="W697" s="71"/>
    </row>
    <row r="698" s="72" customFormat="true" ht="98.25" hidden="false" customHeight="true" outlineLevel="0" collapsed="false">
      <c r="A698" s="62" t="n">
        <f aca="false">A697+1</f>
        <v>691</v>
      </c>
      <c r="B698" s="63" t="e">
        <f aca="false">VLOOKUP(A698,BD_ORDENES!A:BG,12,FALSE())</f>
        <v>#N/A</v>
      </c>
      <c r="C698" s="64" t="n">
        <v>691</v>
      </c>
      <c r="D698" s="65" t="e">
        <f aca="false">VLOOKUP(A698,BD_ORDENES!A:BE,10,0)</f>
        <v>#N/A</v>
      </c>
      <c r="E698" s="66" t="e">
        <f aca="false">VLOOKUP(A698,BD_ORDENES!A:BG,4,FALSE())</f>
        <v>#N/A</v>
      </c>
      <c r="F698" s="66" t="e">
        <f aca="false">VLOOKUP(A698,BD_ORDENES!A:BE,56,FALSE())</f>
        <v>#N/A</v>
      </c>
      <c r="G698" s="67" t="e">
        <f aca="false">VLOOKUP(A698,BD_ORDENES!A:BE,13,FALSE())</f>
        <v>#N/A</v>
      </c>
      <c r="H698" s="68" t="e">
        <f aca="false">VLOOKUP(A698,BD_ORDENES!A:BE,17,FALSE())</f>
        <v>#N/A</v>
      </c>
      <c r="I698" s="68" t="e">
        <f aca="false">VLOOKUP(A698,BD_ORDENES!A:BE,18,FALSE())</f>
        <v>#N/A</v>
      </c>
      <c r="J698" s="68" t="e">
        <f aca="false">VLOOKUP(A698,BD_ORDENES!A:BE,19,FALSE())</f>
        <v>#N/A</v>
      </c>
      <c r="K698" s="68" t="e">
        <f aca="false">VLOOKUP(A698,BD_ORDENES!A:BE,20,FALSE())</f>
        <v>#N/A</v>
      </c>
      <c r="L698" s="68" t="e">
        <f aca="false">VLOOKUP(A698,BD_ORDENES!A:BE,21,FALSE())</f>
        <v>#N/A</v>
      </c>
      <c r="M698" s="69" t="e">
        <f aca="false">VLOOKUP(A698,BD_ORDENES!A:BE,14,FALSE())</f>
        <v>#N/A</v>
      </c>
      <c r="N698" s="68" t="e">
        <f aca="false">VLOOKUP(A698,BD_ORDENES!A:BE,15,FALSE())</f>
        <v>#N/A</v>
      </c>
      <c r="O698" s="68" t="e">
        <f aca="false">VLOOKUP(A698,BD_ORDENES!A:BE,33,FALSE())</f>
        <v>#N/A</v>
      </c>
      <c r="P698" s="68" t="e">
        <f aca="false">VLOOKUP(A698,BD_ORDENES!A:BE,23,FALSE())</f>
        <v>#N/A</v>
      </c>
      <c r="Q698" s="68" t="e">
        <f aca="false">VLOOKUP(A698,BD_ORDENES!A:BE,52,FALSE())</f>
        <v>#N/A</v>
      </c>
      <c r="R698" s="68" t="e">
        <f aca="false">VLOOKUP(A698,BD_ORDENES!A:BE,25,FALSE())</f>
        <v>#N/A</v>
      </c>
      <c r="S698" s="68" t="e">
        <f aca="false">VLOOKUP(A698,BD_ORDENES!A:BE,22,FALSE())</f>
        <v>#N/A</v>
      </c>
      <c r="T698" s="65" t="e">
        <f aca="false">VLOOKUP(A698,BD_ORDENES!A:BE,55,FALSE())</f>
        <v>#N/A</v>
      </c>
      <c r="U698" s="68" t="e">
        <f aca="false">VLOOKUP(A698,BD_ORDENES!A:BE,57,FALSE())</f>
        <v>#N/A</v>
      </c>
      <c r="V698" s="70"/>
      <c r="W698" s="71"/>
    </row>
    <row r="699" s="72" customFormat="true" ht="98.25" hidden="false" customHeight="true" outlineLevel="0" collapsed="false">
      <c r="A699" s="62" t="n">
        <f aca="false">A698+1</f>
        <v>692</v>
      </c>
      <c r="B699" s="63" t="e">
        <f aca="false">VLOOKUP(A699,BD_ORDENES!A:BG,12,FALSE())</f>
        <v>#N/A</v>
      </c>
      <c r="C699" s="64" t="n">
        <v>692</v>
      </c>
      <c r="D699" s="65" t="e">
        <f aca="false">VLOOKUP(A699,BD_ORDENES!A:BE,10,0)</f>
        <v>#N/A</v>
      </c>
      <c r="E699" s="66" t="e">
        <f aca="false">VLOOKUP(A699,BD_ORDENES!A:BG,4,FALSE())</f>
        <v>#N/A</v>
      </c>
      <c r="F699" s="66" t="e">
        <f aca="false">VLOOKUP(A699,BD_ORDENES!A:BE,56,FALSE())</f>
        <v>#N/A</v>
      </c>
      <c r="G699" s="67" t="e">
        <f aca="false">VLOOKUP(A699,BD_ORDENES!A:BE,13,FALSE())</f>
        <v>#N/A</v>
      </c>
      <c r="H699" s="68" t="e">
        <f aca="false">VLOOKUP(A699,BD_ORDENES!A:BE,17,FALSE())</f>
        <v>#N/A</v>
      </c>
      <c r="I699" s="68" t="e">
        <f aca="false">VLOOKUP(A699,BD_ORDENES!A:BE,18,FALSE())</f>
        <v>#N/A</v>
      </c>
      <c r="J699" s="68" t="e">
        <f aca="false">VLOOKUP(A699,BD_ORDENES!A:BE,19,FALSE())</f>
        <v>#N/A</v>
      </c>
      <c r="K699" s="68" t="e">
        <f aca="false">VLOOKUP(A699,BD_ORDENES!A:BE,20,FALSE())</f>
        <v>#N/A</v>
      </c>
      <c r="L699" s="68" t="e">
        <f aca="false">VLOOKUP(A699,BD_ORDENES!A:BE,21,FALSE())</f>
        <v>#N/A</v>
      </c>
      <c r="M699" s="69" t="e">
        <f aca="false">VLOOKUP(A699,BD_ORDENES!A:BE,14,FALSE())</f>
        <v>#N/A</v>
      </c>
      <c r="N699" s="68" t="e">
        <f aca="false">VLOOKUP(A699,BD_ORDENES!A:BE,15,FALSE())</f>
        <v>#N/A</v>
      </c>
      <c r="O699" s="68" t="e">
        <f aca="false">VLOOKUP(A699,BD_ORDENES!A:BE,33,FALSE())</f>
        <v>#N/A</v>
      </c>
      <c r="P699" s="68" t="e">
        <f aca="false">VLOOKUP(A699,BD_ORDENES!A:BE,23,FALSE())</f>
        <v>#N/A</v>
      </c>
      <c r="Q699" s="68" t="e">
        <f aca="false">VLOOKUP(A699,BD_ORDENES!A:BE,52,FALSE())</f>
        <v>#N/A</v>
      </c>
      <c r="R699" s="68" t="e">
        <f aca="false">VLOOKUP(A699,BD_ORDENES!A:BE,25,FALSE())</f>
        <v>#N/A</v>
      </c>
      <c r="S699" s="68" t="e">
        <f aca="false">VLOOKUP(A699,BD_ORDENES!A:BE,22,FALSE())</f>
        <v>#N/A</v>
      </c>
      <c r="T699" s="65" t="e">
        <f aca="false">VLOOKUP(A699,BD_ORDENES!A:BE,55,FALSE())</f>
        <v>#N/A</v>
      </c>
      <c r="U699" s="68" t="e">
        <f aca="false">VLOOKUP(A699,BD_ORDENES!A:BE,57,FALSE())</f>
        <v>#N/A</v>
      </c>
      <c r="V699" s="70"/>
      <c r="W699" s="71"/>
    </row>
    <row r="700" s="72" customFormat="true" ht="98.25" hidden="false" customHeight="true" outlineLevel="0" collapsed="false">
      <c r="A700" s="62" t="n">
        <f aca="false">A699+1</f>
        <v>693</v>
      </c>
      <c r="B700" s="63" t="e">
        <f aca="false">VLOOKUP(A700,BD_ORDENES!A:BG,12,FALSE())</f>
        <v>#N/A</v>
      </c>
      <c r="C700" s="64" t="n">
        <v>693</v>
      </c>
      <c r="D700" s="65" t="e">
        <f aca="false">VLOOKUP(A700,BD_ORDENES!A:BE,10,0)</f>
        <v>#N/A</v>
      </c>
      <c r="E700" s="66" t="e">
        <f aca="false">VLOOKUP(A700,BD_ORDENES!A:BG,4,FALSE())</f>
        <v>#N/A</v>
      </c>
      <c r="F700" s="66" t="e">
        <f aca="false">VLOOKUP(A700,BD_ORDENES!A:BE,56,FALSE())</f>
        <v>#N/A</v>
      </c>
      <c r="G700" s="67" t="e">
        <f aca="false">VLOOKUP(A700,BD_ORDENES!A:BE,13,FALSE())</f>
        <v>#N/A</v>
      </c>
      <c r="H700" s="68" t="e">
        <f aca="false">VLOOKUP(A700,BD_ORDENES!A:BE,17,FALSE())</f>
        <v>#N/A</v>
      </c>
      <c r="I700" s="68" t="e">
        <f aca="false">VLOOKUP(A700,BD_ORDENES!A:BE,18,FALSE())</f>
        <v>#N/A</v>
      </c>
      <c r="J700" s="68" t="e">
        <f aca="false">VLOOKUP(A700,BD_ORDENES!A:BE,19,FALSE())</f>
        <v>#N/A</v>
      </c>
      <c r="K700" s="68" t="e">
        <f aca="false">VLOOKUP(A700,BD_ORDENES!A:BE,20,FALSE())</f>
        <v>#N/A</v>
      </c>
      <c r="L700" s="68" t="e">
        <f aca="false">VLOOKUP(A700,BD_ORDENES!A:BE,21,FALSE())</f>
        <v>#N/A</v>
      </c>
      <c r="M700" s="69" t="e">
        <f aca="false">VLOOKUP(A700,BD_ORDENES!A:BE,14,FALSE())</f>
        <v>#N/A</v>
      </c>
      <c r="N700" s="68" t="e">
        <f aca="false">VLOOKUP(A700,BD_ORDENES!A:BE,15,FALSE())</f>
        <v>#N/A</v>
      </c>
      <c r="O700" s="68" t="e">
        <f aca="false">VLOOKUP(A700,BD_ORDENES!A:BE,33,FALSE())</f>
        <v>#N/A</v>
      </c>
      <c r="P700" s="68" t="e">
        <f aca="false">VLOOKUP(A700,BD_ORDENES!A:BE,23,FALSE())</f>
        <v>#N/A</v>
      </c>
      <c r="Q700" s="68" t="e">
        <f aca="false">VLOOKUP(A700,BD_ORDENES!A:BE,52,FALSE())</f>
        <v>#N/A</v>
      </c>
      <c r="R700" s="68" t="e">
        <f aca="false">VLOOKUP(A700,BD_ORDENES!A:BE,25,FALSE())</f>
        <v>#N/A</v>
      </c>
      <c r="S700" s="68" t="e">
        <f aca="false">VLOOKUP(A700,BD_ORDENES!A:BE,22,FALSE())</f>
        <v>#N/A</v>
      </c>
      <c r="T700" s="65" t="e">
        <f aca="false">VLOOKUP(A700,BD_ORDENES!A:BE,55,FALSE())</f>
        <v>#N/A</v>
      </c>
      <c r="U700" s="68" t="e">
        <f aca="false">VLOOKUP(A700,BD_ORDENES!A:BE,57,FALSE())</f>
        <v>#N/A</v>
      </c>
      <c r="V700" s="70"/>
      <c r="W700" s="71"/>
    </row>
    <row r="701" s="72" customFormat="true" ht="98.25" hidden="false" customHeight="true" outlineLevel="0" collapsed="false">
      <c r="A701" s="62" t="n">
        <f aca="false">A700+1</f>
        <v>694</v>
      </c>
      <c r="B701" s="63" t="e">
        <f aca="false">VLOOKUP(A701,BD_ORDENES!A:BG,12,FALSE())</f>
        <v>#N/A</v>
      </c>
      <c r="C701" s="64" t="n">
        <v>694</v>
      </c>
      <c r="D701" s="65" t="e">
        <f aca="false">VLOOKUP(A701,BD_ORDENES!A:BE,10,0)</f>
        <v>#N/A</v>
      </c>
      <c r="E701" s="66" t="e">
        <f aca="false">VLOOKUP(A701,BD_ORDENES!A:BG,4,FALSE())</f>
        <v>#N/A</v>
      </c>
      <c r="F701" s="66" t="e">
        <f aca="false">VLOOKUP(A701,BD_ORDENES!A:BE,56,FALSE())</f>
        <v>#N/A</v>
      </c>
      <c r="G701" s="67" t="e">
        <f aca="false">VLOOKUP(A701,BD_ORDENES!A:BE,13,FALSE())</f>
        <v>#N/A</v>
      </c>
      <c r="H701" s="68" t="e">
        <f aca="false">VLOOKUP(A701,BD_ORDENES!A:BE,17,FALSE())</f>
        <v>#N/A</v>
      </c>
      <c r="I701" s="68" t="e">
        <f aca="false">VLOOKUP(A701,BD_ORDENES!A:BE,18,FALSE())</f>
        <v>#N/A</v>
      </c>
      <c r="J701" s="68" t="e">
        <f aca="false">VLOOKUP(A701,BD_ORDENES!A:BE,19,FALSE())</f>
        <v>#N/A</v>
      </c>
      <c r="K701" s="68" t="e">
        <f aca="false">VLOOKUP(A701,BD_ORDENES!A:BE,20,FALSE())</f>
        <v>#N/A</v>
      </c>
      <c r="L701" s="68" t="e">
        <f aca="false">VLOOKUP(A701,BD_ORDENES!A:BE,21,FALSE())</f>
        <v>#N/A</v>
      </c>
      <c r="M701" s="69" t="e">
        <f aca="false">VLOOKUP(A701,BD_ORDENES!A:BE,14,FALSE())</f>
        <v>#N/A</v>
      </c>
      <c r="N701" s="68" t="e">
        <f aca="false">VLOOKUP(A701,BD_ORDENES!A:BE,15,FALSE())</f>
        <v>#N/A</v>
      </c>
      <c r="O701" s="68" t="e">
        <f aca="false">VLOOKUP(A701,BD_ORDENES!A:BE,33,FALSE())</f>
        <v>#N/A</v>
      </c>
      <c r="P701" s="68" t="e">
        <f aca="false">VLOOKUP(A701,BD_ORDENES!A:BE,23,FALSE())</f>
        <v>#N/A</v>
      </c>
      <c r="Q701" s="68" t="e">
        <f aca="false">VLOOKUP(A701,BD_ORDENES!A:BE,52,FALSE())</f>
        <v>#N/A</v>
      </c>
      <c r="R701" s="68" t="e">
        <f aca="false">VLOOKUP(A701,BD_ORDENES!A:BE,25,FALSE())</f>
        <v>#N/A</v>
      </c>
      <c r="S701" s="68" t="e">
        <f aca="false">VLOOKUP(A701,BD_ORDENES!A:BE,22,FALSE())</f>
        <v>#N/A</v>
      </c>
      <c r="T701" s="65" t="e">
        <f aca="false">VLOOKUP(A701,BD_ORDENES!A:BE,55,FALSE())</f>
        <v>#N/A</v>
      </c>
      <c r="U701" s="68" t="e">
        <f aca="false">VLOOKUP(A701,BD_ORDENES!A:BE,57,FALSE())</f>
        <v>#N/A</v>
      </c>
      <c r="V701" s="70"/>
      <c r="W701" s="71"/>
    </row>
    <row r="702" s="72" customFormat="true" ht="98.25" hidden="false" customHeight="true" outlineLevel="0" collapsed="false">
      <c r="A702" s="62" t="n">
        <f aca="false">A701+1</f>
        <v>695</v>
      </c>
      <c r="B702" s="63" t="e">
        <f aca="false">VLOOKUP(A702,BD_ORDENES!A:BG,12,FALSE())</f>
        <v>#N/A</v>
      </c>
      <c r="C702" s="64" t="n">
        <v>695</v>
      </c>
      <c r="D702" s="65" t="e">
        <f aca="false">VLOOKUP(A702,BD_ORDENES!A:BE,10,0)</f>
        <v>#N/A</v>
      </c>
      <c r="E702" s="66" t="e">
        <f aca="false">VLOOKUP(A702,BD_ORDENES!A:BG,4,FALSE())</f>
        <v>#N/A</v>
      </c>
      <c r="F702" s="66" t="e">
        <f aca="false">VLOOKUP(A702,BD_ORDENES!A:BE,56,FALSE())</f>
        <v>#N/A</v>
      </c>
      <c r="G702" s="67" t="e">
        <f aca="false">VLOOKUP(A702,BD_ORDENES!A:BE,13,FALSE())</f>
        <v>#N/A</v>
      </c>
      <c r="H702" s="68" t="e">
        <f aca="false">VLOOKUP(A702,BD_ORDENES!A:BE,17,FALSE())</f>
        <v>#N/A</v>
      </c>
      <c r="I702" s="68" t="e">
        <f aca="false">VLOOKUP(A702,BD_ORDENES!A:BE,18,FALSE())</f>
        <v>#N/A</v>
      </c>
      <c r="J702" s="68" t="e">
        <f aca="false">VLOOKUP(A702,BD_ORDENES!A:BE,19,FALSE())</f>
        <v>#N/A</v>
      </c>
      <c r="K702" s="68" t="e">
        <f aca="false">VLOOKUP(A702,BD_ORDENES!A:BE,20,FALSE())</f>
        <v>#N/A</v>
      </c>
      <c r="L702" s="68" t="e">
        <f aca="false">VLOOKUP(A702,BD_ORDENES!A:BE,21,FALSE())</f>
        <v>#N/A</v>
      </c>
      <c r="M702" s="69" t="e">
        <f aca="false">VLOOKUP(A702,BD_ORDENES!A:BE,14,FALSE())</f>
        <v>#N/A</v>
      </c>
      <c r="N702" s="68" t="e">
        <f aca="false">VLOOKUP(A702,BD_ORDENES!A:BE,15,FALSE())</f>
        <v>#N/A</v>
      </c>
      <c r="O702" s="68" t="e">
        <f aca="false">VLOOKUP(A702,BD_ORDENES!A:BE,33,FALSE())</f>
        <v>#N/A</v>
      </c>
      <c r="P702" s="68" t="e">
        <f aca="false">VLOOKUP(A702,BD_ORDENES!A:BE,23,FALSE())</f>
        <v>#N/A</v>
      </c>
      <c r="Q702" s="68" t="e">
        <f aca="false">VLOOKUP(A702,BD_ORDENES!A:BE,52,FALSE())</f>
        <v>#N/A</v>
      </c>
      <c r="R702" s="68" t="e">
        <f aca="false">VLOOKUP(A702,BD_ORDENES!A:BE,25,FALSE())</f>
        <v>#N/A</v>
      </c>
      <c r="S702" s="68" t="e">
        <f aca="false">VLOOKUP(A702,BD_ORDENES!A:BE,22,FALSE())</f>
        <v>#N/A</v>
      </c>
      <c r="T702" s="65" t="e">
        <f aca="false">VLOOKUP(A702,BD_ORDENES!A:BE,55,FALSE())</f>
        <v>#N/A</v>
      </c>
      <c r="U702" s="68" t="e">
        <f aca="false">VLOOKUP(A702,BD_ORDENES!A:BE,57,FALSE())</f>
        <v>#N/A</v>
      </c>
      <c r="V702" s="70"/>
      <c r="W702" s="71"/>
    </row>
    <row r="703" s="72" customFormat="true" ht="98.25" hidden="false" customHeight="true" outlineLevel="0" collapsed="false">
      <c r="A703" s="62" t="n">
        <f aca="false">A702+1</f>
        <v>696</v>
      </c>
      <c r="B703" s="63" t="e">
        <f aca="false">VLOOKUP(A703,BD_ORDENES!A:BG,12,FALSE())</f>
        <v>#N/A</v>
      </c>
      <c r="C703" s="64" t="n">
        <v>696</v>
      </c>
      <c r="D703" s="65" t="e">
        <f aca="false">VLOOKUP(A703,BD_ORDENES!A:BE,10,0)</f>
        <v>#N/A</v>
      </c>
      <c r="E703" s="66" t="e">
        <f aca="false">VLOOKUP(A703,BD_ORDENES!A:BG,4,FALSE())</f>
        <v>#N/A</v>
      </c>
      <c r="F703" s="66" t="e">
        <f aca="false">VLOOKUP(A703,BD_ORDENES!A:BE,56,FALSE())</f>
        <v>#N/A</v>
      </c>
      <c r="G703" s="67" t="e">
        <f aca="false">VLOOKUP(A703,BD_ORDENES!A:BE,13,FALSE())</f>
        <v>#N/A</v>
      </c>
      <c r="H703" s="68" t="e">
        <f aca="false">VLOOKUP(A703,BD_ORDENES!A:BE,17,FALSE())</f>
        <v>#N/A</v>
      </c>
      <c r="I703" s="68" t="e">
        <f aca="false">VLOOKUP(A703,BD_ORDENES!A:BE,18,FALSE())</f>
        <v>#N/A</v>
      </c>
      <c r="J703" s="68" t="e">
        <f aca="false">VLOOKUP(A703,BD_ORDENES!A:BE,19,FALSE())</f>
        <v>#N/A</v>
      </c>
      <c r="K703" s="68" t="e">
        <f aca="false">VLOOKUP(A703,BD_ORDENES!A:BE,20,FALSE())</f>
        <v>#N/A</v>
      </c>
      <c r="L703" s="68" t="e">
        <f aca="false">VLOOKUP(A703,BD_ORDENES!A:BE,21,FALSE())</f>
        <v>#N/A</v>
      </c>
      <c r="M703" s="69" t="e">
        <f aca="false">VLOOKUP(A703,BD_ORDENES!A:BE,14,FALSE())</f>
        <v>#N/A</v>
      </c>
      <c r="N703" s="68" t="e">
        <f aca="false">VLOOKUP(A703,BD_ORDENES!A:BE,15,FALSE())</f>
        <v>#N/A</v>
      </c>
      <c r="O703" s="68" t="e">
        <f aca="false">VLOOKUP(A703,BD_ORDENES!A:BE,33,FALSE())</f>
        <v>#N/A</v>
      </c>
      <c r="P703" s="68" t="e">
        <f aca="false">VLOOKUP(A703,BD_ORDENES!A:BE,23,FALSE())</f>
        <v>#N/A</v>
      </c>
      <c r="Q703" s="68" t="e">
        <f aca="false">VLOOKUP(A703,BD_ORDENES!A:BE,52,FALSE())</f>
        <v>#N/A</v>
      </c>
      <c r="R703" s="68" t="e">
        <f aca="false">VLOOKUP(A703,BD_ORDENES!A:BE,25,FALSE())</f>
        <v>#N/A</v>
      </c>
      <c r="S703" s="68" t="e">
        <f aca="false">VLOOKUP(A703,BD_ORDENES!A:BE,22,FALSE())</f>
        <v>#N/A</v>
      </c>
      <c r="T703" s="65" t="e">
        <f aca="false">VLOOKUP(A703,BD_ORDENES!A:BE,55,FALSE())</f>
        <v>#N/A</v>
      </c>
      <c r="U703" s="68" t="e">
        <f aca="false">VLOOKUP(A703,BD_ORDENES!A:BE,57,FALSE())</f>
        <v>#N/A</v>
      </c>
      <c r="V703" s="70"/>
      <c r="W703" s="71"/>
    </row>
    <row r="704" s="72" customFormat="true" ht="98.25" hidden="false" customHeight="true" outlineLevel="0" collapsed="false">
      <c r="A704" s="62" t="n">
        <f aca="false">A703+1</f>
        <v>697</v>
      </c>
      <c r="B704" s="63" t="e">
        <f aca="false">VLOOKUP(A704,BD_ORDENES!A:BG,12,FALSE())</f>
        <v>#N/A</v>
      </c>
      <c r="C704" s="64" t="n">
        <v>697</v>
      </c>
      <c r="D704" s="65" t="e">
        <f aca="false">VLOOKUP(A704,BD_ORDENES!A:BE,10,0)</f>
        <v>#N/A</v>
      </c>
      <c r="E704" s="66" t="e">
        <f aca="false">VLOOKUP(A704,BD_ORDENES!A:BG,4,FALSE())</f>
        <v>#N/A</v>
      </c>
      <c r="F704" s="66" t="e">
        <f aca="false">VLOOKUP(A704,BD_ORDENES!A:BE,56,FALSE())</f>
        <v>#N/A</v>
      </c>
      <c r="G704" s="67" t="e">
        <f aca="false">VLOOKUP(A704,BD_ORDENES!A:BE,13,FALSE())</f>
        <v>#N/A</v>
      </c>
      <c r="H704" s="68" t="e">
        <f aca="false">VLOOKUP(A704,BD_ORDENES!A:BE,17,FALSE())</f>
        <v>#N/A</v>
      </c>
      <c r="I704" s="68" t="e">
        <f aca="false">VLOOKUP(A704,BD_ORDENES!A:BE,18,FALSE())</f>
        <v>#N/A</v>
      </c>
      <c r="J704" s="68" t="e">
        <f aca="false">VLOOKUP(A704,BD_ORDENES!A:BE,19,FALSE())</f>
        <v>#N/A</v>
      </c>
      <c r="K704" s="68" t="e">
        <f aca="false">VLOOKUP(A704,BD_ORDENES!A:BE,20,FALSE())</f>
        <v>#N/A</v>
      </c>
      <c r="L704" s="68" t="e">
        <f aca="false">VLOOKUP(A704,BD_ORDENES!A:BE,21,FALSE())</f>
        <v>#N/A</v>
      </c>
      <c r="M704" s="69" t="e">
        <f aca="false">VLOOKUP(A704,BD_ORDENES!A:BE,14,FALSE())</f>
        <v>#N/A</v>
      </c>
      <c r="N704" s="68" t="e">
        <f aca="false">VLOOKUP(A704,BD_ORDENES!A:BE,15,FALSE())</f>
        <v>#N/A</v>
      </c>
      <c r="O704" s="68" t="e">
        <f aca="false">VLOOKUP(A704,BD_ORDENES!A:BE,33,FALSE())</f>
        <v>#N/A</v>
      </c>
      <c r="P704" s="68" t="e">
        <f aca="false">VLOOKUP(A704,BD_ORDENES!A:BE,23,FALSE())</f>
        <v>#N/A</v>
      </c>
      <c r="Q704" s="68" t="e">
        <f aca="false">VLOOKUP(A704,BD_ORDENES!A:BE,52,FALSE())</f>
        <v>#N/A</v>
      </c>
      <c r="R704" s="68" t="e">
        <f aca="false">VLOOKUP(A704,BD_ORDENES!A:BE,25,FALSE())</f>
        <v>#N/A</v>
      </c>
      <c r="S704" s="68" t="e">
        <f aca="false">VLOOKUP(A704,BD_ORDENES!A:BE,22,FALSE())</f>
        <v>#N/A</v>
      </c>
      <c r="T704" s="65" t="e">
        <f aca="false">VLOOKUP(A704,BD_ORDENES!A:BE,55,FALSE())</f>
        <v>#N/A</v>
      </c>
      <c r="U704" s="68" t="e">
        <f aca="false">VLOOKUP(A704,BD_ORDENES!A:BE,57,FALSE())</f>
        <v>#N/A</v>
      </c>
      <c r="V704" s="70"/>
      <c r="W704" s="71"/>
    </row>
    <row r="705" s="72" customFormat="true" ht="98.25" hidden="false" customHeight="true" outlineLevel="0" collapsed="false">
      <c r="A705" s="62" t="n">
        <f aca="false">A704+1</f>
        <v>698</v>
      </c>
      <c r="B705" s="63" t="e">
        <f aca="false">VLOOKUP(A705,BD_ORDENES!A:BG,12,FALSE())</f>
        <v>#N/A</v>
      </c>
      <c r="C705" s="64" t="n">
        <v>698</v>
      </c>
      <c r="D705" s="65" t="e">
        <f aca="false">VLOOKUP(A705,BD_ORDENES!A:BE,10,0)</f>
        <v>#N/A</v>
      </c>
      <c r="E705" s="66" t="e">
        <f aca="false">VLOOKUP(A705,BD_ORDENES!A:BG,4,FALSE())</f>
        <v>#N/A</v>
      </c>
      <c r="F705" s="66" t="e">
        <f aca="false">VLOOKUP(A705,BD_ORDENES!A:BE,56,FALSE())</f>
        <v>#N/A</v>
      </c>
      <c r="G705" s="67" t="e">
        <f aca="false">VLOOKUP(A705,BD_ORDENES!A:BE,13,FALSE())</f>
        <v>#N/A</v>
      </c>
      <c r="H705" s="68" t="e">
        <f aca="false">VLOOKUP(A705,BD_ORDENES!A:BE,17,FALSE())</f>
        <v>#N/A</v>
      </c>
      <c r="I705" s="68" t="e">
        <f aca="false">VLOOKUP(A705,BD_ORDENES!A:BE,18,FALSE())</f>
        <v>#N/A</v>
      </c>
      <c r="J705" s="68" t="e">
        <f aca="false">VLOOKUP(A705,BD_ORDENES!A:BE,19,FALSE())</f>
        <v>#N/A</v>
      </c>
      <c r="K705" s="68" t="e">
        <f aca="false">VLOOKUP(A705,BD_ORDENES!A:BE,20,FALSE())</f>
        <v>#N/A</v>
      </c>
      <c r="L705" s="68" t="e">
        <f aca="false">VLOOKUP(A705,BD_ORDENES!A:BE,21,FALSE())</f>
        <v>#N/A</v>
      </c>
      <c r="M705" s="69" t="e">
        <f aca="false">VLOOKUP(A705,BD_ORDENES!A:BE,14,FALSE())</f>
        <v>#N/A</v>
      </c>
      <c r="N705" s="68" t="e">
        <f aca="false">VLOOKUP(A705,BD_ORDENES!A:BE,15,FALSE())</f>
        <v>#N/A</v>
      </c>
      <c r="O705" s="68" t="e">
        <f aca="false">VLOOKUP(A705,BD_ORDENES!A:BE,33,FALSE())</f>
        <v>#N/A</v>
      </c>
      <c r="P705" s="68" t="e">
        <f aca="false">VLOOKUP(A705,BD_ORDENES!A:BE,23,FALSE())</f>
        <v>#N/A</v>
      </c>
      <c r="Q705" s="68" t="e">
        <f aca="false">VLOOKUP(A705,BD_ORDENES!A:BE,52,FALSE())</f>
        <v>#N/A</v>
      </c>
      <c r="R705" s="68" t="e">
        <f aca="false">VLOOKUP(A705,BD_ORDENES!A:BE,25,FALSE())</f>
        <v>#N/A</v>
      </c>
      <c r="S705" s="68" t="e">
        <f aca="false">VLOOKUP(A705,BD_ORDENES!A:BE,22,FALSE())</f>
        <v>#N/A</v>
      </c>
      <c r="T705" s="65" t="e">
        <f aca="false">VLOOKUP(A705,BD_ORDENES!A:BE,55,FALSE())</f>
        <v>#N/A</v>
      </c>
      <c r="U705" s="68" t="e">
        <f aca="false">VLOOKUP(A705,BD_ORDENES!A:BE,57,FALSE())</f>
        <v>#N/A</v>
      </c>
      <c r="V705" s="70"/>
      <c r="W705" s="71"/>
    </row>
    <row r="706" s="72" customFormat="true" ht="98.25" hidden="false" customHeight="true" outlineLevel="0" collapsed="false">
      <c r="A706" s="62" t="n">
        <f aca="false">A705+1</f>
        <v>699</v>
      </c>
      <c r="B706" s="63" t="e">
        <f aca="false">VLOOKUP(A706,BD_ORDENES!A:BG,12,FALSE())</f>
        <v>#N/A</v>
      </c>
      <c r="C706" s="64" t="n">
        <v>699</v>
      </c>
      <c r="D706" s="65" t="e">
        <f aca="false">VLOOKUP(A706,BD_ORDENES!A:BE,10,0)</f>
        <v>#N/A</v>
      </c>
      <c r="E706" s="66" t="e">
        <f aca="false">VLOOKUP(A706,BD_ORDENES!A:BG,4,FALSE())</f>
        <v>#N/A</v>
      </c>
      <c r="F706" s="66" t="e">
        <f aca="false">VLOOKUP(A706,BD_ORDENES!A:BE,56,FALSE())</f>
        <v>#N/A</v>
      </c>
      <c r="G706" s="67" t="e">
        <f aca="false">VLOOKUP(A706,BD_ORDENES!A:BE,13,FALSE())</f>
        <v>#N/A</v>
      </c>
      <c r="H706" s="68" t="e">
        <f aca="false">VLOOKUP(A706,BD_ORDENES!A:BE,17,FALSE())</f>
        <v>#N/A</v>
      </c>
      <c r="I706" s="68" t="e">
        <f aca="false">VLOOKUP(A706,BD_ORDENES!A:BE,18,FALSE())</f>
        <v>#N/A</v>
      </c>
      <c r="J706" s="68" t="e">
        <f aca="false">VLOOKUP(A706,BD_ORDENES!A:BE,19,FALSE())</f>
        <v>#N/A</v>
      </c>
      <c r="K706" s="68" t="e">
        <f aca="false">VLOOKUP(A706,BD_ORDENES!A:BE,20,FALSE())</f>
        <v>#N/A</v>
      </c>
      <c r="L706" s="68" t="e">
        <f aca="false">VLOOKUP(A706,BD_ORDENES!A:BE,21,FALSE())</f>
        <v>#N/A</v>
      </c>
      <c r="M706" s="69" t="e">
        <f aca="false">VLOOKUP(A706,BD_ORDENES!A:BE,14,FALSE())</f>
        <v>#N/A</v>
      </c>
      <c r="N706" s="68" t="e">
        <f aca="false">VLOOKUP(A706,BD_ORDENES!A:BE,15,FALSE())</f>
        <v>#N/A</v>
      </c>
      <c r="O706" s="68" t="e">
        <f aca="false">VLOOKUP(A706,BD_ORDENES!A:BE,33,FALSE())</f>
        <v>#N/A</v>
      </c>
      <c r="P706" s="68" t="e">
        <f aca="false">VLOOKUP(A706,BD_ORDENES!A:BE,23,FALSE())</f>
        <v>#N/A</v>
      </c>
      <c r="Q706" s="68" t="e">
        <f aca="false">VLOOKUP(A706,BD_ORDENES!A:BE,52,FALSE())</f>
        <v>#N/A</v>
      </c>
      <c r="R706" s="68" t="e">
        <f aca="false">VLOOKUP(A706,BD_ORDENES!A:BE,25,FALSE())</f>
        <v>#N/A</v>
      </c>
      <c r="S706" s="68" t="e">
        <f aca="false">VLOOKUP(A706,BD_ORDENES!A:BE,22,FALSE())</f>
        <v>#N/A</v>
      </c>
      <c r="T706" s="65" t="e">
        <f aca="false">VLOOKUP(A706,BD_ORDENES!A:BE,55,FALSE())</f>
        <v>#N/A</v>
      </c>
      <c r="U706" s="68" t="e">
        <f aca="false">VLOOKUP(A706,BD_ORDENES!A:BE,57,FALSE())</f>
        <v>#N/A</v>
      </c>
      <c r="V706" s="70"/>
      <c r="W706" s="71"/>
    </row>
    <row r="707" s="72" customFormat="true" ht="98.25" hidden="false" customHeight="true" outlineLevel="0" collapsed="false">
      <c r="A707" s="62" t="n">
        <f aca="false">A706+1</f>
        <v>700</v>
      </c>
      <c r="B707" s="63" t="e">
        <f aca="false">VLOOKUP(A707,BD_ORDENES!A:BG,12,FALSE())</f>
        <v>#N/A</v>
      </c>
      <c r="C707" s="64" t="n">
        <v>700</v>
      </c>
      <c r="D707" s="65" t="e">
        <f aca="false">VLOOKUP(A707,BD_ORDENES!A:BE,10,0)</f>
        <v>#N/A</v>
      </c>
      <c r="E707" s="66" t="e">
        <f aca="false">VLOOKUP(A707,BD_ORDENES!A:BG,4,FALSE())</f>
        <v>#N/A</v>
      </c>
      <c r="F707" s="66" t="e">
        <f aca="false">VLOOKUP(A707,BD_ORDENES!A:BE,56,FALSE())</f>
        <v>#N/A</v>
      </c>
      <c r="G707" s="67" t="e">
        <f aca="false">VLOOKUP(A707,BD_ORDENES!A:BE,13,FALSE())</f>
        <v>#N/A</v>
      </c>
      <c r="H707" s="68" t="e">
        <f aca="false">VLOOKUP(A707,BD_ORDENES!A:BE,17,FALSE())</f>
        <v>#N/A</v>
      </c>
      <c r="I707" s="68" t="e">
        <f aca="false">VLOOKUP(A707,BD_ORDENES!A:BE,18,FALSE())</f>
        <v>#N/A</v>
      </c>
      <c r="J707" s="68" t="e">
        <f aca="false">VLOOKUP(A707,BD_ORDENES!A:BE,19,FALSE())</f>
        <v>#N/A</v>
      </c>
      <c r="K707" s="68" t="e">
        <f aca="false">VLOOKUP(A707,BD_ORDENES!A:BE,20,FALSE())</f>
        <v>#N/A</v>
      </c>
      <c r="L707" s="68" t="e">
        <f aca="false">VLOOKUP(A707,BD_ORDENES!A:BE,21,FALSE())</f>
        <v>#N/A</v>
      </c>
      <c r="M707" s="69" t="e">
        <f aca="false">VLOOKUP(A707,BD_ORDENES!A:BE,14,FALSE())</f>
        <v>#N/A</v>
      </c>
      <c r="N707" s="68" t="e">
        <f aca="false">VLOOKUP(A707,BD_ORDENES!A:BE,15,FALSE())</f>
        <v>#N/A</v>
      </c>
      <c r="O707" s="68" t="e">
        <f aca="false">VLOOKUP(A707,BD_ORDENES!A:BE,33,FALSE())</f>
        <v>#N/A</v>
      </c>
      <c r="P707" s="68" t="e">
        <f aca="false">VLOOKUP(A707,BD_ORDENES!A:BE,23,FALSE())</f>
        <v>#N/A</v>
      </c>
      <c r="Q707" s="68" t="e">
        <f aca="false">VLOOKUP(A707,BD_ORDENES!A:BE,52,FALSE())</f>
        <v>#N/A</v>
      </c>
      <c r="R707" s="68" t="e">
        <f aca="false">VLOOKUP(A707,BD_ORDENES!A:BE,25,FALSE())</f>
        <v>#N/A</v>
      </c>
      <c r="S707" s="68" t="e">
        <f aca="false">VLOOKUP(A707,BD_ORDENES!A:BE,22,FALSE())</f>
        <v>#N/A</v>
      </c>
      <c r="T707" s="65" t="e">
        <f aca="false">VLOOKUP(A707,BD_ORDENES!A:BE,55,FALSE())</f>
        <v>#N/A</v>
      </c>
      <c r="U707" s="68" t="e">
        <f aca="false">VLOOKUP(A707,BD_ORDENES!A:BE,57,FALSE())</f>
        <v>#N/A</v>
      </c>
      <c r="V707" s="70"/>
      <c r="W707" s="71"/>
    </row>
    <row r="708" s="72" customFormat="true" ht="98.25" hidden="false" customHeight="true" outlineLevel="0" collapsed="false">
      <c r="A708" s="62" t="n">
        <f aca="false">A707+1</f>
        <v>701</v>
      </c>
      <c r="B708" s="63" t="e">
        <f aca="false">VLOOKUP(A708,BD_ORDENES!A:BG,12,FALSE())</f>
        <v>#N/A</v>
      </c>
      <c r="C708" s="64" t="n">
        <v>701</v>
      </c>
      <c r="D708" s="65" t="e">
        <f aca="false">VLOOKUP(A708,BD_ORDENES!A:BE,10,0)</f>
        <v>#N/A</v>
      </c>
      <c r="E708" s="66" t="e">
        <f aca="false">VLOOKUP(A708,BD_ORDENES!A:BG,4,FALSE())</f>
        <v>#N/A</v>
      </c>
      <c r="F708" s="66" t="e">
        <f aca="false">VLOOKUP(A708,BD_ORDENES!A:BE,56,FALSE())</f>
        <v>#N/A</v>
      </c>
      <c r="G708" s="67" t="e">
        <f aca="false">VLOOKUP(A708,BD_ORDENES!A:BE,13,FALSE())</f>
        <v>#N/A</v>
      </c>
      <c r="H708" s="68" t="e">
        <f aca="false">VLOOKUP(A708,BD_ORDENES!A:BE,17,FALSE())</f>
        <v>#N/A</v>
      </c>
      <c r="I708" s="68" t="e">
        <f aca="false">VLOOKUP(A708,BD_ORDENES!A:BE,18,FALSE())</f>
        <v>#N/A</v>
      </c>
      <c r="J708" s="68" t="e">
        <f aca="false">VLOOKUP(A708,BD_ORDENES!A:BE,19,FALSE())</f>
        <v>#N/A</v>
      </c>
      <c r="K708" s="68" t="e">
        <f aca="false">VLOOKUP(A708,BD_ORDENES!A:BE,20,FALSE())</f>
        <v>#N/A</v>
      </c>
      <c r="L708" s="68" t="e">
        <f aca="false">VLOOKUP(A708,BD_ORDENES!A:BE,21,FALSE())</f>
        <v>#N/A</v>
      </c>
      <c r="M708" s="69" t="e">
        <f aca="false">VLOOKUP(A708,BD_ORDENES!A:BE,14,FALSE())</f>
        <v>#N/A</v>
      </c>
      <c r="N708" s="68" t="e">
        <f aca="false">VLOOKUP(A708,BD_ORDENES!A:BE,15,FALSE())</f>
        <v>#N/A</v>
      </c>
      <c r="O708" s="68" t="e">
        <f aca="false">VLOOKUP(A708,BD_ORDENES!A:BE,33,FALSE())</f>
        <v>#N/A</v>
      </c>
      <c r="P708" s="68" t="e">
        <f aca="false">VLOOKUP(A708,BD_ORDENES!A:BE,23,FALSE())</f>
        <v>#N/A</v>
      </c>
      <c r="Q708" s="68" t="e">
        <f aca="false">VLOOKUP(A708,BD_ORDENES!A:BE,52,FALSE())</f>
        <v>#N/A</v>
      </c>
      <c r="R708" s="68" t="e">
        <f aca="false">VLOOKUP(A708,BD_ORDENES!A:BE,25,FALSE())</f>
        <v>#N/A</v>
      </c>
      <c r="S708" s="68" t="e">
        <f aca="false">VLOOKUP(A708,BD_ORDENES!A:BE,22,FALSE())</f>
        <v>#N/A</v>
      </c>
      <c r="T708" s="65" t="e">
        <f aca="false">VLOOKUP(A708,BD_ORDENES!A:BE,55,FALSE())</f>
        <v>#N/A</v>
      </c>
      <c r="U708" s="68" t="e">
        <f aca="false">VLOOKUP(A708,BD_ORDENES!A:BE,57,FALSE())</f>
        <v>#N/A</v>
      </c>
      <c r="V708" s="70"/>
      <c r="W708" s="71"/>
    </row>
    <row r="709" s="72" customFormat="true" ht="98.25" hidden="false" customHeight="true" outlineLevel="0" collapsed="false">
      <c r="A709" s="62" t="n">
        <f aca="false">A708+1</f>
        <v>702</v>
      </c>
      <c r="B709" s="63" t="e">
        <f aca="false">VLOOKUP(A709,BD_ORDENES!A:BG,12,FALSE())</f>
        <v>#N/A</v>
      </c>
      <c r="C709" s="64" t="n">
        <v>702</v>
      </c>
      <c r="D709" s="65" t="e">
        <f aca="false">VLOOKUP(A709,BD_ORDENES!A:BE,10,0)</f>
        <v>#N/A</v>
      </c>
      <c r="E709" s="66" t="e">
        <f aca="false">VLOOKUP(A709,BD_ORDENES!A:BG,4,FALSE())</f>
        <v>#N/A</v>
      </c>
      <c r="F709" s="66" t="e">
        <f aca="false">VLOOKUP(A709,BD_ORDENES!A:BE,56,FALSE())</f>
        <v>#N/A</v>
      </c>
      <c r="G709" s="67" t="e">
        <f aca="false">VLOOKUP(A709,BD_ORDENES!A:BE,13,FALSE())</f>
        <v>#N/A</v>
      </c>
      <c r="H709" s="68" t="e">
        <f aca="false">VLOOKUP(A709,BD_ORDENES!A:BE,17,FALSE())</f>
        <v>#N/A</v>
      </c>
      <c r="I709" s="68" t="e">
        <f aca="false">VLOOKUP(A709,BD_ORDENES!A:BE,18,FALSE())</f>
        <v>#N/A</v>
      </c>
      <c r="J709" s="68" t="e">
        <f aca="false">VLOOKUP(A709,BD_ORDENES!A:BE,19,FALSE())</f>
        <v>#N/A</v>
      </c>
      <c r="K709" s="68" t="e">
        <f aca="false">VLOOKUP(A709,BD_ORDENES!A:BE,20,FALSE())</f>
        <v>#N/A</v>
      </c>
      <c r="L709" s="68" t="e">
        <f aca="false">VLOOKUP(A709,BD_ORDENES!A:BE,21,FALSE())</f>
        <v>#N/A</v>
      </c>
      <c r="M709" s="69" t="e">
        <f aca="false">VLOOKUP(A709,BD_ORDENES!A:BE,14,FALSE())</f>
        <v>#N/A</v>
      </c>
      <c r="N709" s="68" t="e">
        <f aca="false">VLOOKUP(A709,BD_ORDENES!A:BE,15,FALSE())</f>
        <v>#N/A</v>
      </c>
      <c r="O709" s="68" t="e">
        <f aca="false">VLOOKUP(A709,BD_ORDENES!A:BE,33,FALSE())</f>
        <v>#N/A</v>
      </c>
      <c r="P709" s="68" t="e">
        <f aca="false">VLOOKUP(A709,BD_ORDENES!A:BE,23,FALSE())</f>
        <v>#N/A</v>
      </c>
      <c r="Q709" s="68" t="e">
        <f aca="false">VLOOKUP(A709,BD_ORDENES!A:BE,52,FALSE())</f>
        <v>#N/A</v>
      </c>
      <c r="R709" s="68" t="e">
        <f aca="false">VLOOKUP(A709,BD_ORDENES!A:BE,25,FALSE())</f>
        <v>#N/A</v>
      </c>
      <c r="S709" s="68" t="e">
        <f aca="false">VLOOKUP(A709,BD_ORDENES!A:BE,22,FALSE())</f>
        <v>#N/A</v>
      </c>
      <c r="T709" s="65" t="e">
        <f aca="false">VLOOKUP(A709,BD_ORDENES!A:BE,55,FALSE())</f>
        <v>#N/A</v>
      </c>
      <c r="U709" s="68" t="e">
        <f aca="false">VLOOKUP(A709,BD_ORDENES!A:BE,57,FALSE())</f>
        <v>#N/A</v>
      </c>
      <c r="V709" s="70"/>
      <c r="W709" s="71"/>
    </row>
    <row r="710" s="72" customFormat="true" ht="98.25" hidden="false" customHeight="true" outlineLevel="0" collapsed="false">
      <c r="A710" s="62" t="n">
        <f aca="false">A709+1</f>
        <v>703</v>
      </c>
      <c r="B710" s="63" t="e">
        <f aca="false">VLOOKUP(A710,BD_ORDENES!A:BG,12,FALSE())</f>
        <v>#N/A</v>
      </c>
      <c r="C710" s="64" t="n">
        <v>703</v>
      </c>
      <c r="D710" s="65" t="e">
        <f aca="false">VLOOKUP(A710,BD_ORDENES!A:BE,10,0)</f>
        <v>#N/A</v>
      </c>
      <c r="E710" s="66" t="e">
        <f aca="false">VLOOKUP(A710,BD_ORDENES!A:BG,4,FALSE())</f>
        <v>#N/A</v>
      </c>
      <c r="F710" s="66" t="e">
        <f aca="false">VLOOKUP(A710,BD_ORDENES!A:BE,56,FALSE())</f>
        <v>#N/A</v>
      </c>
      <c r="G710" s="67" t="e">
        <f aca="false">VLOOKUP(A710,BD_ORDENES!A:BE,13,FALSE())</f>
        <v>#N/A</v>
      </c>
      <c r="H710" s="68" t="e">
        <f aca="false">VLOOKUP(A710,BD_ORDENES!A:BE,17,FALSE())</f>
        <v>#N/A</v>
      </c>
      <c r="I710" s="68" t="e">
        <f aca="false">VLOOKUP(A710,BD_ORDENES!A:BE,18,FALSE())</f>
        <v>#N/A</v>
      </c>
      <c r="J710" s="68" t="e">
        <f aca="false">VLOOKUP(A710,BD_ORDENES!A:BE,19,FALSE())</f>
        <v>#N/A</v>
      </c>
      <c r="K710" s="68" t="e">
        <f aca="false">VLOOKUP(A710,BD_ORDENES!A:BE,20,FALSE())</f>
        <v>#N/A</v>
      </c>
      <c r="L710" s="68" t="e">
        <f aca="false">VLOOKUP(A710,BD_ORDENES!A:BE,21,FALSE())</f>
        <v>#N/A</v>
      </c>
      <c r="M710" s="69" t="e">
        <f aca="false">VLOOKUP(A710,BD_ORDENES!A:BE,14,FALSE())</f>
        <v>#N/A</v>
      </c>
      <c r="N710" s="68" t="e">
        <f aca="false">VLOOKUP(A710,BD_ORDENES!A:BE,15,FALSE())</f>
        <v>#N/A</v>
      </c>
      <c r="O710" s="68" t="e">
        <f aca="false">VLOOKUP(A710,BD_ORDENES!A:BE,33,FALSE())</f>
        <v>#N/A</v>
      </c>
      <c r="P710" s="68" t="e">
        <f aca="false">VLOOKUP(A710,BD_ORDENES!A:BE,23,FALSE())</f>
        <v>#N/A</v>
      </c>
      <c r="Q710" s="68" t="e">
        <f aca="false">VLOOKUP(A710,BD_ORDENES!A:BE,52,FALSE())</f>
        <v>#N/A</v>
      </c>
      <c r="R710" s="68" t="e">
        <f aca="false">VLOOKUP(A710,BD_ORDENES!A:BE,25,FALSE())</f>
        <v>#N/A</v>
      </c>
      <c r="S710" s="68" t="e">
        <f aca="false">VLOOKUP(A710,BD_ORDENES!A:BE,22,FALSE())</f>
        <v>#N/A</v>
      </c>
      <c r="T710" s="65" t="e">
        <f aca="false">VLOOKUP(A710,BD_ORDENES!A:BE,55,FALSE())</f>
        <v>#N/A</v>
      </c>
      <c r="U710" s="68" t="e">
        <f aca="false">VLOOKUP(A710,BD_ORDENES!A:BE,57,FALSE())</f>
        <v>#N/A</v>
      </c>
      <c r="V710" s="70"/>
      <c r="W710" s="71"/>
    </row>
    <row r="711" s="72" customFormat="true" ht="98.25" hidden="false" customHeight="true" outlineLevel="0" collapsed="false">
      <c r="A711" s="62" t="n">
        <f aca="false">A710+1</f>
        <v>704</v>
      </c>
      <c r="B711" s="63" t="e">
        <f aca="false">VLOOKUP(A711,BD_ORDENES!A:BG,12,FALSE())</f>
        <v>#N/A</v>
      </c>
      <c r="C711" s="64" t="n">
        <v>704</v>
      </c>
      <c r="D711" s="65" t="e">
        <f aca="false">VLOOKUP(A711,BD_ORDENES!A:BE,10,0)</f>
        <v>#N/A</v>
      </c>
      <c r="E711" s="66" t="e">
        <f aca="false">VLOOKUP(A711,BD_ORDENES!A:BG,4,FALSE())</f>
        <v>#N/A</v>
      </c>
      <c r="F711" s="66" t="e">
        <f aca="false">VLOOKUP(A711,BD_ORDENES!A:BE,56,FALSE())</f>
        <v>#N/A</v>
      </c>
      <c r="G711" s="67" t="e">
        <f aca="false">VLOOKUP(A711,BD_ORDENES!A:BE,13,FALSE())</f>
        <v>#N/A</v>
      </c>
      <c r="H711" s="68" t="e">
        <f aca="false">VLOOKUP(A711,BD_ORDENES!A:BE,17,FALSE())</f>
        <v>#N/A</v>
      </c>
      <c r="I711" s="68" t="e">
        <f aca="false">VLOOKUP(A711,BD_ORDENES!A:BE,18,FALSE())</f>
        <v>#N/A</v>
      </c>
      <c r="J711" s="68" t="e">
        <f aca="false">VLOOKUP(A711,BD_ORDENES!A:BE,19,FALSE())</f>
        <v>#N/A</v>
      </c>
      <c r="K711" s="68" t="e">
        <f aca="false">VLOOKUP(A711,BD_ORDENES!A:BE,20,FALSE())</f>
        <v>#N/A</v>
      </c>
      <c r="L711" s="68" t="e">
        <f aca="false">VLOOKUP(A711,BD_ORDENES!A:BE,21,FALSE())</f>
        <v>#N/A</v>
      </c>
      <c r="M711" s="69" t="e">
        <f aca="false">VLOOKUP(A711,BD_ORDENES!A:BE,14,FALSE())</f>
        <v>#N/A</v>
      </c>
      <c r="N711" s="68" t="e">
        <f aca="false">VLOOKUP(A711,BD_ORDENES!A:BE,15,FALSE())</f>
        <v>#N/A</v>
      </c>
      <c r="O711" s="68" t="e">
        <f aca="false">VLOOKUP(A711,BD_ORDENES!A:BE,33,FALSE())</f>
        <v>#N/A</v>
      </c>
      <c r="P711" s="68" t="e">
        <f aca="false">VLOOKUP(A711,BD_ORDENES!A:BE,23,FALSE())</f>
        <v>#N/A</v>
      </c>
      <c r="Q711" s="68" t="e">
        <f aca="false">VLOOKUP(A711,BD_ORDENES!A:BE,52,FALSE())</f>
        <v>#N/A</v>
      </c>
      <c r="R711" s="68" t="e">
        <f aca="false">VLOOKUP(A711,BD_ORDENES!A:BE,25,FALSE())</f>
        <v>#N/A</v>
      </c>
      <c r="S711" s="68" t="e">
        <f aca="false">VLOOKUP(A711,BD_ORDENES!A:BE,22,FALSE())</f>
        <v>#N/A</v>
      </c>
      <c r="T711" s="65" t="e">
        <f aca="false">VLOOKUP(A711,BD_ORDENES!A:BE,55,FALSE())</f>
        <v>#N/A</v>
      </c>
      <c r="U711" s="68" t="e">
        <f aca="false">VLOOKUP(A711,BD_ORDENES!A:BE,57,FALSE())</f>
        <v>#N/A</v>
      </c>
      <c r="V711" s="70"/>
      <c r="W711" s="71"/>
    </row>
    <row r="712" s="72" customFormat="true" ht="98.25" hidden="false" customHeight="true" outlineLevel="0" collapsed="false">
      <c r="A712" s="62" t="n">
        <f aca="false">A711+1</f>
        <v>705</v>
      </c>
      <c r="B712" s="63" t="e">
        <f aca="false">VLOOKUP(A712,BD_ORDENES!A:BG,12,FALSE())</f>
        <v>#N/A</v>
      </c>
      <c r="C712" s="64" t="n">
        <v>705</v>
      </c>
      <c r="D712" s="65" t="e">
        <f aca="false">VLOOKUP(A712,BD_ORDENES!A:BE,10,0)</f>
        <v>#N/A</v>
      </c>
      <c r="E712" s="66" t="e">
        <f aca="false">VLOOKUP(A712,BD_ORDENES!A:BG,4,FALSE())</f>
        <v>#N/A</v>
      </c>
      <c r="F712" s="66" t="e">
        <f aca="false">VLOOKUP(A712,BD_ORDENES!A:BE,56,FALSE())</f>
        <v>#N/A</v>
      </c>
      <c r="G712" s="67" t="e">
        <f aca="false">VLOOKUP(A712,BD_ORDENES!A:BE,13,FALSE())</f>
        <v>#N/A</v>
      </c>
      <c r="H712" s="68" t="e">
        <f aca="false">VLOOKUP(A712,BD_ORDENES!A:BE,17,FALSE())</f>
        <v>#N/A</v>
      </c>
      <c r="I712" s="68" t="e">
        <f aca="false">VLOOKUP(A712,BD_ORDENES!A:BE,18,FALSE())</f>
        <v>#N/A</v>
      </c>
      <c r="J712" s="68" t="e">
        <f aca="false">VLOOKUP(A712,BD_ORDENES!A:BE,19,FALSE())</f>
        <v>#N/A</v>
      </c>
      <c r="K712" s="68" t="e">
        <f aca="false">VLOOKUP(A712,BD_ORDENES!A:BE,20,FALSE())</f>
        <v>#N/A</v>
      </c>
      <c r="L712" s="68" t="e">
        <f aca="false">VLOOKUP(A712,BD_ORDENES!A:BE,21,FALSE())</f>
        <v>#N/A</v>
      </c>
      <c r="M712" s="69" t="e">
        <f aca="false">VLOOKUP(A712,BD_ORDENES!A:BE,14,FALSE())</f>
        <v>#N/A</v>
      </c>
      <c r="N712" s="68" t="e">
        <f aca="false">VLOOKUP(A712,BD_ORDENES!A:BE,15,FALSE())</f>
        <v>#N/A</v>
      </c>
      <c r="O712" s="68" t="e">
        <f aca="false">VLOOKUP(A712,BD_ORDENES!A:BE,33,FALSE())</f>
        <v>#N/A</v>
      </c>
      <c r="P712" s="68" t="e">
        <f aca="false">VLOOKUP(A712,BD_ORDENES!A:BE,23,FALSE())</f>
        <v>#N/A</v>
      </c>
      <c r="Q712" s="68" t="e">
        <f aca="false">VLOOKUP(A712,BD_ORDENES!A:BE,52,FALSE())</f>
        <v>#N/A</v>
      </c>
      <c r="R712" s="68" t="e">
        <f aca="false">VLOOKUP(A712,BD_ORDENES!A:BE,25,FALSE())</f>
        <v>#N/A</v>
      </c>
      <c r="S712" s="68" t="e">
        <f aca="false">VLOOKUP(A712,BD_ORDENES!A:BE,22,FALSE())</f>
        <v>#N/A</v>
      </c>
      <c r="T712" s="65" t="e">
        <f aca="false">VLOOKUP(A712,BD_ORDENES!A:BE,55,FALSE())</f>
        <v>#N/A</v>
      </c>
      <c r="U712" s="68" t="e">
        <f aca="false">VLOOKUP(A712,BD_ORDENES!A:BE,57,FALSE())</f>
        <v>#N/A</v>
      </c>
      <c r="V712" s="70"/>
      <c r="W712" s="71"/>
    </row>
    <row r="713" s="72" customFormat="true" ht="98.25" hidden="false" customHeight="true" outlineLevel="0" collapsed="false">
      <c r="A713" s="62" t="n">
        <f aca="false">A712+1</f>
        <v>706</v>
      </c>
      <c r="B713" s="63" t="e">
        <f aca="false">VLOOKUP(A713,BD_ORDENES!A:BG,12,FALSE())</f>
        <v>#N/A</v>
      </c>
      <c r="C713" s="64" t="n">
        <v>706</v>
      </c>
      <c r="D713" s="65" t="e">
        <f aca="false">VLOOKUP(A713,BD_ORDENES!A:BE,10,0)</f>
        <v>#N/A</v>
      </c>
      <c r="E713" s="66" t="e">
        <f aca="false">VLOOKUP(A713,BD_ORDENES!A:BG,4,FALSE())</f>
        <v>#N/A</v>
      </c>
      <c r="F713" s="66" t="e">
        <f aca="false">VLOOKUP(A713,BD_ORDENES!A:BE,56,FALSE())</f>
        <v>#N/A</v>
      </c>
      <c r="G713" s="67" t="e">
        <f aca="false">VLOOKUP(A713,BD_ORDENES!A:BE,13,FALSE())</f>
        <v>#N/A</v>
      </c>
      <c r="H713" s="68" t="e">
        <f aca="false">VLOOKUP(A713,BD_ORDENES!A:BE,17,FALSE())</f>
        <v>#N/A</v>
      </c>
      <c r="I713" s="68" t="e">
        <f aca="false">VLOOKUP(A713,BD_ORDENES!A:BE,18,FALSE())</f>
        <v>#N/A</v>
      </c>
      <c r="J713" s="68" t="e">
        <f aca="false">VLOOKUP(A713,BD_ORDENES!A:BE,19,FALSE())</f>
        <v>#N/A</v>
      </c>
      <c r="K713" s="68" t="e">
        <f aca="false">VLOOKUP(A713,BD_ORDENES!A:BE,20,FALSE())</f>
        <v>#N/A</v>
      </c>
      <c r="L713" s="68" t="e">
        <f aca="false">VLOOKUP(A713,BD_ORDENES!A:BE,21,FALSE())</f>
        <v>#N/A</v>
      </c>
      <c r="M713" s="69" t="e">
        <f aca="false">VLOOKUP(A713,BD_ORDENES!A:BE,14,FALSE())</f>
        <v>#N/A</v>
      </c>
      <c r="N713" s="68" t="e">
        <f aca="false">VLOOKUP(A713,BD_ORDENES!A:BE,15,FALSE())</f>
        <v>#N/A</v>
      </c>
      <c r="O713" s="68" t="e">
        <f aca="false">VLOOKUP(A713,BD_ORDENES!A:BE,33,FALSE())</f>
        <v>#N/A</v>
      </c>
      <c r="P713" s="68" t="e">
        <f aca="false">VLOOKUP(A713,BD_ORDENES!A:BE,23,FALSE())</f>
        <v>#N/A</v>
      </c>
      <c r="Q713" s="68" t="e">
        <f aca="false">VLOOKUP(A713,BD_ORDENES!A:BE,52,FALSE())</f>
        <v>#N/A</v>
      </c>
      <c r="R713" s="68" t="e">
        <f aca="false">VLOOKUP(A713,BD_ORDENES!A:BE,25,FALSE())</f>
        <v>#N/A</v>
      </c>
      <c r="S713" s="68" t="e">
        <f aca="false">VLOOKUP(A713,BD_ORDENES!A:BE,22,FALSE())</f>
        <v>#N/A</v>
      </c>
      <c r="T713" s="65" t="e">
        <f aca="false">VLOOKUP(A713,BD_ORDENES!A:BE,55,FALSE())</f>
        <v>#N/A</v>
      </c>
      <c r="U713" s="68" t="e">
        <f aca="false">VLOOKUP(A713,BD_ORDENES!A:BE,57,FALSE())</f>
        <v>#N/A</v>
      </c>
      <c r="V713" s="70"/>
      <c r="W713" s="71"/>
    </row>
    <row r="714" s="72" customFormat="true" ht="98.25" hidden="false" customHeight="true" outlineLevel="0" collapsed="false">
      <c r="A714" s="62" t="n">
        <f aca="false">A713+1</f>
        <v>707</v>
      </c>
      <c r="B714" s="63" t="e">
        <f aca="false">VLOOKUP(A714,BD_ORDENES!A:BG,12,FALSE())</f>
        <v>#N/A</v>
      </c>
      <c r="C714" s="64" t="n">
        <v>707</v>
      </c>
      <c r="D714" s="65" t="e">
        <f aca="false">VLOOKUP(A714,BD_ORDENES!A:BE,10,0)</f>
        <v>#N/A</v>
      </c>
      <c r="E714" s="66" t="e">
        <f aca="false">VLOOKUP(A714,BD_ORDENES!A:BG,4,FALSE())</f>
        <v>#N/A</v>
      </c>
      <c r="F714" s="66" t="e">
        <f aca="false">VLOOKUP(A714,BD_ORDENES!A:BE,56,FALSE())</f>
        <v>#N/A</v>
      </c>
      <c r="G714" s="67" t="e">
        <f aca="false">VLOOKUP(A714,BD_ORDENES!A:BE,13,FALSE())</f>
        <v>#N/A</v>
      </c>
      <c r="H714" s="68" t="e">
        <f aca="false">VLOOKUP(A714,BD_ORDENES!A:BE,17,FALSE())</f>
        <v>#N/A</v>
      </c>
      <c r="I714" s="68" t="e">
        <f aca="false">VLOOKUP(A714,BD_ORDENES!A:BE,18,FALSE())</f>
        <v>#N/A</v>
      </c>
      <c r="J714" s="68" t="e">
        <f aca="false">VLOOKUP(A714,BD_ORDENES!A:BE,19,FALSE())</f>
        <v>#N/A</v>
      </c>
      <c r="K714" s="68" t="e">
        <f aca="false">VLOOKUP(A714,BD_ORDENES!A:BE,20,FALSE())</f>
        <v>#N/A</v>
      </c>
      <c r="L714" s="68" t="e">
        <f aca="false">VLOOKUP(A714,BD_ORDENES!A:BE,21,FALSE())</f>
        <v>#N/A</v>
      </c>
      <c r="M714" s="69" t="e">
        <f aca="false">VLOOKUP(A714,BD_ORDENES!A:BE,14,FALSE())</f>
        <v>#N/A</v>
      </c>
      <c r="N714" s="68" t="e">
        <f aca="false">VLOOKUP(A714,BD_ORDENES!A:BE,15,FALSE())</f>
        <v>#N/A</v>
      </c>
      <c r="O714" s="68" t="e">
        <f aca="false">VLOOKUP(A714,BD_ORDENES!A:BE,33,FALSE())</f>
        <v>#N/A</v>
      </c>
      <c r="P714" s="68" t="e">
        <f aca="false">VLOOKUP(A714,BD_ORDENES!A:BE,23,FALSE())</f>
        <v>#N/A</v>
      </c>
      <c r="Q714" s="68" t="e">
        <f aca="false">VLOOKUP(A714,BD_ORDENES!A:BE,52,FALSE())</f>
        <v>#N/A</v>
      </c>
      <c r="R714" s="68" t="e">
        <f aca="false">VLOOKUP(A714,BD_ORDENES!A:BE,25,FALSE())</f>
        <v>#N/A</v>
      </c>
      <c r="S714" s="68" t="e">
        <f aca="false">VLOOKUP(A714,BD_ORDENES!A:BE,22,FALSE())</f>
        <v>#N/A</v>
      </c>
      <c r="T714" s="65" t="e">
        <f aca="false">VLOOKUP(A714,BD_ORDENES!A:BE,55,FALSE())</f>
        <v>#N/A</v>
      </c>
      <c r="U714" s="68" t="e">
        <f aca="false">VLOOKUP(A714,BD_ORDENES!A:BE,57,FALSE())</f>
        <v>#N/A</v>
      </c>
      <c r="V714" s="70"/>
      <c r="W714" s="71"/>
    </row>
    <row r="715" s="72" customFormat="true" ht="98.25" hidden="false" customHeight="true" outlineLevel="0" collapsed="false">
      <c r="A715" s="62" t="n">
        <f aca="false">A714+1</f>
        <v>708</v>
      </c>
      <c r="B715" s="63" t="e">
        <f aca="false">VLOOKUP(A715,BD_ORDENES!A:BG,12,FALSE())</f>
        <v>#N/A</v>
      </c>
      <c r="C715" s="64" t="n">
        <v>708</v>
      </c>
      <c r="D715" s="65" t="e">
        <f aca="false">VLOOKUP(A715,BD_ORDENES!A:BE,10,0)</f>
        <v>#N/A</v>
      </c>
      <c r="E715" s="66" t="e">
        <f aca="false">VLOOKUP(A715,BD_ORDENES!A:BG,4,FALSE())</f>
        <v>#N/A</v>
      </c>
      <c r="F715" s="66" t="e">
        <f aca="false">VLOOKUP(A715,BD_ORDENES!A:BE,56,FALSE())</f>
        <v>#N/A</v>
      </c>
      <c r="G715" s="67" t="e">
        <f aca="false">VLOOKUP(A715,BD_ORDENES!A:BE,13,FALSE())</f>
        <v>#N/A</v>
      </c>
      <c r="H715" s="68" t="e">
        <f aca="false">VLOOKUP(A715,BD_ORDENES!A:BE,17,FALSE())</f>
        <v>#N/A</v>
      </c>
      <c r="I715" s="68" t="e">
        <f aca="false">VLOOKUP(A715,BD_ORDENES!A:BE,18,FALSE())</f>
        <v>#N/A</v>
      </c>
      <c r="J715" s="68" t="e">
        <f aca="false">VLOOKUP(A715,BD_ORDENES!A:BE,19,FALSE())</f>
        <v>#N/A</v>
      </c>
      <c r="K715" s="68" t="e">
        <f aca="false">VLOOKUP(A715,BD_ORDENES!A:BE,20,FALSE())</f>
        <v>#N/A</v>
      </c>
      <c r="L715" s="68" t="e">
        <f aca="false">VLOOKUP(A715,BD_ORDENES!A:BE,21,FALSE())</f>
        <v>#N/A</v>
      </c>
      <c r="M715" s="69" t="e">
        <f aca="false">VLOOKUP(A715,BD_ORDENES!A:BE,14,FALSE())</f>
        <v>#N/A</v>
      </c>
      <c r="N715" s="68" t="e">
        <f aca="false">VLOOKUP(A715,BD_ORDENES!A:BE,15,FALSE())</f>
        <v>#N/A</v>
      </c>
      <c r="O715" s="68" t="e">
        <f aca="false">VLOOKUP(A715,BD_ORDENES!A:BE,33,FALSE())</f>
        <v>#N/A</v>
      </c>
      <c r="P715" s="68" t="e">
        <f aca="false">VLOOKUP(A715,BD_ORDENES!A:BE,23,FALSE())</f>
        <v>#N/A</v>
      </c>
      <c r="Q715" s="68" t="e">
        <f aca="false">VLOOKUP(A715,BD_ORDENES!A:BE,52,FALSE())</f>
        <v>#N/A</v>
      </c>
      <c r="R715" s="68" t="e">
        <f aca="false">VLOOKUP(A715,BD_ORDENES!A:BE,25,FALSE())</f>
        <v>#N/A</v>
      </c>
      <c r="S715" s="68" t="e">
        <f aca="false">VLOOKUP(A715,BD_ORDENES!A:BE,22,FALSE())</f>
        <v>#N/A</v>
      </c>
      <c r="T715" s="65" t="e">
        <f aca="false">VLOOKUP(A715,BD_ORDENES!A:BE,55,FALSE())</f>
        <v>#N/A</v>
      </c>
      <c r="U715" s="68" t="e">
        <f aca="false">VLOOKUP(A715,BD_ORDENES!A:BE,57,FALSE())</f>
        <v>#N/A</v>
      </c>
      <c r="V715" s="70"/>
      <c r="W715" s="71"/>
    </row>
    <row r="716" s="72" customFormat="true" ht="98.25" hidden="false" customHeight="true" outlineLevel="0" collapsed="false">
      <c r="A716" s="62" t="n">
        <f aca="false">A715+1</f>
        <v>709</v>
      </c>
      <c r="B716" s="63" t="e">
        <f aca="false">VLOOKUP(A716,BD_ORDENES!A:BG,12,FALSE())</f>
        <v>#N/A</v>
      </c>
      <c r="C716" s="64" t="n">
        <v>709</v>
      </c>
      <c r="D716" s="65" t="e">
        <f aca="false">VLOOKUP(A716,BD_ORDENES!A:BE,10,0)</f>
        <v>#N/A</v>
      </c>
      <c r="E716" s="66" t="e">
        <f aca="false">VLOOKUP(A716,BD_ORDENES!A:BG,4,FALSE())</f>
        <v>#N/A</v>
      </c>
      <c r="F716" s="66" t="e">
        <f aca="false">VLOOKUP(A716,BD_ORDENES!A:BE,56,FALSE())</f>
        <v>#N/A</v>
      </c>
      <c r="G716" s="67" t="e">
        <f aca="false">VLOOKUP(A716,BD_ORDENES!A:BE,13,FALSE())</f>
        <v>#N/A</v>
      </c>
      <c r="H716" s="68" t="e">
        <f aca="false">VLOOKUP(A716,BD_ORDENES!A:BE,17,FALSE())</f>
        <v>#N/A</v>
      </c>
      <c r="I716" s="68" t="e">
        <f aca="false">VLOOKUP(A716,BD_ORDENES!A:BE,18,FALSE())</f>
        <v>#N/A</v>
      </c>
      <c r="J716" s="68" t="e">
        <f aca="false">VLOOKUP(A716,BD_ORDENES!A:BE,19,FALSE())</f>
        <v>#N/A</v>
      </c>
      <c r="K716" s="68" t="e">
        <f aca="false">VLOOKUP(A716,BD_ORDENES!A:BE,20,FALSE())</f>
        <v>#N/A</v>
      </c>
      <c r="L716" s="68" t="e">
        <f aca="false">VLOOKUP(A716,BD_ORDENES!A:BE,21,FALSE())</f>
        <v>#N/A</v>
      </c>
      <c r="M716" s="69" t="e">
        <f aca="false">VLOOKUP(A716,BD_ORDENES!A:BE,14,FALSE())</f>
        <v>#N/A</v>
      </c>
      <c r="N716" s="68" t="e">
        <f aca="false">VLOOKUP(A716,BD_ORDENES!A:BE,15,FALSE())</f>
        <v>#N/A</v>
      </c>
      <c r="O716" s="68" t="e">
        <f aca="false">VLOOKUP(A716,BD_ORDENES!A:BE,33,FALSE())</f>
        <v>#N/A</v>
      </c>
      <c r="P716" s="68" t="e">
        <f aca="false">VLOOKUP(A716,BD_ORDENES!A:BE,23,FALSE())</f>
        <v>#N/A</v>
      </c>
      <c r="Q716" s="68" t="e">
        <f aca="false">VLOOKUP(A716,BD_ORDENES!A:BE,52,FALSE())</f>
        <v>#N/A</v>
      </c>
      <c r="R716" s="68" t="e">
        <f aca="false">VLOOKUP(A716,BD_ORDENES!A:BE,25,FALSE())</f>
        <v>#N/A</v>
      </c>
      <c r="S716" s="68" t="e">
        <f aca="false">VLOOKUP(A716,BD_ORDENES!A:BE,22,FALSE())</f>
        <v>#N/A</v>
      </c>
      <c r="T716" s="65" t="e">
        <f aca="false">VLOOKUP(A716,BD_ORDENES!A:BE,55,FALSE())</f>
        <v>#N/A</v>
      </c>
      <c r="U716" s="68" t="e">
        <f aca="false">VLOOKUP(A716,BD_ORDENES!A:BE,57,FALSE())</f>
        <v>#N/A</v>
      </c>
      <c r="V716" s="70"/>
      <c r="W716" s="71"/>
    </row>
    <row r="717" s="72" customFormat="true" ht="98.25" hidden="false" customHeight="true" outlineLevel="0" collapsed="false">
      <c r="A717" s="62" t="n">
        <f aca="false">A716+1</f>
        <v>710</v>
      </c>
      <c r="B717" s="63" t="e">
        <f aca="false">VLOOKUP(A717,BD_ORDENES!A:BG,12,FALSE())</f>
        <v>#N/A</v>
      </c>
      <c r="C717" s="64" t="n">
        <v>710</v>
      </c>
      <c r="D717" s="65" t="e">
        <f aca="false">VLOOKUP(A717,BD_ORDENES!A:BE,10,0)</f>
        <v>#N/A</v>
      </c>
      <c r="E717" s="66" t="e">
        <f aca="false">VLOOKUP(A717,BD_ORDENES!A:BG,4,FALSE())</f>
        <v>#N/A</v>
      </c>
      <c r="F717" s="66" t="e">
        <f aca="false">VLOOKUP(A717,BD_ORDENES!A:BE,56,FALSE())</f>
        <v>#N/A</v>
      </c>
      <c r="G717" s="67" t="e">
        <f aca="false">VLOOKUP(A717,BD_ORDENES!A:BE,13,FALSE())</f>
        <v>#N/A</v>
      </c>
      <c r="H717" s="68" t="e">
        <f aca="false">VLOOKUP(A717,BD_ORDENES!A:BE,17,FALSE())</f>
        <v>#N/A</v>
      </c>
      <c r="I717" s="68" t="e">
        <f aca="false">VLOOKUP(A717,BD_ORDENES!A:BE,18,FALSE())</f>
        <v>#N/A</v>
      </c>
      <c r="J717" s="68" t="e">
        <f aca="false">VLOOKUP(A717,BD_ORDENES!A:BE,19,FALSE())</f>
        <v>#N/A</v>
      </c>
      <c r="K717" s="68" t="e">
        <f aca="false">VLOOKUP(A717,BD_ORDENES!A:BE,20,FALSE())</f>
        <v>#N/A</v>
      </c>
      <c r="L717" s="68" t="e">
        <f aca="false">VLOOKUP(A717,BD_ORDENES!A:BE,21,FALSE())</f>
        <v>#N/A</v>
      </c>
      <c r="M717" s="69" t="e">
        <f aca="false">VLOOKUP(A717,BD_ORDENES!A:BE,14,FALSE())</f>
        <v>#N/A</v>
      </c>
      <c r="N717" s="68" t="e">
        <f aca="false">VLOOKUP(A717,BD_ORDENES!A:BE,15,FALSE())</f>
        <v>#N/A</v>
      </c>
      <c r="O717" s="68" t="e">
        <f aca="false">VLOOKUP(A717,BD_ORDENES!A:BE,33,FALSE())</f>
        <v>#N/A</v>
      </c>
      <c r="P717" s="68" t="e">
        <f aca="false">VLOOKUP(A717,BD_ORDENES!A:BE,23,FALSE())</f>
        <v>#N/A</v>
      </c>
      <c r="Q717" s="68" t="e">
        <f aca="false">VLOOKUP(A717,BD_ORDENES!A:BE,52,FALSE())</f>
        <v>#N/A</v>
      </c>
      <c r="R717" s="68" t="e">
        <f aca="false">VLOOKUP(A717,BD_ORDENES!A:BE,25,FALSE())</f>
        <v>#N/A</v>
      </c>
      <c r="S717" s="68" t="e">
        <f aca="false">VLOOKUP(A717,BD_ORDENES!A:BE,22,FALSE())</f>
        <v>#N/A</v>
      </c>
      <c r="T717" s="65" t="e">
        <f aca="false">VLOOKUP(A717,BD_ORDENES!A:BE,55,FALSE())</f>
        <v>#N/A</v>
      </c>
      <c r="U717" s="68" t="e">
        <f aca="false">VLOOKUP(A717,BD_ORDENES!A:BE,57,FALSE())</f>
        <v>#N/A</v>
      </c>
      <c r="V717" s="70"/>
      <c r="W717" s="71"/>
    </row>
    <row r="718" s="72" customFormat="true" ht="98.25" hidden="false" customHeight="true" outlineLevel="0" collapsed="false">
      <c r="A718" s="62" t="n">
        <f aca="false">A717+1</f>
        <v>711</v>
      </c>
      <c r="B718" s="63" t="e">
        <f aca="false">VLOOKUP(A718,BD_ORDENES!A:BG,12,FALSE())</f>
        <v>#N/A</v>
      </c>
      <c r="C718" s="64" t="n">
        <v>711</v>
      </c>
      <c r="D718" s="65" t="e">
        <f aca="false">VLOOKUP(A718,BD_ORDENES!A:BE,10,0)</f>
        <v>#N/A</v>
      </c>
      <c r="E718" s="66" t="e">
        <f aca="false">VLOOKUP(A718,BD_ORDENES!A:BG,4,FALSE())</f>
        <v>#N/A</v>
      </c>
      <c r="F718" s="66" t="e">
        <f aca="false">VLOOKUP(A718,BD_ORDENES!A:BE,56,FALSE())</f>
        <v>#N/A</v>
      </c>
      <c r="G718" s="67" t="e">
        <f aca="false">VLOOKUP(A718,BD_ORDENES!A:BE,13,FALSE())</f>
        <v>#N/A</v>
      </c>
      <c r="H718" s="68" t="e">
        <f aca="false">VLOOKUP(A718,BD_ORDENES!A:BE,17,FALSE())</f>
        <v>#N/A</v>
      </c>
      <c r="I718" s="68" t="e">
        <f aca="false">VLOOKUP(A718,BD_ORDENES!A:BE,18,FALSE())</f>
        <v>#N/A</v>
      </c>
      <c r="J718" s="68" t="e">
        <f aca="false">VLOOKUP(A718,BD_ORDENES!A:BE,19,FALSE())</f>
        <v>#N/A</v>
      </c>
      <c r="K718" s="68" t="e">
        <f aca="false">VLOOKUP(A718,BD_ORDENES!A:BE,20,FALSE())</f>
        <v>#N/A</v>
      </c>
      <c r="L718" s="68" t="e">
        <f aca="false">VLOOKUP(A718,BD_ORDENES!A:BE,21,FALSE())</f>
        <v>#N/A</v>
      </c>
      <c r="M718" s="69" t="e">
        <f aca="false">VLOOKUP(A718,BD_ORDENES!A:BE,14,FALSE())</f>
        <v>#N/A</v>
      </c>
      <c r="N718" s="68" t="e">
        <f aca="false">VLOOKUP(A718,BD_ORDENES!A:BE,15,FALSE())</f>
        <v>#N/A</v>
      </c>
      <c r="O718" s="68" t="e">
        <f aca="false">VLOOKUP(A718,BD_ORDENES!A:BE,33,FALSE())</f>
        <v>#N/A</v>
      </c>
      <c r="P718" s="68" t="e">
        <f aca="false">VLOOKUP(A718,BD_ORDENES!A:BE,23,FALSE())</f>
        <v>#N/A</v>
      </c>
      <c r="Q718" s="68" t="e">
        <f aca="false">VLOOKUP(A718,BD_ORDENES!A:BE,52,FALSE())</f>
        <v>#N/A</v>
      </c>
      <c r="R718" s="68" t="e">
        <f aca="false">VLOOKUP(A718,BD_ORDENES!A:BE,25,FALSE())</f>
        <v>#N/A</v>
      </c>
      <c r="S718" s="68" t="e">
        <f aca="false">VLOOKUP(A718,BD_ORDENES!A:BE,22,FALSE())</f>
        <v>#N/A</v>
      </c>
      <c r="T718" s="65" t="e">
        <f aca="false">VLOOKUP(A718,BD_ORDENES!A:BE,55,FALSE())</f>
        <v>#N/A</v>
      </c>
      <c r="U718" s="68" t="e">
        <f aca="false">VLOOKUP(A718,BD_ORDENES!A:BE,57,FALSE())</f>
        <v>#N/A</v>
      </c>
      <c r="V718" s="70"/>
      <c r="W718" s="71"/>
    </row>
    <row r="719" s="72" customFormat="true" ht="98.25" hidden="false" customHeight="true" outlineLevel="0" collapsed="false">
      <c r="A719" s="62" t="n">
        <f aca="false">A718+1</f>
        <v>712</v>
      </c>
      <c r="B719" s="63" t="e">
        <f aca="false">VLOOKUP(A719,BD_ORDENES!A:BG,12,FALSE())</f>
        <v>#N/A</v>
      </c>
      <c r="C719" s="64" t="n">
        <v>712</v>
      </c>
      <c r="D719" s="65" t="e">
        <f aca="false">VLOOKUP(A719,BD_ORDENES!A:BE,10,0)</f>
        <v>#N/A</v>
      </c>
      <c r="E719" s="66" t="e">
        <f aca="false">VLOOKUP(A719,BD_ORDENES!A:BG,4,FALSE())</f>
        <v>#N/A</v>
      </c>
      <c r="F719" s="66" t="e">
        <f aca="false">VLOOKUP(A719,BD_ORDENES!A:BE,56,FALSE())</f>
        <v>#N/A</v>
      </c>
      <c r="G719" s="67" t="e">
        <f aca="false">VLOOKUP(A719,BD_ORDENES!A:BE,13,FALSE())</f>
        <v>#N/A</v>
      </c>
      <c r="H719" s="68" t="e">
        <f aca="false">VLOOKUP(A719,BD_ORDENES!A:BE,17,FALSE())</f>
        <v>#N/A</v>
      </c>
      <c r="I719" s="68" t="e">
        <f aca="false">VLOOKUP(A719,BD_ORDENES!A:BE,18,FALSE())</f>
        <v>#N/A</v>
      </c>
      <c r="J719" s="68" t="e">
        <f aca="false">VLOOKUP(A719,BD_ORDENES!A:BE,19,FALSE())</f>
        <v>#N/A</v>
      </c>
      <c r="K719" s="68" t="e">
        <f aca="false">VLOOKUP(A719,BD_ORDENES!A:BE,20,FALSE())</f>
        <v>#N/A</v>
      </c>
      <c r="L719" s="68" t="e">
        <f aca="false">VLOOKUP(A719,BD_ORDENES!A:BE,21,FALSE())</f>
        <v>#N/A</v>
      </c>
      <c r="M719" s="69" t="e">
        <f aca="false">VLOOKUP(A719,BD_ORDENES!A:BE,14,FALSE())</f>
        <v>#N/A</v>
      </c>
      <c r="N719" s="68" t="e">
        <f aca="false">VLOOKUP(A719,BD_ORDENES!A:BE,15,FALSE())</f>
        <v>#N/A</v>
      </c>
      <c r="O719" s="68" t="e">
        <f aca="false">VLOOKUP(A719,BD_ORDENES!A:BE,33,FALSE())</f>
        <v>#N/A</v>
      </c>
      <c r="P719" s="68" t="e">
        <f aca="false">VLOOKUP(A719,BD_ORDENES!A:BE,23,FALSE())</f>
        <v>#N/A</v>
      </c>
      <c r="Q719" s="68" t="e">
        <f aca="false">VLOOKUP(A719,BD_ORDENES!A:BE,52,FALSE())</f>
        <v>#N/A</v>
      </c>
      <c r="R719" s="68" t="e">
        <f aca="false">VLOOKUP(A719,BD_ORDENES!A:BE,25,FALSE())</f>
        <v>#N/A</v>
      </c>
      <c r="S719" s="68" t="e">
        <f aca="false">VLOOKUP(A719,BD_ORDENES!A:BE,22,FALSE())</f>
        <v>#N/A</v>
      </c>
      <c r="T719" s="65" t="e">
        <f aca="false">VLOOKUP(A719,BD_ORDENES!A:BE,55,FALSE())</f>
        <v>#N/A</v>
      </c>
      <c r="U719" s="68" t="e">
        <f aca="false">VLOOKUP(A719,BD_ORDENES!A:BE,57,FALSE())</f>
        <v>#N/A</v>
      </c>
      <c r="V719" s="70"/>
      <c r="W719" s="71"/>
    </row>
    <row r="720" s="72" customFormat="true" ht="98.25" hidden="false" customHeight="true" outlineLevel="0" collapsed="false">
      <c r="A720" s="62" t="n">
        <f aca="false">A719+1</f>
        <v>713</v>
      </c>
      <c r="B720" s="63" t="e">
        <f aca="false">VLOOKUP(A720,BD_ORDENES!A:BG,12,FALSE())</f>
        <v>#N/A</v>
      </c>
      <c r="C720" s="64" t="n">
        <v>713</v>
      </c>
      <c r="D720" s="65" t="e">
        <f aca="false">VLOOKUP(A720,BD_ORDENES!A:BE,10,0)</f>
        <v>#N/A</v>
      </c>
      <c r="E720" s="66" t="e">
        <f aca="false">VLOOKUP(A720,BD_ORDENES!A:BG,4,FALSE())</f>
        <v>#N/A</v>
      </c>
      <c r="F720" s="66" t="e">
        <f aca="false">VLOOKUP(A720,BD_ORDENES!A:BE,56,FALSE())</f>
        <v>#N/A</v>
      </c>
      <c r="G720" s="67" t="e">
        <f aca="false">VLOOKUP(A720,BD_ORDENES!A:BE,13,FALSE())</f>
        <v>#N/A</v>
      </c>
      <c r="H720" s="68" t="e">
        <f aca="false">VLOOKUP(A720,BD_ORDENES!A:BE,17,FALSE())</f>
        <v>#N/A</v>
      </c>
      <c r="I720" s="68" t="e">
        <f aca="false">VLOOKUP(A720,BD_ORDENES!A:BE,18,FALSE())</f>
        <v>#N/A</v>
      </c>
      <c r="J720" s="68" t="e">
        <f aca="false">VLOOKUP(A720,BD_ORDENES!A:BE,19,FALSE())</f>
        <v>#N/A</v>
      </c>
      <c r="K720" s="68" t="e">
        <f aca="false">VLOOKUP(A720,BD_ORDENES!A:BE,20,FALSE())</f>
        <v>#N/A</v>
      </c>
      <c r="L720" s="68" t="e">
        <f aca="false">VLOOKUP(A720,BD_ORDENES!A:BE,21,FALSE())</f>
        <v>#N/A</v>
      </c>
      <c r="M720" s="69" t="e">
        <f aca="false">VLOOKUP(A720,BD_ORDENES!A:BE,14,FALSE())</f>
        <v>#N/A</v>
      </c>
      <c r="N720" s="68" t="e">
        <f aca="false">VLOOKUP(A720,BD_ORDENES!A:BE,15,FALSE())</f>
        <v>#N/A</v>
      </c>
      <c r="O720" s="68" t="e">
        <f aca="false">VLOOKUP(A720,BD_ORDENES!A:BE,33,FALSE())</f>
        <v>#N/A</v>
      </c>
      <c r="P720" s="68" t="e">
        <f aca="false">VLOOKUP(A720,BD_ORDENES!A:BE,23,FALSE())</f>
        <v>#N/A</v>
      </c>
      <c r="Q720" s="68" t="e">
        <f aca="false">VLOOKUP(A720,BD_ORDENES!A:BE,52,FALSE())</f>
        <v>#N/A</v>
      </c>
      <c r="R720" s="68" t="e">
        <f aca="false">VLOOKUP(A720,BD_ORDENES!A:BE,25,FALSE())</f>
        <v>#N/A</v>
      </c>
      <c r="S720" s="68" t="e">
        <f aca="false">VLOOKUP(A720,BD_ORDENES!A:BE,22,FALSE())</f>
        <v>#N/A</v>
      </c>
      <c r="T720" s="65" t="e">
        <f aca="false">VLOOKUP(A720,BD_ORDENES!A:BE,55,FALSE())</f>
        <v>#N/A</v>
      </c>
      <c r="U720" s="68" t="e">
        <f aca="false">VLOOKUP(A720,BD_ORDENES!A:BE,57,FALSE())</f>
        <v>#N/A</v>
      </c>
      <c r="V720" s="70"/>
      <c r="W720" s="71"/>
    </row>
    <row r="721" s="72" customFormat="true" ht="98.25" hidden="false" customHeight="true" outlineLevel="0" collapsed="false">
      <c r="A721" s="62" t="n">
        <f aca="false">A720+1</f>
        <v>714</v>
      </c>
      <c r="B721" s="63" t="e">
        <f aca="false">VLOOKUP(A721,BD_ORDENES!A:BG,12,FALSE())</f>
        <v>#N/A</v>
      </c>
      <c r="C721" s="64" t="n">
        <v>714</v>
      </c>
      <c r="D721" s="65" t="e">
        <f aca="false">VLOOKUP(A721,BD_ORDENES!A:BE,10,0)</f>
        <v>#N/A</v>
      </c>
      <c r="E721" s="66" t="e">
        <f aca="false">VLOOKUP(A721,BD_ORDENES!A:BG,4,FALSE())</f>
        <v>#N/A</v>
      </c>
      <c r="F721" s="66" t="e">
        <f aca="false">VLOOKUP(A721,BD_ORDENES!A:BE,56,FALSE())</f>
        <v>#N/A</v>
      </c>
      <c r="G721" s="67" t="e">
        <f aca="false">VLOOKUP(A721,BD_ORDENES!A:BE,13,FALSE())</f>
        <v>#N/A</v>
      </c>
      <c r="H721" s="68" t="e">
        <f aca="false">VLOOKUP(A721,BD_ORDENES!A:BE,17,FALSE())</f>
        <v>#N/A</v>
      </c>
      <c r="I721" s="68" t="e">
        <f aca="false">VLOOKUP(A721,BD_ORDENES!A:BE,18,FALSE())</f>
        <v>#N/A</v>
      </c>
      <c r="J721" s="68" t="e">
        <f aca="false">VLOOKUP(A721,BD_ORDENES!A:BE,19,FALSE())</f>
        <v>#N/A</v>
      </c>
      <c r="K721" s="68" t="e">
        <f aca="false">VLOOKUP(A721,BD_ORDENES!A:BE,20,FALSE())</f>
        <v>#N/A</v>
      </c>
      <c r="L721" s="68" t="e">
        <f aca="false">VLOOKUP(A721,BD_ORDENES!A:BE,21,FALSE())</f>
        <v>#N/A</v>
      </c>
      <c r="M721" s="69" t="e">
        <f aca="false">VLOOKUP(A721,BD_ORDENES!A:BE,14,FALSE())</f>
        <v>#N/A</v>
      </c>
      <c r="N721" s="68" t="e">
        <f aca="false">VLOOKUP(A721,BD_ORDENES!A:BE,15,FALSE())</f>
        <v>#N/A</v>
      </c>
      <c r="O721" s="68" t="e">
        <f aca="false">VLOOKUP(A721,BD_ORDENES!A:BE,33,FALSE())</f>
        <v>#N/A</v>
      </c>
      <c r="P721" s="68" t="e">
        <f aca="false">VLOOKUP(A721,BD_ORDENES!A:BE,23,FALSE())</f>
        <v>#N/A</v>
      </c>
      <c r="Q721" s="68" t="e">
        <f aca="false">VLOOKUP(A721,BD_ORDENES!A:BE,52,FALSE())</f>
        <v>#N/A</v>
      </c>
      <c r="R721" s="68" t="e">
        <f aca="false">VLOOKUP(A721,BD_ORDENES!A:BE,25,FALSE())</f>
        <v>#N/A</v>
      </c>
      <c r="S721" s="68" t="e">
        <f aca="false">VLOOKUP(A721,BD_ORDENES!A:BE,22,FALSE())</f>
        <v>#N/A</v>
      </c>
      <c r="T721" s="65" t="e">
        <f aca="false">VLOOKUP(A721,BD_ORDENES!A:BE,55,FALSE())</f>
        <v>#N/A</v>
      </c>
      <c r="U721" s="68" t="e">
        <f aca="false">VLOOKUP(A721,BD_ORDENES!A:BE,57,FALSE())</f>
        <v>#N/A</v>
      </c>
      <c r="V721" s="70"/>
      <c r="W721" s="71"/>
    </row>
    <row r="722" s="72" customFormat="true" ht="98.25" hidden="false" customHeight="true" outlineLevel="0" collapsed="false">
      <c r="A722" s="62" t="n">
        <f aca="false">A721+1</f>
        <v>715</v>
      </c>
      <c r="B722" s="63" t="e">
        <f aca="false">VLOOKUP(A722,BD_ORDENES!A:BG,12,FALSE())</f>
        <v>#N/A</v>
      </c>
      <c r="C722" s="64" t="n">
        <v>715</v>
      </c>
      <c r="D722" s="65" t="e">
        <f aca="false">VLOOKUP(A722,BD_ORDENES!A:BE,10,0)</f>
        <v>#N/A</v>
      </c>
      <c r="E722" s="66" t="e">
        <f aca="false">VLOOKUP(A722,BD_ORDENES!A:BG,4,FALSE())</f>
        <v>#N/A</v>
      </c>
      <c r="F722" s="66" t="e">
        <f aca="false">VLOOKUP(A722,BD_ORDENES!A:BE,56,FALSE())</f>
        <v>#N/A</v>
      </c>
      <c r="G722" s="67" t="e">
        <f aca="false">VLOOKUP(A722,BD_ORDENES!A:BE,13,FALSE())</f>
        <v>#N/A</v>
      </c>
      <c r="H722" s="68" t="e">
        <f aca="false">VLOOKUP(A722,BD_ORDENES!A:BE,17,FALSE())</f>
        <v>#N/A</v>
      </c>
      <c r="I722" s="68" t="e">
        <f aca="false">VLOOKUP(A722,BD_ORDENES!A:BE,18,FALSE())</f>
        <v>#N/A</v>
      </c>
      <c r="J722" s="68" t="e">
        <f aca="false">VLOOKUP(A722,BD_ORDENES!A:BE,19,FALSE())</f>
        <v>#N/A</v>
      </c>
      <c r="K722" s="68" t="e">
        <f aca="false">VLOOKUP(A722,BD_ORDENES!A:BE,20,FALSE())</f>
        <v>#N/A</v>
      </c>
      <c r="L722" s="68" t="e">
        <f aca="false">VLOOKUP(A722,BD_ORDENES!A:BE,21,FALSE())</f>
        <v>#N/A</v>
      </c>
      <c r="M722" s="69" t="e">
        <f aca="false">VLOOKUP(A722,BD_ORDENES!A:BE,14,FALSE())</f>
        <v>#N/A</v>
      </c>
      <c r="N722" s="68" t="e">
        <f aca="false">VLOOKUP(A722,BD_ORDENES!A:BE,15,FALSE())</f>
        <v>#N/A</v>
      </c>
      <c r="O722" s="68" t="e">
        <f aca="false">VLOOKUP(A722,BD_ORDENES!A:BE,33,FALSE())</f>
        <v>#N/A</v>
      </c>
      <c r="P722" s="68" t="e">
        <f aca="false">VLOOKUP(A722,BD_ORDENES!A:BE,23,FALSE())</f>
        <v>#N/A</v>
      </c>
      <c r="Q722" s="68" t="e">
        <f aca="false">VLOOKUP(A722,BD_ORDENES!A:BE,52,FALSE())</f>
        <v>#N/A</v>
      </c>
      <c r="R722" s="68" t="e">
        <f aca="false">VLOOKUP(A722,BD_ORDENES!A:BE,25,FALSE())</f>
        <v>#N/A</v>
      </c>
      <c r="S722" s="68" t="e">
        <f aca="false">VLOOKUP(A722,BD_ORDENES!A:BE,22,FALSE())</f>
        <v>#N/A</v>
      </c>
      <c r="T722" s="65" t="e">
        <f aca="false">VLOOKUP(A722,BD_ORDENES!A:BE,55,FALSE())</f>
        <v>#N/A</v>
      </c>
      <c r="U722" s="68" t="e">
        <f aca="false">VLOOKUP(A722,BD_ORDENES!A:BE,57,FALSE())</f>
        <v>#N/A</v>
      </c>
      <c r="V722" s="70"/>
      <c r="W722" s="71"/>
    </row>
    <row r="723" s="72" customFormat="true" ht="98.25" hidden="false" customHeight="true" outlineLevel="0" collapsed="false">
      <c r="A723" s="62" t="n">
        <f aca="false">A722+1</f>
        <v>716</v>
      </c>
      <c r="B723" s="63" t="e">
        <f aca="false">VLOOKUP(A723,BD_ORDENES!A:BG,12,FALSE())</f>
        <v>#N/A</v>
      </c>
      <c r="C723" s="64" t="n">
        <v>716</v>
      </c>
      <c r="D723" s="65" t="e">
        <f aca="false">VLOOKUP(A723,BD_ORDENES!A:BE,10,0)</f>
        <v>#N/A</v>
      </c>
      <c r="E723" s="66" t="e">
        <f aca="false">VLOOKUP(A723,BD_ORDENES!A:BG,4,FALSE())</f>
        <v>#N/A</v>
      </c>
      <c r="F723" s="66" t="e">
        <f aca="false">VLOOKUP(A723,BD_ORDENES!A:BE,56,FALSE())</f>
        <v>#N/A</v>
      </c>
      <c r="G723" s="67" t="e">
        <f aca="false">VLOOKUP(A723,BD_ORDENES!A:BE,13,FALSE())</f>
        <v>#N/A</v>
      </c>
      <c r="H723" s="68" t="e">
        <f aca="false">VLOOKUP(A723,BD_ORDENES!A:BE,17,FALSE())</f>
        <v>#N/A</v>
      </c>
      <c r="I723" s="68" t="e">
        <f aca="false">VLOOKUP(A723,BD_ORDENES!A:BE,18,FALSE())</f>
        <v>#N/A</v>
      </c>
      <c r="J723" s="68" t="e">
        <f aca="false">VLOOKUP(A723,BD_ORDENES!A:BE,19,FALSE())</f>
        <v>#N/A</v>
      </c>
      <c r="K723" s="68" t="e">
        <f aca="false">VLOOKUP(A723,BD_ORDENES!A:BE,20,FALSE())</f>
        <v>#N/A</v>
      </c>
      <c r="L723" s="68" t="e">
        <f aca="false">VLOOKUP(A723,BD_ORDENES!A:BE,21,FALSE())</f>
        <v>#N/A</v>
      </c>
      <c r="M723" s="69" t="e">
        <f aca="false">VLOOKUP(A723,BD_ORDENES!A:BE,14,FALSE())</f>
        <v>#N/A</v>
      </c>
      <c r="N723" s="68" t="e">
        <f aca="false">VLOOKUP(A723,BD_ORDENES!A:BE,15,FALSE())</f>
        <v>#N/A</v>
      </c>
      <c r="O723" s="68" t="e">
        <f aca="false">VLOOKUP(A723,BD_ORDENES!A:BE,33,FALSE())</f>
        <v>#N/A</v>
      </c>
      <c r="P723" s="68" t="e">
        <f aca="false">VLOOKUP(A723,BD_ORDENES!A:BE,23,FALSE())</f>
        <v>#N/A</v>
      </c>
      <c r="Q723" s="68" t="e">
        <f aca="false">VLOOKUP(A723,BD_ORDENES!A:BE,52,FALSE())</f>
        <v>#N/A</v>
      </c>
      <c r="R723" s="68" t="e">
        <f aca="false">VLOOKUP(A723,BD_ORDENES!A:BE,25,FALSE())</f>
        <v>#N/A</v>
      </c>
      <c r="S723" s="68" t="e">
        <f aca="false">VLOOKUP(A723,BD_ORDENES!A:BE,22,FALSE())</f>
        <v>#N/A</v>
      </c>
      <c r="T723" s="65" t="e">
        <f aca="false">VLOOKUP(A723,BD_ORDENES!A:BE,55,FALSE())</f>
        <v>#N/A</v>
      </c>
      <c r="U723" s="68" t="e">
        <f aca="false">VLOOKUP(A723,BD_ORDENES!A:BE,57,FALSE())</f>
        <v>#N/A</v>
      </c>
      <c r="V723" s="70"/>
      <c r="W723" s="71"/>
    </row>
    <row r="724" s="72" customFormat="true" ht="98.25" hidden="false" customHeight="true" outlineLevel="0" collapsed="false">
      <c r="A724" s="62" t="n">
        <f aca="false">A723+1</f>
        <v>717</v>
      </c>
      <c r="B724" s="63" t="e">
        <f aca="false">VLOOKUP(A724,BD_ORDENES!A:BG,12,FALSE())</f>
        <v>#N/A</v>
      </c>
      <c r="C724" s="64" t="n">
        <v>717</v>
      </c>
      <c r="D724" s="65" t="e">
        <f aca="false">VLOOKUP(A724,BD_ORDENES!A:BE,10,0)</f>
        <v>#N/A</v>
      </c>
      <c r="E724" s="66" t="e">
        <f aca="false">VLOOKUP(A724,BD_ORDENES!A:BG,4,FALSE())</f>
        <v>#N/A</v>
      </c>
      <c r="F724" s="66" t="e">
        <f aca="false">VLOOKUP(A724,BD_ORDENES!A:BE,56,FALSE())</f>
        <v>#N/A</v>
      </c>
      <c r="G724" s="67" t="e">
        <f aca="false">VLOOKUP(A724,BD_ORDENES!A:BE,13,FALSE())</f>
        <v>#N/A</v>
      </c>
      <c r="H724" s="68" t="e">
        <f aca="false">VLOOKUP(A724,BD_ORDENES!A:BE,17,FALSE())</f>
        <v>#N/A</v>
      </c>
      <c r="I724" s="68" t="e">
        <f aca="false">VLOOKUP(A724,BD_ORDENES!A:BE,18,FALSE())</f>
        <v>#N/A</v>
      </c>
      <c r="J724" s="68" t="e">
        <f aca="false">VLOOKUP(A724,BD_ORDENES!A:BE,19,FALSE())</f>
        <v>#N/A</v>
      </c>
      <c r="K724" s="68" t="e">
        <f aca="false">VLOOKUP(A724,BD_ORDENES!A:BE,20,FALSE())</f>
        <v>#N/A</v>
      </c>
      <c r="L724" s="68" t="e">
        <f aca="false">VLOOKUP(A724,BD_ORDENES!A:BE,21,FALSE())</f>
        <v>#N/A</v>
      </c>
      <c r="M724" s="69" t="e">
        <f aca="false">VLOOKUP(A724,BD_ORDENES!A:BE,14,FALSE())</f>
        <v>#N/A</v>
      </c>
      <c r="N724" s="68" t="e">
        <f aca="false">VLOOKUP(A724,BD_ORDENES!A:BE,15,FALSE())</f>
        <v>#N/A</v>
      </c>
      <c r="O724" s="68" t="e">
        <f aca="false">VLOOKUP(A724,BD_ORDENES!A:BE,33,FALSE())</f>
        <v>#N/A</v>
      </c>
      <c r="P724" s="68" t="e">
        <f aca="false">VLOOKUP(A724,BD_ORDENES!A:BE,23,FALSE())</f>
        <v>#N/A</v>
      </c>
      <c r="Q724" s="68" t="e">
        <f aca="false">VLOOKUP(A724,BD_ORDENES!A:BE,52,FALSE())</f>
        <v>#N/A</v>
      </c>
      <c r="R724" s="68" t="e">
        <f aca="false">VLOOKUP(A724,BD_ORDENES!A:BE,25,FALSE())</f>
        <v>#N/A</v>
      </c>
      <c r="S724" s="68" t="e">
        <f aca="false">VLOOKUP(A724,BD_ORDENES!A:BE,22,FALSE())</f>
        <v>#N/A</v>
      </c>
      <c r="T724" s="65" t="e">
        <f aca="false">VLOOKUP(A724,BD_ORDENES!A:BE,55,FALSE())</f>
        <v>#N/A</v>
      </c>
      <c r="U724" s="68" t="e">
        <f aca="false">VLOOKUP(A724,BD_ORDENES!A:BE,57,FALSE())</f>
        <v>#N/A</v>
      </c>
      <c r="V724" s="70"/>
      <c r="W724" s="71"/>
    </row>
    <row r="725" s="72" customFormat="true" ht="98.25" hidden="false" customHeight="true" outlineLevel="0" collapsed="false">
      <c r="A725" s="62" t="n">
        <f aca="false">A724+1</f>
        <v>718</v>
      </c>
      <c r="B725" s="63" t="e">
        <f aca="false">VLOOKUP(A725,BD_ORDENES!A:BG,12,FALSE())</f>
        <v>#N/A</v>
      </c>
      <c r="C725" s="64" t="n">
        <v>718</v>
      </c>
      <c r="D725" s="65" t="e">
        <f aca="false">VLOOKUP(A725,BD_ORDENES!A:BE,10,0)</f>
        <v>#N/A</v>
      </c>
      <c r="E725" s="66" t="e">
        <f aca="false">VLOOKUP(A725,BD_ORDENES!A:BG,4,FALSE())</f>
        <v>#N/A</v>
      </c>
      <c r="F725" s="66" t="e">
        <f aca="false">VLOOKUP(A725,BD_ORDENES!A:BE,56,FALSE())</f>
        <v>#N/A</v>
      </c>
      <c r="G725" s="67" t="e">
        <f aca="false">VLOOKUP(A725,BD_ORDENES!A:BE,13,FALSE())</f>
        <v>#N/A</v>
      </c>
      <c r="H725" s="68" t="e">
        <f aca="false">VLOOKUP(A725,BD_ORDENES!A:BE,17,FALSE())</f>
        <v>#N/A</v>
      </c>
      <c r="I725" s="68" t="e">
        <f aca="false">VLOOKUP(A725,BD_ORDENES!A:BE,18,FALSE())</f>
        <v>#N/A</v>
      </c>
      <c r="J725" s="68" t="e">
        <f aca="false">VLOOKUP(A725,BD_ORDENES!A:BE,19,FALSE())</f>
        <v>#N/A</v>
      </c>
      <c r="K725" s="68" t="e">
        <f aca="false">VLOOKUP(A725,BD_ORDENES!A:BE,20,FALSE())</f>
        <v>#N/A</v>
      </c>
      <c r="L725" s="68" t="e">
        <f aca="false">VLOOKUP(A725,BD_ORDENES!A:BE,21,FALSE())</f>
        <v>#N/A</v>
      </c>
      <c r="M725" s="69" t="e">
        <f aca="false">VLOOKUP(A725,BD_ORDENES!A:BE,14,FALSE())</f>
        <v>#N/A</v>
      </c>
      <c r="N725" s="68" t="e">
        <f aca="false">VLOOKUP(A725,BD_ORDENES!A:BE,15,FALSE())</f>
        <v>#N/A</v>
      </c>
      <c r="O725" s="68" t="e">
        <f aca="false">VLOOKUP(A725,BD_ORDENES!A:BE,33,FALSE())</f>
        <v>#N/A</v>
      </c>
      <c r="P725" s="68" t="e">
        <f aca="false">VLOOKUP(A725,BD_ORDENES!A:BE,23,FALSE())</f>
        <v>#N/A</v>
      </c>
      <c r="Q725" s="68" t="e">
        <f aca="false">VLOOKUP(A725,BD_ORDENES!A:BE,52,FALSE())</f>
        <v>#N/A</v>
      </c>
      <c r="R725" s="68" t="e">
        <f aca="false">VLOOKUP(A725,BD_ORDENES!A:BE,25,FALSE())</f>
        <v>#N/A</v>
      </c>
      <c r="S725" s="68" t="e">
        <f aca="false">VLOOKUP(A725,BD_ORDENES!A:BE,22,FALSE())</f>
        <v>#N/A</v>
      </c>
      <c r="T725" s="65" t="e">
        <f aca="false">VLOOKUP(A725,BD_ORDENES!A:BE,55,FALSE())</f>
        <v>#N/A</v>
      </c>
      <c r="U725" s="68" t="e">
        <f aca="false">VLOOKUP(A725,BD_ORDENES!A:BE,57,FALSE())</f>
        <v>#N/A</v>
      </c>
      <c r="V725" s="70"/>
      <c r="W725" s="71"/>
    </row>
    <row r="726" s="72" customFormat="true" ht="98.25" hidden="false" customHeight="true" outlineLevel="0" collapsed="false">
      <c r="A726" s="62" t="n">
        <f aca="false">A725+1</f>
        <v>719</v>
      </c>
      <c r="B726" s="63" t="e">
        <f aca="false">VLOOKUP(A726,BD_ORDENES!A:BG,12,FALSE())</f>
        <v>#N/A</v>
      </c>
      <c r="C726" s="64" t="n">
        <v>719</v>
      </c>
      <c r="D726" s="65" t="e">
        <f aca="false">VLOOKUP(A726,BD_ORDENES!A:BE,10,0)</f>
        <v>#N/A</v>
      </c>
      <c r="E726" s="66" t="e">
        <f aca="false">VLOOKUP(A726,BD_ORDENES!A:BG,4,FALSE())</f>
        <v>#N/A</v>
      </c>
      <c r="F726" s="66" t="e">
        <f aca="false">VLOOKUP(A726,BD_ORDENES!A:BE,56,FALSE())</f>
        <v>#N/A</v>
      </c>
      <c r="G726" s="67" t="e">
        <f aca="false">VLOOKUP(A726,BD_ORDENES!A:BE,13,FALSE())</f>
        <v>#N/A</v>
      </c>
      <c r="H726" s="68" t="e">
        <f aca="false">VLOOKUP(A726,BD_ORDENES!A:BE,17,FALSE())</f>
        <v>#N/A</v>
      </c>
      <c r="I726" s="68" t="e">
        <f aca="false">VLOOKUP(A726,BD_ORDENES!A:BE,18,FALSE())</f>
        <v>#N/A</v>
      </c>
      <c r="J726" s="68" t="e">
        <f aca="false">VLOOKUP(A726,BD_ORDENES!A:BE,19,FALSE())</f>
        <v>#N/A</v>
      </c>
      <c r="K726" s="68" t="e">
        <f aca="false">VLOOKUP(A726,BD_ORDENES!A:BE,20,FALSE())</f>
        <v>#N/A</v>
      </c>
      <c r="L726" s="68" t="e">
        <f aca="false">VLOOKUP(A726,BD_ORDENES!A:BE,21,FALSE())</f>
        <v>#N/A</v>
      </c>
      <c r="M726" s="69" t="e">
        <f aca="false">VLOOKUP(A726,BD_ORDENES!A:BE,14,FALSE())</f>
        <v>#N/A</v>
      </c>
      <c r="N726" s="68" t="e">
        <f aca="false">VLOOKUP(A726,BD_ORDENES!A:BE,15,FALSE())</f>
        <v>#N/A</v>
      </c>
      <c r="O726" s="68" t="e">
        <f aca="false">VLOOKUP(A726,BD_ORDENES!A:BE,33,FALSE())</f>
        <v>#N/A</v>
      </c>
      <c r="P726" s="68" t="e">
        <f aca="false">VLOOKUP(A726,BD_ORDENES!A:BE,23,FALSE())</f>
        <v>#N/A</v>
      </c>
      <c r="Q726" s="68" t="e">
        <f aca="false">VLOOKUP(A726,BD_ORDENES!A:BE,52,FALSE())</f>
        <v>#N/A</v>
      </c>
      <c r="R726" s="68" t="e">
        <f aca="false">VLOOKUP(A726,BD_ORDENES!A:BE,25,FALSE())</f>
        <v>#N/A</v>
      </c>
      <c r="S726" s="68" t="e">
        <f aca="false">VLOOKUP(A726,BD_ORDENES!A:BE,22,FALSE())</f>
        <v>#N/A</v>
      </c>
      <c r="T726" s="65" t="e">
        <f aca="false">VLOOKUP(A726,BD_ORDENES!A:BE,55,FALSE())</f>
        <v>#N/A</v>
      </c>
      <c r="U726" s="68" t="e">
        <f aca="false">VLOOKUP(A726,BD_ORDENES!A:BE,57,FALSE())</f>
        <v>#N/A</v>
      </c>
      <c r="V726" s="70"/>
      <c r="W726" s="71"/>
    </row>
    <row r="727" s="72" customFormat="true" ht="98.25" hidden="false" customHeight="true" outlineLevel="0" collapsed="false">
      <c r="A727" s="62" t="n">
        <f aca="false">A726+1</f>
        <v>720</v>
      </c>
      <c r="B727" s="63" t="e">
        <f aca="false">VLOOKUP(A727,BD_ORDENES!A:BG,12,FALSE())</f>
        <v>#N/A</v>
      </c>
      <c r="C727" s="64" t="n">
        <v>720</v>
      </c>
      <c r="D727" s="65" t="e">
        <f aca="false">VLOOKUP(A727,BD_ORDENES!A:BE,10,0)</f>
        <v>#N/A</v>
      </c>
      <c r="E727" s="66" t="e">
        <f aca="false">VLOOKUP(A727,BD_ORDENES!A:BG,4,FALSE())</f>
        <v>#N/A</v>
      </c>
      <c r="F727" s="66" t="e">
        <f aca="false">VLOOKUP(A727,BD_ORDENES!A:BE,56,FALSE())</f>
        <v>#N/A</v>
      </c>
      <c r="G727" s="67" t="e">
        <f aca="false">VLOOKUP(A727,BD_ORDENES!A:BE,13,FALSE())</f>
        <v>#N/A</v>
      </c>
      <c r="H727" s="68" t="e">
        <f aca="false">VLOOKUP(A727,BD_ORDENES!A:BE,17,FALSE())</f>
        <v>#N/A</v>
      </c>
      <c r="I727" s="68" t="e">
        <f aca="false">VLOOKUP(A727,BD_ORDENES!A:BE,18,FALSE())</f>
        <v>#N/A</v>
      </c>
      <c r="J727" s="68" t="e">
        <f aca="false">VLOOKUP(A727,BD_ORDENES!A:BE,19,FALSE())</f>
        <v>#N/A</v>
      </c>
      <c r="K727" s="68" t="e">
        <f aca="false">VLOOKUP(A727,BD_ORDENES!A:BE,20,FALSE())</f>
        <v>#N/A</v>
      </c>
      <c r="L727" s="68" t="e">
        <f aca="false">VLOOKUP(A727,BD_ORDENES!A:BE,21,FALSE())</f>
        <v>#N/A</v>
      </c>
      <c r="M727" s="69" t="e">
        <f aca="false">VLOOKUP(A727,BD_ORDENES!A:BE,14,FALSE())</f>
        <v>#N/A</v>
      </c>
      <c r="N727" s="68" t="e">
        <f aca="false">VLOOKUP(A727,BD_ORDENES!A:BE,15,FALSE())</f>
        <v>#N/A</v>
      </c>
      <c r="O727" s="68" t="e">
        <f aca="false">VLOOKUP(A727,BD_ORDENES!A:BE,33,FALSE())</f>
        <v>#N/A</v>
      </c>
      <c r="P727" s="68" t="e">
        <f aca="false">VLOOKUP(A727,BD_ORDENES!A:BE,23,FALSE())</f>
        <v>#N/A</v>
      </c>
      <c r="Q727" s="68" t="e">
        <f aca="false">VLOOKUP(A727,BD_ORDENES!A:BE,52,FALSE())</f>
        <v>#N/A</v>
      </c>
      <c r="R727" s="68" t="e">
        <f aca="false">VLOOKUP(A727,BD_ORDENES!A:BE,25,FALSE())</f>
        <v>#N/A</v>
      </c>
      <c r="S727" s="68" t="e">
        <f aca="false">VLOOKUP(A727,BD_ORDENES!A:BE,22,FALSE())</f>
        <v>#N/A</v>
      </c>
      <c r="T727" s="65" t="e">
        <f aca="false">VLOOKUP(A727,BD_ORDENES!A:BE,55,FALSE())</f>
        <v>#N/A</v>
      </c>
      <c r="U727" s="68" t="e">
        <f aca="false">VLOOKUP(A727,BD_ORDENES!A:BE,57,FALSE())</f>
        <v>#N/A</v>
      </c>
      <c r="V727" s="70"/>
      <c r="W727" s="71"/>
    </row>
    <row r="728" s="72" customFormat="true" ht="98.25" hidden="false" customHeight="true" outlineLevel="0" collapsed="false">
      <c r="A728" s="62" t="n">
        <f aca="false">A727+1</f>
        <v>721</v>
      </c>
      <c r="B728" s="63" t="e">
        <f aca="false">VLOOKUP(A728,BD_ORDENES!A:BG,12,FALSE())</f>
        <v>#N/A</v>
      </c>
      <c r="C728" s="64" t="n">
        <v>721</v>
      </c>
      <c r="D728" s="65" t="e">
        <f aca="false">VLOOKUP(A728,BD_ORDENES!A:BE,10,0)</f>
        <v>#N/A</v>
      </c>
      <c r="E728" s="66" t="e">
        <f aca="false">VLOOKUP(A728,BD_ORDENES!A:BG,4,FALSE())</f>
        <v>#N/A</v>
      </c>
      <c r="F728" s="66" t="e">
        <f aca="false">VLOOKUP(A728,BD_ORDENES!A:BE,56,FALSE())</f>
        <v>#N/A</v>
      </c>
      <c r="G728" s="67" t="e">
        <f aca="false">VLOOKUP(A728,BD_ORDENES!A:BE,13,FALSE())</f>
        <v>#N/A</v>
      </c>
      <c r="H728" s="68" t="e">
        <f aca="false">VLOOKUP(A728,BD_ORDENES!A:BE,17,FALSE())</f>
        <v>#N/A</v>
      </c>
      <c r="I728" s="68" t="e">
        <f aca="false">VLOOKUP(A728,BD_ORDENES!A:BE,18,FALSE())</f>
        <v>#N/A</v>
      </c>
      <c r="J728" s="68" t="e">
        <f aca="false">VLOOKUP(A728,BD_ORDENES!A:BE,19,FALSE())</f>
        <v>#N/A</v>
      </c>
      <c r="K728" s="68" t="e">
        <f aca="false">VLOOKUP(A728,BD_ORDENES!A:BE,20,FALSE())</f>
        <v>#N/A</v>
      </c>
      <c r="L728" s="68" t="e">
        <f aca="false">VLOOKUP(A728,BD_ORDENES!A:BE,21,FALSE())</f>
        <v>#N/A</v>
      </c>
      <c r="M728" s="69" t="e">
        <f aca="false">VLOOKUP(A728,BD_ORDENES!A:BE,14,FALSE())</f>
        <v>#N/A</v>
      </c>
      <c r="N728" s="68" t="e">
        <f aca="false">VLOOKUP(A728,BD_ORDENES!A:BE,15,FALSE())</f>
        <v>#N/A</v>
      </c>
      <c r="O728" s="68" t="e">
        <f aca="false">VLOOKUP(A728,BD_ORDENES!A:BE,33,FALSE())</f>
        <v>#N/A</v>
      </c>
      <c r="P728" s="68" t="e">
        <f aca="false">VLOOKUP(A728,BD_ORDENES!A:BE,23,FALSE())</f>
        <v>#N/A</v>
      </c>
      <c r="Q728" s="68" t="e">
        <f aca="false">VLOOKUP(A728,BD_ORDENES!A:BE,52,FALSE())</f>
        <v>#N/A</v>
      </c>
      <c r="R728" s="68" t="e">
        <f aca="false">VLOOKUP(A728,BD_ORDENES!A:BE,25,FALSE())</f>
        <v>#N/A</v>
      </c>
      <c r="S728" s="68" t="e">
        <f aca="false">VLOOKUP(A728,BD_ORDENES!A:BE,22,FALSE())</f>
        <v>#N/A</v>
      </c>
      <c r="T728" s="65" t="e">
        <f aca="false">VLOOKUP(A728,BD_ORDENES!A:BE,55,FALSE())</f>
        <v>#N/A</v>
      </c>
      <c r="U728" s="68" t="e">
        <f aca="false">VLOOKUP(A728,BD_ORDENES!A:BE,57,FALSE())</f>
        <v>#N/A</v>
      </c>
      <c r="V728" s="70"/>
      <c r="W728" s="71"/>
    </row>
    <row r="729" s="72" customFormat="true" ht="98.25" hidden="false" customHeight="true" outlineLevel="0" collapsed="false">
      <c r="A729" s="62" t="n">
        <f aca="false">A728+1</f>
        <v>722</v>
      </c>
      <c r="B729" s="63" t="e">
        <f aca="false">VLOOKUP(A729,BD_ORDENES!A:BG,12,FALSE())</f>
        <v>#N/A</v>
      </c>
      <c r="C729" s="64" t="n">
        <v>722</v>
      </c>
      <c r="D729" s="65" t="e">
        <f aca="false">VLOOKUP(A729,BD_ORDENES!A:BE,10,0)</f>
        <v>#N/A</v>
      </c>
      <c r="E729" s="66" t="e">
        <f aca="false">VLOOKUP(A729,BD_ORDENES!A:BG,4,FALSE())</f>
        <v>#N/A</v>
      </c>
      <c r="F729" s="66" t="e">
        <f aca="false">VLOOKUP(A729,BD_ORDENES!A:BE,56,FALSE())</f>
        <v>#N/A</v>
      </c>
      <c r="G729" s="67" t="e">
        <f aca="false">VLOOKUP(A729,BD_ORDENES!A:BE,13,FALSE())</f>
        <v>#N/A</v>
      </c>
      <c r="H729" s="68" t="e">
        <f aca="false">VLOOKUP(A729,BD_ORDENES!A:BE,17,FALSE())</f>
        <v>#N/A</v>
      </c>
      <c r="I729" s="68" t="e">
        <f aca="false">VLOOKUP(A729,BD_ORDENES!A:BE,18,FALSE())</f>
        <v>#N/A</v>
      </c>
      <c r="J729" s="68" t="e">
        <f aca="false">VLOOKUP(A729,BD_ORDENES!A:BE,19,FALSE())</f>
        <v>#N/A</v>
      </c>
      <c r="K729" s="68" t="e">
        <f aca="false">VLOOKUP(A729,BD_ORDENES!A:BE,20,FALSE())</f>
        <v>#N/A</v>
      </c>
      <c r="L729" s="68" t="e">
        <f aca="false">VLOOKUP(A729,BD_ORDENES!A:BE,21,FALSE())</f>
        <v>#N/A</v>
      </c>
      <c r="M729" s="69" t="e">
        <f aca="false">VLOOKUP(A729,BD_ORDENES!A:BE,14,FALSE())</f>
        <v>#N/A</v>
      </c>
      <c r="N729" s="68" t="e">
        <f aca="false">VLOOKUP(A729,BD_ORDENES!A:BE,15,FALSE())</f>
        <v>#N/A</v>
      </c>
      <c r="O729" s="68" t="e">
        <f aca="false">VLOOKUP(A729,BD_ORDENES!A:BE,33,FALSE())</f>
        <v>#N/A</v>
      </c>
      <c r="P729" s="68" t="e">
        <f aca="false">VLOOKUP(A729,BD_ORDENES!A:BE,23,FALSE())</f>
        <v>#N/A</v>
      </c>
      <c r="Q729" s="68" t="e">
        <f aca="false">VLOOKUP(A729,BD_ORDENES!A:BE,52,FALSE())</f>
        <v>#N/A</v>
      </c>
      <c r="R729" s="68" t="e">
        <f aca="false">VLOOKUP(A729,BD_ORDENES!A:BE,25,FALSE())</f>
        <v>#N/A</v>
      </c>
      <c r="S729" s="68" t="e">
        <f aca="false">VLOOKUP(A729,BD_ORDENES!A:BE,22,FALSE())</f>
        <v>#N/A</v>
      </c>
      <c r="T729" s="65" t="e">
        <f aca="false">VLOOKUP(A729,BD_ORDENES!A:BE,55,FALSE())</f>
        <v>#N/A</v>
      </c>
      <c r="U729" s="68" t="e">
        <f aca="false">VLOOKUP(A729,BD_ORDENES!A:BE,57,FALSE())</f>
        <v>#N/A</v>
      </c>
      <c r="V729" s="70"/>
      <c r="W729" s="71"/>
    </row>
    <row r="730" s="72" customFormat="true" ht="98.25" hidden="false" customHeight="true" outlineLevel="0" collapsed="false">
      <c r="A730" s="62" t="n">
        <f aca="false">A729+1</f>
        <v>723</v>
      </c>
      <c r="B730" s="63" t="e">
        <f aca="false">VLOOKUP(A730,BD_ORDENES!A:BG,12,FALSE())</f>
        <v>#N/A</v>
      </c>
      <c r="C730" s="64" t="n">
        <v>723</v>
      </c>
      <c r="D730" s="65" t="e">
        <f aca="false">VLOOKUP(A730,BD_ORDENES!A:BE,10,0)</f>
        <v>#N/A</v>
      </c>
      <c r="E730" s="66" t="e">
        <f aca="false">VLOOKUP(A730,BD_ORDENES!A:BG,4,FALSE())</f>
        <v>#N/A</v>
      </c>
      <c r="F730" s="66" t="e">
        <f aca="false">VLOOKUP(A730,BD_ORDENES!A:BE,56,FALSE())</f>
        <v>#N/A</v>
      </c>
      <c r="G730" s="67" t="e">
        <f aca="false">VLOOKUP(A730,BD_ORDENES!A:BE,13,FALSE())</f>
        <v>#N/A</v>
      </c>
      <c r="H730" s="68" t="e">
        <f aca="false">VLOOKUP(A730,BD_ORDENES!A:BE,17,FALSE())</f>
        <v>#N/A</v>
      </c>
      <c r="I730" s="68" t="e">
        <f aca="false">VLOOKUP(A730,BD_ORDENES!A:BE,18,FALSE())</f>
        <v>#N/A</v>
      </c>
      <c r="J730" s="68" t="e">
        <f aca="false">VLOOKUP(A730,BD_ORDENES!A:BE,19,FALSE())</f>
        <v>#N/A</v>
      </c>
      <c r="K730" s="68" t="e">
        <f aca="false">VLOOKUP(A730,BD_ORDENES!A:BE,20,FALSE())</f>
        <v>#N/A</v>
      </c>
      <c r="L730" s="68" t="e">
        <f aca="false">VLOOKUP(A730,BD_ORDENES!A:BE,21,FALSE())</f>
        <v>#N/A</v>
      </c>
      <c r="M730" s="69" t="e">
        <f aca="false">VLOOKUP(A730,BD_ORDENES!A:BE,14,FALSE())</f>
        <v>#N/A</v>
      </c>
      <c r="N730" s="68" t="e">
        <f aca="false">VLOOKUP(A730,BD_ORDENES!A:BE,15,FALSE())</f>
        <v>#N/A</v>
      </c>
      <c r="O730" s="68" t="e">
        <f aca="false">VLOOKUP(A730,BD_ORDENES!A:BE,33,FALSE())</f>
        <v>#N/A</v>
      </c>
      <c r="P730" s="68" t="e">
        <f aca="false">VLOOKUP(A730,BD_ORDENES!A:BE,23,FALSE())</f>
        <v>#N/A</v>
      </c>
      <c r="Q730" s="68" t="e">
        <f aca="false">VLOOKUP(A730,BD_ORDENES!A:BE,52,FALSE())</f>
        <v>#N/A</v>
      </c>
      <c r="R730" s="68" t="e">
        <f aca="false">VLOOKUP(A730,BD_ORDENES!A:BE,25,FALSE())</f>
        <v>#N/A</v>
      </c>
      <c r="S730" s="68" t="e">
        <f aca="false">VLOOKUP(A730,BD_ORDENES!A:BE,22,FALSE())</f>
        <v>#N/A</v>
      </c>
      <c r="T730" s="65" t="e">
        <f aca="false">VLOOKUP(A730,BD_ORDENES!A:BE,55,FALSE())</f>
        <v>#N/A</v>
      </c>
      <c r="U730" s="68" t="e">
        <f aca="false">VLOOKUP(A730,BD_ORDENES!A:BE,57,FALSE())</f>
        <v>#N/A</v>
      </c>
      <c r="V730" s="70"/>
      <c r="W730" s="71"/>
    </row>
    <row r="731" s="72" customFormat="true" ht="98.25" hidden="false" customHeight="true" outlineLevel="0" collapsed="false">
      <c r="A731" s="62" t="n">
        <f aca="false">A730+1</f>
        <v>724</v>
      </c>
      <c r="B731" s="63" t="e">
        <f aca="false">VLOOKUP(A731,BD_ORDENES!A:BG,12,FALSE())</f>
        <v>#N/A</v>
      </c>
      <c r="C731" s="64" t="n">
        <v>724</v>
      </c>
      <c r="D731" s="65" t="e">
        <f aca="false">VLOOKUP(A731,BD_ORDENES!A:BE,10,0)</f>
        <v>#N/A</v>
      </c>
      <c r="E731" s="66" t="e">
        <f aca="false">VLOOKUP(A731,BD_ORDENES!A:BG,4,FALSE())</f>
        <v>#N/A</v>
      </c>
      <c r="F731" s="66" t="e">
        <f aca="false">VLOOKUP(A731,BD_ORDENES!A:BE,56,FALSE())</f>
        <v>#N/A</v>
      </c>
      <c r="G731" s="67" t="e">
        <f aca="false">VLOOKUP(A731,BD_ORDENES!A:BE,13,FALSE())</f>
        <v>#N/A</v>
      </c>
      <c r="H731" s="68" t="e">
        <f aca="false">VLOOKUP(A731,BD_ORDENES!A:BE,17,FALSE())</f>
        <v>#N/A</v>
      </c>
      <c r="I731" s="68" t="e">
        <f aca="false">VLOOKUP(A731,BD_ORDENES!A:BE,18,FALSE())</f>
        <v>#N/A</v>
      </c>
      <c r="J731" s="68" t="e">
        <f aca="false">VLOOKUP(A731,BD_ORDENES!A:BE,19,FALSE())</f>
        <v>#N/A</v>
      </c>
      <c r="K731" s="68" t="e">
        <f aca="false">VLOOKUP(A731,BD_ORDENES!A:BE,20,FALSE())</f>
        <v>#N/A</v>
      </c>
      <c r="L731" s="68" t="e">
        <f aca="false">VLOOKUP(A731,BD_ORDENES!A:BE,21,FALSE())</f>
        <v>#N/A</v>
      </c>
      <c r="M731" s="69" t="e">
        <f aca="false">VLOOKUP(A731,BD_ORDENES!A:BE,14,FALSE())</f>
        <v>#N/A</v>
      </c>
      <c r="N731" s="68" t="e">
        <f aca="false">VLOOKUP(A731,BD_ORDENES!A:BE,15,FALSE())</f>
        <v>#N/A</v>
      </c>
      <c r="O731" s="68" t="e">
        <f aca="false">VLOOKUP(A731,BD_ORDENES!A:BE,33,FALSE())</f>
        <v>#N/A</v>
      </c>
      <c r="P731" s="68" t="e">
        <f aca="false">VLOOKUP(A731,BD_ORDENES!A:BE,23,FALSE())</f>
        <v>#N/A</v>
      </c>
      <c r="Q731" s="68" t="e">
        <f aca="false">VLOOKUP(A731,BD_ORDENES!A:BE,52,FALSE())</f>
        <v>#N/A</v>
      </c>
      <c r="R731" s="68" t="e">
        <f aca="false">VLOOKUP(A731,BD_ORDENES!A:BE,25,FALSE())</f>
        <v>#N/A</v>
      </c>
      <c r="S731" s="68" t="e">
        <f aca="false">VLOOKUP(A731,BD_ORDENES!A:BE,22,FALSE())</f>
        <v>#N/A</v>
      </c>
      <c r="T731" s="65" t="e">
        <f aca="false">VLOOKUP(A731,BD_ORDENES!A:BE,55,FALSE())</f>
        <v>#N/A</v>
      </c>
      <c r="U731" s="68" t="e">
        <f aca="false">VLOOKUP(A731,BD_ORDENES!A:BE,57,FALSE())</f>
        <v>#N/A</v>
      </c>
      <c r="V731" s="70"/>
      <c r="W731" s="71"/>
    </row>
    <row r="732" s="72" customFormat="true" ht="98.25" hidden="false" customHeight="true" outlineLevel="0" collapsed="false">
      <c r="A732" s="62" t="n">
        <f aca="false">A731+1</f>
        <v>725</v>
      </c>
      <c r="B732" s="63" t="e">
        <f aca="false">VLOOKUP(A732,BD_ORDENES!A:BG,12,FALSE())</f>
        <v>#N/A</v>
      </c>
      <c r="C732" s="64" t="n">
        <v>725</v>
      </c>
      <c r="D732" s="65" t="e">
        <f aca="false">VLOOKUP(A732,BD_ORDENES!A:BE,10,0)</f>
        <v>#N/A</v>
      </c>
      <c r="E732" s="66" t="e">
        <f aca="false">VLOOKUP(A732,BD_ORDENES!A:BG,4,FALSE())</f>
        <v>#N/A</v>
      </c>
      <c r="F732" s="66" t="e">
        <f aca="false">VLOOKUP(A732,BD_ORDENES!A:BE,56,FALSE())</f>
        <v>#N/A</v>
      </c>
      <c r="G732" s="67" t="e">
        <f aca="false">VLOOKUP(A732,BD_ORDENES!A:BE,13,FALSE())</f>
        <v>#N/A</v>
      </c>
      <c r="H732" s="68" t="e">
        <f aca="false">VLOOKUP(A732,BD_ORDENES!A:BE,17,FALSE())</f>
        <v>#N/A</v>
      </c>
      <c r="I732" s="68" t="e">
        <f aca="false">VLOOKUP(A732,BD_ORDENES!A:BE,18,FALSE())</f>
        <v>#N/A</v>
      </c>
      <c r="J732" s="68" t="e">
        <f aca="false">VLOOKUP(A732,BD_ORDENES!A:BE,19,FALSE())</f>
        <v>#N/A</v>
      </c>
      <c r="K732" s="68" t="e">
        <f aca="false">VLOOKUP(A732,BD_ORDENES!A:BE,20,FALSE())</f>
        <v>#N/A</v>
      </c>
      <c r="L732" s="68" t="e">
        <f aca="false">VLOOKUP(A732,BD_ORDENES!A:BE,21,FALSE())</f>
        <v>#N/A</v>
      </c>
      <c r="M732" s="69" t="e">
        <f aca="false">VLOOKUP(A732,BD_ORDENES!A:BE,14,FALSE())</f>
        <v>#N/A</v>
      </c>
      <c r="N732" s="68" t="e">
        <f aca="false">VLOOKUP(A732,BD_ORDENES!A:BE,15,FALSE())</f>
        <v>#N/A</v>
      </c>
      <c r="O732" s="68" t="e">
        <f aca="false">VLOOKUP(A732,BD_ORDENES!A:BE,33,FALSE())</f>
        <v>#N/A</v>
      </c>
      <c r="P732" s="68" t="e">
        <f aca="false">VLOOKUP(A732,BD_ORDENES!A:BE,23,FALSE())</f>
        <v>#N/A</v>
      </c>
      <c r="Q732" s="68" t="e">
        <f aca="false">VLOOKUP(A732,BD_ORDENES!A:BE,52,FALSE())</f>
        <v>#N/A</v>
      </c>
      <c r="R732" s="68" t="e">
        <f aca="false">VLOOKUP(A732,BD_ORDENES!A:BE,25,FALSE())</f>
        <v>#N/A</v>
      </c>
      <c r="S732" s="68" t="e">
        <f aca="false">VLOOKUP(A732,BD_ORDENES!A:BE,22,FALSE())</f>
        <v>#N/A</v>
      </c>
      <c r="T732" s="65" t="e">
        <f aca="false">VLOOKUP(A732,BD_ORDENES!A:BE,55,FALSE())</f>
        <v>#N/A</v>
      </c>
      <c r="U732" s="68" t="e">
        <f aca="false">VLOOKUP(A732,BD_ORDENES!A:BE,57,FALSE())</f>
        <v>#N/A</v>
      </c>
      <c r="V732" s="70"/>
      <c r="W732" s="71"/>
    </row>
    <row r="733" s="72" customFormat="true" ht="98.25" hidden="false" customHeight="true" outlineLevel="0" collapsed="false">
      <c r="A733" s="62" t="n">
        <f aca="false">A732+1</f>
        <v>726</v>
      </c>
      <c r="B733" s="63" t="e">
        <f aca="false">VLOOKUP(A733,BD_ORDENES!A:BG,12,FALSE())</f>
        <v>#N/A</v>
      </c>
      <c r="C733" s="64" t="n">
        <v>726</v>
      </c>
      <c r="D733" s="65" t="e">
        <f aca="false">VLOOKUP(A733,BD_ORDENES!A:BE,10,0)</f>
        <v>#N/A</v>
      </c>
      <c r="E733" s="66" t="e">
        <f aca="false">VLOOKUP(A733,BD_ORDENES!A:BG,4,FALSE())</f>
        <v>#N/A</v>
      </c>
      <c r="F733" s="66" t="e">
        <f aca="false">VLOOKUP(A733,BD_ORDENES!A:BE,56,FALSE())</f>
        <v>#N/A</v>
      </c>
      <c r="G733" s="67" t="e">
        <f aca="false">VLOOKUP(A733,BD_ORDENES!A:BE,13,FALSE())</f>
        <v>#N/A</v>
      </c>
      <c r="H733" s="68" t="e">
        <f aca="false">VLOOKUP(A733,BD_ORDENES!A:BE,17,FALSE())</f>
        <v>#N/A</v>
      </c>
      <c r="I733" s="68" t="e">
        <f aca="false">VLOOKUP(A733,BD_ORDENES!A:BE,18,FALSE())</f>
        <v>#N/A</v>
      </c>
      <c r="J733" s="68" t="e">
        <f aca="false">VLOOKUP(A733,BD_ORDENES!A:BE,19,FALSE())</f>
        <v>#N/A</v>
      </c>
      <c r="K733" s="68" t="e">
        <f aca="false">VLOOKUP(A733,BD_ORDENES!A:BE,20,FALSE())</f>
        <v>#N/A</v>
      </c>
      <c r="L733" s="68" t="e">
        <f aca="false">VLOOKUP(A733,BD_ORDENES!A:BE,21,FALSE())</f>
        <v>#N/A</v>
      </c>
      <c r="M733" s="69" t="e">
        <f aca="false">VLOOKUP(A733,BD_ORDENES!A:BE,14,FALSE())</f>
        <v>#N/A</v>
      </c>
      <c r="N733" s="68" t="e">
        <f aca="false">VLOOKUP(A733,BD_ORDENES!A:BE,15,FALSE())</f>
        <v>#N/A</v>
      </c>
      <c r="O733" s="68" t="e">
        <f aca="false">VLOOKUP(A733,BD_ORDENES!A:BE,33,FALSE())</f>
        <v>#N/A</v>
      </c>
      <c r="P733" s="68" t="e">
        <f aca="false">VLOOKUP(A733,BD_ORDENES!A:BE,23,FALSE())</f>
        <v>#N/A</v>
      </c>
      <c r="Q733" s="68" t="e">
        <f aca="false">VLOOKUP(A733,BD_ORDENES!A:BE,52,FALSE())</f>
        <v>#N/A</v>
      </c>
      <c r="R733" s="68" t="e">
        <f aca="false">VLOOKUP(A733,BD_ORDENES!A:BE,25,FALSE())</f>
        <v>#N/A</v>
      </c>
      <c r="S733" s="68" t="e">
        <f aca="false">VLOOKUP(A733,BD_ORDENES!A:BE,22,FALSE())</f>
        <v>#N/A</v>
      </c>
      <c r="T733" s="65" t="e">
        <f aca="false">VLOOKUP(A733,BD_ORDENES!A:BE,55,FALSE())</f>
        <v>#N/A</v>
      </c>
      <c r="U733" s="68" t="e">
        <f aca="false">VLOOKUP(A733,BD_ORDENES!A:BE,57,FALSE())</f>
        <v>#N/A</v>
      </c>
      <c r="V733" s="70"/>
      <c r="W733" s="71"/>
    </row>
    <row r="734" s="72" customFormat="true" ht="98.25" hidden="false" customHeight="true" outlineLevel="0" collapsed="false">
      <c r="A734" s="62" t="n">
        <f aca="false">A733+1</f>
        <v>727</v>
      </c>
      <c r="B734" s="63" t="e">
        <f aca="false">VLOOKUP(A734,BD_ORDENES!A:BG,12,FALSE())</f>
        <v>#N/A</v>
      </c>
      <c r="C734" s="64" t="n">
        <v>727</v>
      </c>
      <c r="D734" s="65" t="e">
        <f aca="false">VLOOKUP(A734,BD_ORDENES!A:BE,10,0)</f>
        <v>#N/A</v>
      </c>
      <c r="E734" s="66" t="e">
        <f aca="false">VLOOKUP(A734,BD_ORDENES!A:BG,4,FALSE())</f>
        <v>#N/A</v>
      </c>
      <c r="F734" s="66" t="e">
        <f aca="false">VLOOKUP(A734,BD_ORDENES!A:BE,56,FALSE())</f>
        <v>#N/A</v>
      </c>
      <c r="G734" s="67" t="e">
        <f aca="false">VLOOKUP(A734,BD_ORDENES!A:BE,13,FALSE())</f>
        <v>#N/A</v>
      </c>
      <c r="H734" s="68" t="e">
        <f aca="false">VLOOKUP(A734,BD_ORDENES!A:BE,17,FALSE())</f>
        <v>#N/A</v>
      </c>
      <c r="I734" s="68" t="e">
        <f aca="false">VLOOKUP(A734,BD_ORDENES!A:BE,18,FALSE())</f>
        <v>#N/A</v>
      </c>
      <c r="J734" s="68" t="e">
        <f aca="false">VLOOKUP(A734,BD_ORDENES!A:BE,19,FALSE())</f>
        <v>#N/A</v>
      </c>
      <c r="K734" s="68" t="e">
        <f aca="false">VLOOKUP(A734,BD_ORDENES!A:BE,20,FALSE())</f>
        <v>#N/A</v>
      </c>
      <c r="L734" s="68" t="e">
        <f aca="false">VLOOKUP(A734,BD_ORDENES!A:BE,21,FALSE())</f>
        <v>#N/A</v>
      </c>
      <c r="M734" s="69" t="e">
        <f aca="false">VLOOKUP(A734,BD_ORDENES!A:BE,14,FALSE())</f>
        <v>#N/A</v>
      </c>
      <c r="N734" s="68" t="e">
        <f aca="false">VLOOKUP(A734,BD_ORDENES!A:BE,15,FALSE())</f>
        <v>#N/A</v>
      </c>
      <c r="O734" s="68" t="e">
        <f aca="false">VLOOKUP(A734,BD_ORDENES!A:BE,33,FALSE())</f>
        <v>#N/A</v>
      </c>
      <c r="P734" s="68" t="e">
        <f aca="false">VLOOKUP(A734,BD_ORDENES!A:BE,23,FALSE())</f>
        <v>#N/A</v>
      </c>
      <c r="Q734" s="68" t="e">
        <f aca="false">VLOOKUP(A734,BD_ORDENES!A:BE,52,FALSE())</f>
        <v>#N/A</v>
      </c>
      <c r="R734" s="68" t="e">
        <f aca="false">VLOOKUP(A734,BD_ORDENES!A:BE,25,FALSE())</f>
        <v>#N/A</v>
      </c>
      <c r="S734" s="68" t="e">
        <f aca="false">VLOOKUP(A734,BD_ORDENES!A:BE,22,FALSE())</f>
        <v>#N/A</v>
      </c>
      <c r="T734" s="65" t="e">
        <f aca="false">VLOOKUP(A734,BD_ORDENES!A:BE,55,FALSE())</f>
        <v>#N/A</v>
      </c>
      <c r="U734" s="68" t="e">
        <f aca="false">VLOOKUP(A734,BD_ORDENES!A:BE,57,FALSE())</f>
        <v>#N/A</v>
      </c>
      <c r="V734" s="70"/>
      <c r="W734" s="71"/>
    </row>
    <row r="735" s="72" customFormat="true" ht="98.25" hidden="false" customHeight="true" outlineLevel="0" collapsed="false">
      <c r="A735" s="62" t="n">
        <f aca="false">A734+1</f>
        <v>728</v>
      </c>
      <c r="B735" s="63" t="e">
        <f aca="false">VLOOKUP(A735,BD_ORDENES!A:BG,12,FALSE())</f>
        <v>#N/A</v>
      </c>
      <c r="C735" s="64" t="n">
        <v>728</v>
      </c>
      <c r="D735" s="65" t="e">
        <f aca="false">VLOOKUP(A735,BD_ORDENES!A:BE,10,0)</f>
        <v>#N/A</v>
      </c>
      <c r="E735" s="66" t="e">
        <f aca="false">VLOOKUP(A735,BD_ORDENES!A:BG,4,FALSE())</f>
        <v>#N/A</v>
      </c>
      <c r="F735" s="66" t="e">
        <f aca="false">VLOOKUP(A735,BD_ORDENES!A:BE,56,FALSE())</f>
        <v>#N/A</v>
      </c>
      <c r="G735" s="67" t="e">
        <f aca="false">VLOOKUP(A735,BD_ORDENES!A:BE,13,FALSE())</f>
        <v>#N/A</v>
      </c>
      <c r="H735" s="68" t="e">
        <f aca="false">VLOOKUP(A735,BD_ORDENES!A:BE,17,FALSE())</f>
        <v>#N/A</v>
      </c>
      <c r="I735" s="68" t="e">
        <f aca="false">VLOOKUP(A735,BD_ORDENES!A:BE,18,FALSE())</f>
        <v>#N/A</v>
      </c>
      <c r="J735" s="68" t="e">
        <f aca="false">VLOOKUP(A735,BD_ORDENES!A:BE,19,FALSE())</f>
        <v>#N/A</v>
      </c>
      <c r="K735" s="68" t="e">
        <f aca="false">VLOOKUP(A735,BD_ORDENES!A:BE,20,FALSE())</f>
        <v>#N/A</v>
      </c>
      <c r="L735" s="68" t="e">
        <f aca="false">VLOOKUP(A735,BD_ORDENES!A:BE,21,FALSE())</f>
        <v>#N/A</v>
      </c>
      <c r="M735" s="69" t="e">
        <f aca="false">VLOOKUP(A735,BD_ORDENES!A:BE,14,FALSE())</f>
        <v>#N/A</v>
      </c>
      <c r="N735" s="68" t="e">
        <f aca="false">VLOOKUP(A735,BD_ORDENES!A:BE,15,FALSE())</f>
        <v>#N/A</v>
      </c>
      <c r="O735" s="68" t="e">
        <f aca="false">VLOOKUP(A735,BD_ORDENES!A:BE,33,FALSE())</f>
        <v>#N/A</v>
      </c>
      <c r="P735" s="68" t="e">
        <f aca="false">VLOOKUP(A735,BD_ORDENES!A:BE,23,FALSE())</f>
        <v>#N/A</v>
      </c>
      <c r="Q735" s="68" t="e">
        <f aca="false">VLOOKUP(A735,BD_ORDENES!A:BE,52,FALSE())</f>
        <v>#N/A</v>
      </c>
      <c r="R735" s="68" t="e">
        <f aca="false">VLOOKUP(A735,BD_ORDENES!A:BE,25,FALSE())</f>
        <v>#N/A</v>
      </c>
      <c r="S735" s="68" t="e">
        <f aca="false">VLOOKUP(A735,BD_ORDENES!A:BE,22,FALSE())</f>
        <v>#N/A</v>
      </c>
      <c r="T735" s="65" t="e">
        <f aca="false">VLOOKUP(A735,BD_ORDENES!A:BE,55,FALSE())</f>
        <v>#N/A</v>
      </c>
      <c r="U735" s="68" t="e">
        <f aca="false">VLOOKUP(A735,BD_ORDENES!A:BE,57,FALSE())</f>
        <v>#N/A</v>
      </c>
      <c r="V735" s="70"/>
      <c r="W735" s="71"/>
    </row>
    <row r="736" s="72" customFormat="true" ht="98.25" hidden="false" customHeight="true" outlineLevel="0" collapsed="false">
      <c r="A736" s="62" t="n">
        <f aca="false">A735+1</f>
        <v>729</v>
      </c>
      <c r="B736" s="63" t="e">
        <f aca="false">VLOOKUP(A736,BD_ORDENES!A:BG,12,FALSE())</f>
        <v>#N/A</v>
      </c>
      <c r="C736" s="64" t="n">
        <v>729</v>
      </c>
      <c r="D736" s="65" t="e">
        <f aca="false">VLOOKUP(A736,BD_ORDENES!A:BE,10,0)</f>
        <v>#N/A</v>
      </c>
      <c r="E736" s="66" t="e">
        <f aca="false">VLOOKUP(A736,BD_ORDENES!A:BG,4,FALSE())</f>
        <v>#N/A</v>
      </c>
      <c r="F736" s="66" t="e">
        <f aca="false">VLOOKUP(A736,BD_ORDENES!A:BE,56,FALSE())</f>
        <v>#N/A</v>
      </c>
      <c r="G736" s="67" t="e">
        <f aca="false">VLOOKUP(A736,BD_ORDENES!A:BE,13,FALSE())</f>
        <v>#N/A</v>
      </c>
      <c r="H736" s="68" t="e">
        <f aca="false">VLOOKUP(A736,BD_ORDENES!A:BE,17,FALSE())</f>
        <v>#N/A</v>
      </c>
      <c r="I736" s="68" t="e">
        <f aca="false">VLOOKUP(A736,BD_ORDENES!A:BE,18,FALSE())</f>
        <v>#N/A</v>
      </c>
      <c r="J736" s="68" t="e">
        <f aca="false">VLOOKUP(A736,BD_ORDENES!A:BE,19,FALSE())</f>
        <v>#N/A</v>
      </c>
      <c r="K736" s="68" t="e">
        <f aca="false">VLOOKUP(A736,BD_ORDENES!A:BE,20,FALSE())</f>
        <v>#N/A</v>
      </c>
      <c r="L736" s="68" t="e">
        <f aca="false">VLOOKUP(A736,BD_ORDENES!A:BE,21,FALSE())</f>
        <v>#N/A</v>
      </c>
      <c r="M736" s="69" t="e">
        <f aca="false">VLOOKUP(A736,BD_ORDENES!A:BE,14,FALSE())</f>
        <v>#N/A</v>
      </c>
      <c r="N736" s="68" t="e">
        <f aca="false">VLOOKUP(A736,BD_ORDENES!A:BE,15,FALSE())</f>
        <v>#N/A</v>
      </c>
      <c r="O736" s="68" t="e">
        <f aca="false">VLOOKUP(A736,BD_ORDENES!A:BE,33,FALSE())</f>
        <v>#N/A</v>
      </c>
      <c r="P736" s="68" t="e">
        <f aca="false">VLOOKUP(A736,BD_ORDENES!A:BE,23,FALSE())</f>
        <v>#N/A</v>
      </c>
      <c r="Q736" s="68" t="e">
        <f aca="false">VLOOKUP(A736,BD_ORDENES!A:BE,52,FALSE())</f>
        <v>#N/A</v>
      </c>
      <c r="R736" s="68" t="e">
        <f aca="false">VLOOKUP(A736,BD_ORDENES!A:BE,25,FALSE())</f>
        <v>#N/A</v>
      </c>
      <c r="S736" s="68" t="e">
        <f aca="false">VLOOKUP(A736,BD_ORDENES!A:BE,22,FALSE())</f>
        <v>#N/A</v>
      </c>
      <c r="T736" s="65" t="e">
        <f aca="false">VLOOKUP(A736,BD_ORDENES!A:BE,55,FALSE())</f>
        <v>#N/A</v>
      </c>
      <c r="U736" s="68" t="e">
        <f aca="false">VLOOKUP(A736,BD_ORDENES!A:BE,57,FALSE())</f>
        <v>#N/A</v>
      </c>
      <c r="V736" s="70"/>
      <c r="W736" s="71"/>
    </row>
    <row r="737" s="72" customFormat="true" ht="98.25" hidden="false" customHeight="true" outlineLevel="0" collapsed="false">
      <c r="A737" s="62" t="n">
        <f aca="false">A736+1</f>
        <v>730</v>
      </c>
      <c r="B737" s="63" t="e">
        <f aca="false">VLOOKUP(A737,BD_ORDENES!A:BG,12,FALSE())</f>
        <v>#N/A</v>
      </c>
      <c r="C737" s="64" t="n">
        <v>730</v>
      </c>
      <c r="D737" s="65" t="e">
        <f aca="false">VLOOKUP(A737,BD_ORDENES!A:BE,10,0)</f>
        <v>#N/A</v>
      </c>
      <c r="E737" s="66" t="e">
        <f aca="false">VLOOKUP(A737,BD_ORDENES!A:BG,4,FALSE())</f>
        <v>#N/A</v>
      </c>
      <c r="F737" s="66" t="e">
        <f aca="false">VLOOKUP(A737,BD_ORDENES!A:BE,56,FALSE())</f>
        <v>#N/A</v>
      </c>
      <c r="G737" s="67" t="e">
        <f aca="false">VLOOKUP(A737,BD_ORDENES!A:BE,13,FALSE())</f>
        <v>#N/A</v>
      </c>
      <c r="H737" s="68" t="e">
        <f aca="false">VLOOKUP(A737,BD_ORDENES!A:BE,17,FALSE())</f>
        <v>#N/A</v>
      </c>
      <c r="I737" s="68" t="e">
        <f aca="false">VLOOKUP(A737,BD_ORDENES!A:BE,18,FALSE())</f>
        <v>#N/A</v>
      </c>
      <c r="J737" s="68" t="e">
        <f aca="false">VLOOKUP(A737,BD_ORDENES!A:BE,19,FALSE())</f>
        <v>#N/A</v>
      </c>
      <c r="K737" s="68" t="e">
        <f aca="false">VLOOKUP(A737,BD_ORDENES!A:BE,20,FALSE())</f>
        <v>#N/A</v>
      </c>
      <c r="L737" s="68" t="e">
        <f aca="false">VLOOKUP(A737,BD_ORDENES!A:BE,21,FALSE())</f>
        <v>#N/A</v>
      </c>
      <c r="M737" s="69" t="e">
        <f aca="false">VLOOKUP(A737,BD_ORDENES!A:BE,14,FALSE())</f>
        <v>#N/A</v>
      </c>
      <c r="N737" s="68" t="e">
        <f aca="false">VLOOKUP(A737,BD_ORDENES!A:BE,15,FALSE())</f>
        <v>#N/A</v>
      </c>
      <c r="O737" s="68" t="e">
        <f aca="false">VLOOKUP(A737,BD_ORDENES!A:BE,33,FALSE())</f>
        <v>#N/A</v>
      </c>
      <c r="P737" s="68" t="e">
        <f aca="false">VLOOKUP(A737,BD_ORDENES!A:BE,23,FALSE())</f>
        <v>#N/A</v>
      </c>
      <c r="Q737" s="68" t="e">
        <f aca="false">VLOOKUP(A737,BD_ORDENES!A:BE,52,FALSE())</f>
        <v>#N/A</v>
      </c>
      <c r="R737" s="68" t="e">
        <f aca="false">VLOOKUP(A737,BD_ORDENES!A:BE,25,FALSE())</f>
        <v>#N/A</v>
      </c>
      <c r="S737" s="68" t="e">
        <f aca="false">VLOOKUP(A737,BD_ORDENES!A:BE,22,FALSE())</f>
        <v>#N/A</v>
      </c>
      <c r="T737" s="65" t="e">
        <f aca="false">VLOOKUP(A737,BD_ORDENES!A:BE,55,FALSE())</f>
        <v>#N/A</v>
      </c>
      <c r="U737" s="68" t="e">
        <f aca="false">VLOOKUP(A737,BD_ORDENES!A:BE,57,FALSE())</f>
        <v>#N/A</v>
      </c>
      <c r="V737" s="70"/>
      <c r="W737" s="71"/>
    </row>
    <row r="738" s="72" customFormat="true" ht="98.25" hidden="false" customHeight="true" outlineLevel="0" collapsed="false">
      <c r="A738" s="62" t="n">
        <f aca="false">A737+1</f>
        <v>731</v>
      </c>
      <c r="B738" s="63" t="e">
        <f aca="false">VLOOKUP(A738,BD_ORDENES!A:BG,12,FALSE())</f>
        <v>#N/A</v>
      </c>
      <c r="C738" s="64" t="n">
        <v>731</v>
      </c>
      <c r="D738" s="65" t="e">
        <f aca="false">VLOOKUP(A738,BD_ORDENES!A:BE,10,0)</f>
        <v>#N/A</v>
      </c>
      <c r="E738" s="66" t="e">
        <f aca="false">VLOOKUP(A738,BD_ORDENES!A:BG,4,FALSE())</f>
        <v>#N/A</v>
      </c>
      <c r="F738" s="66" t="e">
        <f aca="false">VLOOKUP(A738,BD_ORDENES!A:BE,56,FALSE())</f>
        <v>#N/A</v>
      </c>
      <c r="G738" s="67" t="e">
        <f aca="false">VLOOKUP(A738,BD_ORDENES!A:BE,13,FALSE())</f>
        <v>#N/A</v>
      </c>
      <c r="H738" s="68" t="e">
        <f aca="false">VLOOKUP(A738,BD_ORDENES!A:BE,17,FALSE())</f>
        <v>#N/A</v>
      </c>
      <c r="I738" s="68" t="e">
        <f aca="false">VLOOKUP(A738,BD_ORDENES!A:BE,18,FALSE())</f>
        <v>#N/A</v>
      </c>
      <c r="J738" s="68" t="e">
        <f aca="false">VLOOKUP(A738,BD_ORDENES!A:BE,19,FALSE())</f>
        <v>#N/A</v>
      </c>
      <c r="K738" s="68" t="e">
        <f aca="false">VLOOKUP(A738,BD_ORDENES!A:BE,20,FALSE())</f>
        <v>#N/A</v>
      </c>
      <c r="L738" s="68" t="e">
        <f aca="false">VLOOKUP(A738,BD_ORDENES!A:BE,21,FALSE())</f>
        <v>#N/A</v>
      </c>
      <c r="M738" s="69" t="e">
        <f aca="false">VLOOKUP(A738,BD_ORDENES!A:BE,14,FALSE())</f>
        <v>#N/A</v>
      </c>
      <c r="N738" s="68" t="e">
        <f aca="false">VLOOKUP(A738,BD_ORDENES!A:BE,15,FALSE())</f>
        <v>#N/A</v>
      </c>
      <c r="O738" s="68" t="e">
        <f aca="false">VLOOKUP(A738,BD_ORDENES!A:BE,33,FALSE())</f>
        <v>#N/A</v>
      </c>
      <c r="P738" s="68" t="e">
        <f aca="false">VLOOKUP(A738,BD_ORDENES!A:BE,23,FALSE())</f>
        <v>#N/A</v>
      </c>
      <c r="Q738" s="68" t="e">
        <f aca="false">VLOOKUP(A738,BD_ORDENES!A:BE,52,FALSE())</f>
        <v>#N/A</v>
      </c>
      <c r="R738" s="68" t="e">
        <f aca="false">VLOOKUP(A738,BD_ORDENES!A:BE,25,FALSE())</f>
        <v>#N/A</v>
      </c>
      <c r="S738" s="68" t="e">
        <f aca="false">VLOOKUP(A738,BD_ORDENES!A:BE,22,FALSE())</f>
        <v>#N/A</v>
      </c>
      <c r="T738" s="65" t="e">
        <f aca="false">VLOOKUP(A738,BD_ORDENES!A:BE,55,FALSE())</f>
        <v>#N/A</v>
      </c>
      <c r="U738" s="68" t="e">
        <f aca="false">VLOOKUP(A738,BD_ORDENES!A:BE,57,FALSE())</f>
        <v>#N/A</v>
      </c>
      <c r="V738" s="70"/>
      <c r="W738" s="71"/>
    </row>
    <row r="739" s="72" customFormat="true" ht="98.25" hidden="false" customHeight="true" outlineLevel="0" collapsed="false">
      <c r="A739" s="62" t="n">
        <f aca="false">A738+1</f>
        <v>732</v>
      </c>
      <c r="B739" s="63" t="e">
        <f aca="false">VLOOKUP(A739,BD_ORDENES!A:BG,12,FALSE())</f>
        <v>#N/A</v>
      </c>
      <c r="C739" s="64" t="n">
        <v>732</v>
      </c>
      <c r="D739" s="65" t="e">
        <f aca="false">VLOOKUP(A739,BD_ORDENES!A:BE,10,0)</f>
        <v>#N/A</v>
      </c>
      <c r="E739" s="66" t="e">
        <f aca="false">VLOOKUP(A739,BD_ORDENES!A:BG,4,FALSE())</f>
        <v>#N/A</v>
      </c>
      <c r="F739" s="66" t="e">
        <f aca="false">VLOOKUP(A739,BD_ORDENES!A:BE,56,FALSE())</f>
        <v>#N/A</v>
      </c>
      <c r="G739" s="67" t="e">
        <f aca="false">VLOOKUP(A739,BD_ORDENES!A:BE,13,FALSE())</f>
        <v>#N/A</v>
      </c>
      <c r="H739" s="68" t="e">
        <f aca="false">VLOOKUP(A739,BD_ORDENES!A:BE,17,FALSE())</f>
        <v>#N/A</v>
      </c>
      <c r="I739" s="68" t="e">
        <f aca="false">VLOOKUP(A739,BD_ORDENES!A:BE,18,FALSE())</f>
        <v>#N/A</v>
      </c>
      <c r="J739" s="68" t="e">
        <f aca="false">VLOOKUP(A739,BD_ORDENES!A:BE,19,FALSE())</f>
        <v>#N/A</v>
      </c>
      <c r="K739" s="68" t="e">
        <f aca="false">VLOOKUP(A739,BD_ORDENES!A:BE,20,FALSE())</f>
        <v>#N/A</v>
      </c>
      <c r="L739" s="68" t="e">
        <f aca="false">VLOOKUP(A739,BD_ORDENES!A:BE,21,FALSE())</f>
        <v>#N/A</v>
      </c>
      <c r="M739" s="69" t="e">
        <f aca="false">VLOOKUP(A739,BD_ORDENES!A:BE,14,FALSE())</f>
        <v>#N/A</v>
      </c>
      <c r="N739" s="68" t="e">
        <f aca="false">VLOOKUP(A739,BD_ORDENES!A:BE,15,FALSE())</f>
        <v>#N/A</v>
      </c>
      <c r="O739" s="68" t="e">
        <f aca="false">VLOOKUP(A739,BD_ORDENES!A:BE,33,FALSE())</f>
        <v>#N/A</v>
      </c>
      <c r="P739" s="68" t="e">
        <f aca="false">VLOOKUP(A739,BD_ORDENES!A:BE,23,FALSE())</f>
        <v>#N/A</v>
      </c>
      <c r="Q739" s="68" t="e">
        <f aca="false">VLOOKUP(A739,BD_ORDENES!A:BE,52,FALSE())</f>
        <v>#N/A</v>
      </c>
      <c r="R739" s="68" t="e">
        <f aca="false">VLOOKUP(A739,BD_ORDENES!A:BE,25,FALSE())</f>
        <v>#N/A</v>
      </c>
      <c r="S739" s="68" t="e">
        <f aca="false">VLOOKUP(A739,BD_ORDENES!A:BE,22,FALSE())</f>
        <v>#N/A</v>
      </c>
      <c r="T739" s="65" t="e">
        <f aca="false">VLOOKUP(A739,BD_ORDENES!A:BE,55,FALSE())</f>
        <v>#N/A</v>
      </c>
      <c r="U739" s="68" t="e">
        <f aca="false">VLOOKUP(A739,BD_ORDENES!A:BE,57,FALSE())</f>
        <v>#N/A</v>
      </c>
      <c r="V739" s="70"/>
      <c r="W739" s="71"/>
    </row>
    <row r="740" s="72" customFormat="true" ht="98.25" hidden="false" customHeight="true" outlineLevel="0" collapsed="false">
      <c r="A740" s="62" t="n">
        <f aca="false">A739+1</f>
        <v>733</v>
      </c>
      <c r="B740" s="63" t="e">
        <f aca="false">VLOOKUP(A740,BD_ORDENES!A:BG,12,FALSE())</f>
        <v>#N/A</v>
      </c>
      <c r="C740" s="64" t="n">
        <v>733</v>
      </c>
      <c r="D740" s="65" t="e">
        <f aca="false">VLOOKUP(A740,BD_ORDENES!A:BE,10,0)</f>
        <v>#N/A</v>
      </c>
      <c r="E740" s="66" t="e">
        <f aca="false">VLOOKUP(A740,BD_ORDENES!A:BG,4,FALSE())</f>
        <v>#N/A</v>
      </c>
      <c r="F740" s="66" t="e">
        <f aca="false">VLOOKUP(A740,BD_ORDENES!A:BE,56,FALSE())</f>
        <v>#N/A</v>
      </c>
      <c r="G740" s="67" t="e">
        <f aca="false">VLOOKUP(A740,BD_ORDENES!A:BE,13,FALSE())</f>
        <v>#N/A</v>
      </c>
      <c r="H740" s="68" t="e">
        <f aca="false">VLOOKUP(A740,BD_ORDENES!A:BE,17,FALSE())</f>
        <v>#N/A</v>
      </c>
      <c r="I740" s="68" t="e">
        <f aca="false">VLOOKUP(A740,BD_ORDENES!A:BE,18,FALSE())</f>
        <v>#N/A</v>
      </c>
      <c r="J740" s="68" t="e">
        <f aca="false">VLOOKUP(A740,BD_ORDENES!A:BE,19,FALSE())</f>
        <v>#N/A</v>
      </c>
      <c r="K740" s="68" t="e">
        <f aca="false">VLOOKUP(A740,BD_ORDENES!A:BE,20,FALSE())</f>
        <v>#N/A</v>
      </c>
      <c r="L740" s="68" t="e">
        <f aca="false">VLOOKUP(A740,BD_ORDENES!A:BE,21,FALSE())</f>
        <v>#N/A</v>
      </c>
      <c r="M740" s="69" t="e">
        <f aca="false">VLOOKUP(A740,BD_ORDENES!A:BE,14,FALSE())</f>
        <v>#N/A</v>
      </c>
      <c r="N740" s="68" t="e">
        <f aca="false">VLOOKUP(A740,BD_ORDENES!A:BE,15,FALSE())</f>
        <v>#N/A</v>
      </c>
      <c r="O740" s="68" t="e">
        <f aca="false">VLOOKUP(A740,BD_ORDENES!A:BE,33,FALSE())</f>
        <v>#N/A</v>
      </c>
      <c r="P740" s="68" t="e">
        <f aca="false">VLOOKUP(A740,BD_ORDENES!A:BE,23,FALSE())</f>
        <v>#N/A</v>
      </c>
      <c r="Q740" s="68" t="e">
        <f aca="false">VLOOKUP(A740,BD_ORDENES!A:BE,52,FALSE())</f>
        <v>#N/A</v>
      </c>
      <c r="R740" s="68" t="e">
        <f aca="false">VLOOKUP(A740,BD_ORDENES!A:BE,25,FALSE())</f>
        <v>#N/A</v>
      </c>
      <c r="S740" s="68" t="e">
        <f aca="false">VLOOKUP(A740,BD_ORDENES!A:BE,22,FALSE())</f>
        <v>#N/A</v>
      </c>
      <c r="T740" s="65" t="e">
        <f aca="false">VLOOKUP(A740,BD_ORDENES!A:BE,55,FALSE())</f>
        <v>#N/A</v>
      </c>
      <c r="U740" s="68" t="e">
        <f aca="false">VLOOKUP(A740,BD_ORDENES!A:BE,57,FALSE())</f>
        <v>#N/A</v>
      </c>
      <c r="V740" s="70"/>
      <c r="W740" s="71"/>
    </row>
    <row r="741" s="72" customFormat="true" ht="98.25" hidden="false" customHeight="true" outlineLevel="0" collapsed="false">
      <c r="A741" s="62" t="n">
        <f aca="false">A740+1</f>
        <v>734</v>
      </c>
      <c r="B741" s="63" t="e">
        <f aca="false">VLOOKUP(A741,BD_ORDENES!A:BG,12,FALSE())</f>
        <v>#N/A</v>
      </c>
      <c r="C741" s="64" t="n">
        <v>734</v>
      </c>
      <c r="D741" s="65" t="e">
        <f aca="false">VLOOKUP(A741,BD_ORDENES!A:BE,10,0)</f>
        <v>#N/A</v>
      </c>
      <c r="E741" s="66" t="e">
        <f aca="false">VLOOKUP(A741,BD_ORDENES!A:BG,4,FALSE())</f>
        <v>#N/A</v>
      </c>
      <c r="F741" s="66" t="e">
        <f aca="false">VLOOKUP(A741,BD_ORDENES!A:BE,56,FALSE())</f>
        <v>#N/A</v>
      </c>
      <c r="G741" s="67" t="e">
        <f aca="false">VLOOKUP(A741,BD_ORDENES!A:BE,13,FALSE())</f>
        <v>#N/A</v>
      </c>
      <c r="H741" s="68" t="e">
        <f aca="false">VLOOKUP(A741,BD_ORDENES!A:BE,17,FALSE())</f>
        <v>#N/A</v>
      </c>
      <c r="I741" s="68" t="e">
        <f aca="false">VLOOKUP(A741,BD_ORDENES!A:BE,18,FALSE())</f>
        <v>#N/A</v>
      </c>
      <c r="J741" s="68" t="e">
        <f aca="false">VLOOKUP(A741,BD_ORDENES!A:BE,19,FALSE())</f>
        <v>#N/A</v>
      </c>
      <c r="K741" s="68" t="e">
        <f aca="false">VLOOKUP(A741,BD_ORDENES!A:BE,20,FALSE())</f>
        <v>#N/A</v>
      </c>
      <c r="L741" s="68" t="e">
        <f aca="false">VLOOKUP(A741,BD_ORDENES!A:BE,21,FALSE())</f>
        <v>#N/A</v>
      </c>
      <c r="M741" s="69" t="e">
        <f aca="false">VLOOKUP(A741,BD_ORDENES!A:BE,14,FALSE())</f>
        <v>#N/A</v>
      </c>
      <c r="N741" s="68" t="e">
        <f aca="false">VLOOKUP(A741,BD_ORDENES!A:BE,15,FALSE())</f>
        <v>#N/A</v>
      </c>
      <c r="O741" s="68" t="e">
        <f aca="false">VLOOKUP(A741,BD_ORDENES!A:BE,33,FALSE())</f>
        <v>#N/A</v>
      </c>
      <c r="P741" s="68" t="e">
        <f aca="false">VLOOKUP(A741,BD_ORDENES!A:BE,23,FALSE())</f>
        <v>#N/A</v>
      </c>
      <c r="Q741" s="68" t="e">
        <f aca="false">VLOOKUP(A741,BD_ORDENES!A:BE,52,FALSE())</f>
        <v>#N/A</v>
      </c>
      <c r="R741" s="68" t="e">
        <f aca="false">VLOOKUP(A741,BD_ORDENES!A:BE,25,FALSE())</f>
        <v>#N/A</v>
      </c>
      <c r="S741" s="68" t="e">
        <f aca="false">VLOOKUP(A741,BD_ORDENES!A:BE,22,FALSE())</f>
        <v>#N/A</v>
      </c>
      <c r="T741" s="65" t="e">
        <f aca="false">VLOOKUP(A741,BD_ORDENES!A:BE,55,FALSE())</f>
        <v>#N/A</v>
      </c>
      <c r="U741" s="68" t="e">
        <f aca="false">VLOOKUP(A741,BD_ORDENES!A:BE,57,FALSE())</f>
        <v>#N/A</v>
      </c>
      <c r="V741" s="70"/>
      <c r="W741" s="71"/>
    </row>
    <row r="742" s="72" customFormat="true" ht="98.25" hidden="false" customHeight="true" outlineLevel="0" collapsed="false">
      <c r="A742" s="62" t="n">
        <f aca="false">A741+1</f>
        <v>735</v>
      </c>
      <c r="B742" s="63" t="e">
        <f aca="false">VLOOKUP(A742,BD_ORDENES!A:BG,12,FALSE())</f>
        <v>#N/A</v>
      </c>
      <c r="C742" s="64" t="n">
        <v>735</v>
      </c>
      <c r="D742" s="65" t="e">
        <f aca="false">VLOOKUP(A742,BD_ORDENES!A:BE,10,0)</f>
        <v>#N/A</v>
      </c>
      <c r="E742" s="66" t="e">
        <f aca="false">VLOOKUP(A742,BD_ORDENES!A:BG,4,FALSE())</f>
        <v>#N/A</v>
      </c>
      <c r="F742" s="66" t="e">
        <f aca="false">VLOOKUP(A742,BD_ORDENES!A:BE,56,FALSE())</f>
        <v>#N/A</v>
      </c>
      <c r="G742" s="67" t="e">
        <f aca="false">VLOOKUP(A742,BD_ORDENES!A:BE,13,FALSE())</f>
        <v>#N/A</v>
      </c>
      <c r="H742" s="68" t="e">
        <f aca="false">VLOOKUP(A742,BD_ORDENES!A:BE,17,FALSE())</f>
        <v>#N/A</v>
      </c>
      <c r="I742" s="68" t="e">
        <f aca="false">VLOOKUP(A742,BD_ORDENES!A:BE,18,FALSE())</f>
        <v>#N/A</v>
      </c>
      <c r="J742" s="68" t="e">
        <f aca="false">VLOOKUP(A742,BD_ORDENES!A:BE,19,FALSE())</f>
        <v>#N/A</v>
      </c>
      <c r="K742" s="68" t="e">
        <f aca="false">VLOOKUP(A742,BD_ORDENES!A:BE,20,FALSE())</f>
        <v>#N/A</v>
      </c>
      <c r="L742" s="68" t="e">
        <f aca="false">VLOOKUP(A742,BD_ORDENES!A:BE,21,FALSE())</f>
        <v>#N/A</v>
      </c>
      <c r="M742" s="69" t="e">
        <f aca="false">VLOOKUP(A742,BD_ORDENES!A:BE,14,FALSE())</f>
        <v>#N/A</v>
      </c>
      <c r="N742" s="68" t="e">
        <f aca="false">VLOOKUP(A742,BD_ORDENES!A:BE,15,FALSE())</f>
        <v>#N/A</v>
      </c>
      <c r="O742" s="68" t="e">
        <f aca="false">VLOOKUP(A742,BD_ORDENES!A:BE,33,FALSE())</f>
        <v>#N/A</v>
      </c>
      <c r="P742" s="68" t="e">
        <f aca="false">VLOOKUP(A742,BD_ORDENES!A:BE,23,FALSE())</f>
        <v>#N/A</v>
      </c>
      <c r="Q742" s="68" t="e">
        <f aca="false">VLOOKUP(A742,BD_ORDENES!A:BE,52,FALSE())</f>
        <v>#N/A</v>
      </c>
      <c r="R742" s="68" t="e">
        <f aca="false">VLOOKUP(A742,BD_ORDENES!A:BE,25,FALSE())</f>
        <v>#N/A</v>
      </c>
      <c r="S742" s="68" t="e">
        <f aca="false">VLOOKUP(A742,BD_ORDENES!A:BE,22,FALSE())</f>
        <v>#N/A</v>
      </c>
      <c r="T742" s="65" t="e">
        <f aca="false">VLOOKUP(A742,BD_ORDENES!A:BE,55,FALSE())</f>
        <v>#N/A</v>
      </c>
      <c r="U742" s="68" t="e">
        <f aca="false">VLOOKUP(A742,BD_ORDENES!A:BE,57,FALSE())</f>
        <v>#N/A</v>
      </c>
      <c r="V742" s="70"/>
      <c r="W742" s="71"/>
    </row>
    <row r="743" s="72" customFormat="true" ht="98.25" hidden="false" customHeight="true" outlineLevel="0" collapsed="false">
      <c r="A743" s="62" t="n">
        <f aca="false">A742+1</f>
        <v>736</v>
      </c>
      <c r="B743" s="63" t="e">
        <f aca="false">VLOOKUP(A743,BD_ORDENES!A:BG,12,FALSE())</f>
        <v>#N/A</v>
      </c>
      <c r="C743" s="64" t="n">
        <v>736</v>
      </c>
      <c r="D743" s="65" t="e">
        <f aca="false">VLOOKUP(A743,BD_ORDENES!A:BE,10,0)</f>
        <v>#N/A</v>
      </c>
      <c r="E743" s="66" t="e">
        <f aca="false">VLOOKUP(A743,BD_ORDENES!A:BG,4,FALSE())</f>
        <v>#N/A</v>
      </c>
      <c r="F743" s="66" t="e">
        <f aca="false">VLOOKUP(A743,BD_ORDENES!A:BE,56,FALSE())</f>
        <v>#N/A</v>
      </c>
      <c r="G743" s="67" t="e">
        <f aca="false">VLOOKUP(A743,BD_ORDENES!A:BE,13,FALSE())</f>
        <v>#N/A</v>
      </c>
      <c r="H743" s="68" t="e">
        <f aca="false">VLOOKUP(A743,BD_ORDENES!A:BE,17,FALSE())</f>
        <v>#N/A</v>
      </c>
      <c r="I743" s="68" t="e">
        <f aca="false">VLOOKUP(A743,BD_ORDENES!A:BE,18,FALSE())</f>
        <v>#N/A</v>
      </c>
      <c r="J743" s="68" t="e">
        <f aca="false">VLOOKUP(A743,BD_ORDENES!A:BE,19,FALSE())</f>
        <v>#N/A</v>
      </c>
      <c r="K743" s="68" t="e">
        <f aca="false">VLOOKUP(A743,BD_ORDENES!A:BE,20,FALSE())</f>
        <v>#N/A</v>
      </c>
      <c r="L743" s="68" t="e">
        <f aca="false">VLOOKUP(A743,BD_ORDENES!A:BE,21,FALSE())</f>
        <v>#N/A</v>
      </c>
      <c r="M743" s="69" t="e">
        <f aca="false">VLOOKUP(A743,BD_ORDENES!A:BE,14,FALSE())</f>
        <v>#N/A</v>
      </c>
      <c r="N743" s="68" t="e">
        <f aca="false">VLOOKUP(A743,BD_ORDENES!A:BE,15,FALSE())</f>
        <v>#N/A</v>
      </c>
      <c r="O743" s="68" t="e">
        <f aca="false">VLOOKUP(A743,BD_ORDENES!A:BE,33,FALSE())</f>
        <v>#N/A</v>
      </c>
      <c r="P743" s="68" t="e">
        <f aca="false">VLOOKUP(A743,BD_ORDENES!A:BE,23,FALSE())</f>
        <v>#N/A</v>
      </c>
      <c r="Q743" s="68" t="e">
        <f aca="false">VLOOKUP(A743,BD_ORDENES!A:BE,52,FALSE())</f>
        <v>#N/A</v>
      </c>
      <c r="R743" s="68" t="e">
        <f aca="false">VLOOKUP(A743,BD_ORDENES!A:BE,25,FALSE())</f>
        <v>#N/A</v>
      </c>
      <c r="S743" s="68" t="e">
        <f aca="false">VLOOKUP(A743,BD_ORDENES!A:BE,22,FALSE())</f>
        <v>#N/A</v>
      </c>
      <c r="T743" s="65" t="e">
        <f aca="false">VLOOKUP(A743,BD_ORDENES!A:BE,55,FALSE())</f>
        <v>#N/A</v>
      </c>
      <c r="U743" s="68" t="e">
        <f aca="false">VLOOKUP(A743,BD_ORDENES!A:BE,57,FALSE())</f>
        <v>#N/A</v>
      </c>
      <c r="V743" s="70"/>
      <c r="W743" s="71"/>
    </row>
    <row r="744" s="72" customFormat="true" ht="98.25" hidden="false" customHeight="true" outlineLevel="0" collapsed="false">
      <c r="A744" s="62" t="n">
        <f aca="false">A743+1</f>
        <v>737</v>
      </c>
      <c r="B744" s="63" t="e">
        <f aca="false">VLOOKUP(A744,BD_ORDENES!A:BG,12,FALSE())</f>
        <v>#N/A</v>
      </c>
      <c r="C744" s="64" t="n">
        <v>737</v>
      </c>
      <c r="D744" s="65" t="e">
        <f aca="false">VLOOKUP(A744,BD_ORDENES!A:BE,10,0)</f>
        <v>#N/A</v>
      </c>
      <c r="E744" s="66" t="e">
        <f aca="false">VLOOKUP(A744,BD_ORDENES!A:BG,4,FALSE())</f>
        <v>#N/A</v>
      </c>
      <c r="F744" s="66" t="e">
        <f aca="false">VLOOKUP(A744,BD_ORDENES!A:BE,56,FALSE())</f>
        <v>#N/A</v>
      </c>
      <c r="G744" s="67" t="e">
        <f aca="false">VLOOKUP(A744,BD_ORDENES!A:BE,13,FALSE())</f>
        <v>#N/A</v>
      </c>
      <c r="H744" s="68" t="e">
        <f aca="false">VLOOKUP(A744,BD_ORDENES!A:BE,17,FALSE())</f>
        <v>#N/A</v>
      </c>
      <c r="I744" s="68" t="e">
        <f aca="false">VLOOKUP(A744,BD_ORDENES!A:BE,18,FALSE())</f>
        <v>#N/A</v>
      </c>
      <c r="J744" s="68" t="e">
        <f aca="false">VLOOKUP(A744,BD_ORDENES!A:BE,19,FALSE())</f>
        <v>#N/A</v>
      </c>
      <c r="K744" s="68" t="e">
        <f aca="false">VLOOKUP(A744,BD_ORDENES!A:BE,20,FALSE())</f>
        <v>#N/A</v>
      </c>
      <c r="L744" s="68" t="e">
        <f aca="false">VLOOKUP(A744,BD_ORDENES!A:BE,21,FALSE())</f>
        <v>#N/A</v>
      </c>
      <c r="M744" s="69" t="e">
        <f aca="false">VLOOKUP(A744,BD_ORDENES!A:BE,14,FALSE())</f>
        <v>#N/A</v>
      </c>
      <c r="N744" s="68" t="e">
        <f aca="false">VLOOKUP(A744,BD_ORDENES!A:BE,15,FALSE())</f>
        <v>#N/A</v>
      </c>
      <c r="O744" s="68" t="e">
        <f aca="false">VLOOKUP(A744,BD_ORDENES!A:BE,33,FALSE())</f>
        <v>#N/A</v>
      </c>
      <c r="P744" s="68" t="e">
        <f aca="false">VLOOKUP(A744,BD_ORDENES!A:BE,23,FALSE())</f>
        <v>#N/A</v>
      </c>
      <c r="Q744" s="68" t="e">
        <f aca="false">VLOOKUP(A744,BD_ORDENES!A:BE,52,FALSE())</f>
        <v>#N/A</v>
      </c>
      <c r="R744" s="68" t="e">
        <f aca="false">VLOOKUP(A744,BD_ORDENES!A:BE,25,FALSE())</f>
        <v>#N/A</v>
      </c>
      <c r="S744" s="68" t="e">
        <f aca="false">VLOOKUP(A744,BD_ORDENES!A:BE,22,FALSE())</f>
        <v>#N/A</v>
      </c>
      <c r="T744" s="65" t="e">
        <f aca="false">VLOOKUP(A744,BD_ORDENES!A:BE,55,FALSE())</f>
        <v>#N/A</v>
      </c>
      <c r="U744" s="68" t="e">
        <f aca="false">VLOOKUP(A744,BD_ORDENES!A:BE,57,FALSE())</f>
        <v>#N/A</v>
      </c>
      <c r="V744" s="70"/>
      <c r="W744" s="71"/>
    </row>
    <row r="745" s="72" customFormat="true" ht="98.25" hidden="false" customHeight="true" outlineLevel="0" collapsed="false">
      <c r="A745" s="62" t="n">
        <f aca="false">A744+1</f>
        <v>738</v>
      </c>
      <c r="B745" s="63" t="e">
        <f aca="false">VLOOKUP(A745,BD_ORDENES!A:BG,12,FALSE())</f>
        <v>#N/A</v>
      </c>
      <c r="C745" s="64" t="n">
        <v>738</v>
      </c>
      <c r="D745" s="65" t="e">
        <f aca="false">VLOOKUP(A745,BD_ORDENES!A:BE,10,0)</f>
        <v>#N/A</v>
      </c>
      <c r="E745" s="66" t="e">
        <f aca="false">VLOOKUP(A745,BD_ORDENES!A:BG,4,FALSE())</f>
        <v>#N/A</v>
      </c>
      <c r="F745" s="66" t="e">
        <f aca="false">VLOOKUP(A745,BD_ORDENES!A:BE,56,FALSE())</f>
        <v>#N/A</v>
      </c>
      <c r="G745" s="67" t="e">
        <f aca="false">VLOOKUP(A745,BD_ORDENES!A:BE,13,FALSE())</f>
        <v>#N/A</v>
      </c>
      <c r="H745" s="68" t="e">
        <f aca="false">VLOOKUP(A745,BD_ORDENES!A:BE,17,FALSE())</f>
        <v>#N/A</v>
      </c>
      <c r="I745" s="68" t="e">
        <f aca="false">VLOOKUP(A745,BD_ORDENES!A:BE,18,FALSE())</f>
        <v>#N/A</v>
      </c>
      <c r="J745" s="68" t="e">
        <f aca="false">VLOOKUP(A745,BD_ORDENES!A:BE,19,FALSE())</f>
        <v>#N/A</v>
      </c>
      <c r="K745" s="68" t="e">
        <f aca="false">VLOOKUP(A745,BD_ORDENES!A:BE,20,FALSE())</f>
        <v>#N/A</v>
      </c>
      <c r="L745" s="68" t="e">
        <f aca="false">VLOOKUP(A745,BD_ORDENES!A:BE,21,FALSE())</f>
        <v>#N/A</v>
      </c>
      <c r="M745" s="69" t="e">
        <f aca="false">VLOOKUP(A745,BD_ORDENES!A:BE,14,FALSE())</f>
        <v>#N/A</v>
      </c>
      <c r="N745" s="68" t="e">
        <f aca="false">VLOOKUP(A745,BD_ORDENES!A:BE,15,FALSE())</f>
        <v>#N/A</v>
      </c>
      <c r="O745" s="68" t="e">
        <f aca="false">VLOOKUP(A745,BD_ORDENES!A:BE,33,FALSE())</f>
        <v>#N/A</v>
      </c>
      <c r="P745" s="68" t="e">
        <f aca="false">VLOOKUP(A745,BD_ORDENES!A:BE,23,FALSE())</f>
        <v>#N/A</v>
      </c>
      <c r="Q745" s="68" t="e">
        <f aca="false">VLOOKUP(A745,BD_ORDENES!A:BE,52,FALSE())</f>
        <v>#N/A</v>
      </c>
      <c r="R745" s="68" t="e">
        <f aca="false">VLOOKUP(A745,BD_ORDENES!A:BE,25,FALSE())</f>
        <v>#N/A</v>
      </c>
      <c r="S745" s="68" t="e">
        <f aca="false">VLOOKUP(A745,BD_ORDENES!A:BE,22,FALSE())</f>
        <v>#N/A</v>
      </c>
      <c r="T745" s="65" t="e">
        <f aca="false">VLOOKUP(A745,BD_ORDENES!A:BE,55,FALSE())</f>
        <v>#N/A</v>
      </c>
      <c r="U745" s="68" t="e">
        <f aca="false">VLOOKUP(A745,BD_ORDENES!A:BE,57,FALSE())</f>
        <v>#N/A</v>
      </c>
      <c r="V745" s="70"/>
      <c r="W745" s="71"/>
    </row>
    <row r="746" s="72" customFormat="true" ht="98.25" hidden="false" customHeight="true" outlineLevel="0" collapsed="false">
      <c r="A746" s="62" t="n">
        <f aca="false">A745+1</f>
        <v>739</v>
      </c>
      <c r="B746" s="63" t="e">
        <f aca="false">VLOOKUP(A746,BD_ORDENES!A:BG,12,FALSE())</f>
        <v>#N/A</v>
      </c>
      <c r="C746" s="64" t="n">
        <v>739</v>
      </c>
      <c r="D746" s="65" t="e">
        <f aca="false">VLOOKUP(A746,BD_ORDENES!A:BE,10,0)</f>
        <v>#N/A</v>
      </c>
      <c r="E746" s="66" t="e">
        <f aca="false">VLOOKUP(A746,BD_ORDENES!A:BG,4,FALSE())</f>
        <v>#N/A</v>
      </c>
      <c r="F746" s="66" t="e">
        <f aca="false">VLOOKUP(A746,BD_ORDENES!A:BE,56,FALSE())</f>
        <v>#N/A</v>
      </c>
      <c r="G746" s="67" t="e">
        <f aca="false">VLOOKUP(A746,BD_ORDENES!A:BE,13,FALSE())</f>
        <v>#N/A</v>
      </c>
      <c r="H746" s="68" t="e">
        <f aca="false">VLOOKUP(A746,BD_ORDENES!A:BE,17,FALSE())</f>
        <v>#N/A</v>
      </c>
      <c r="I746" s="68" t="e">
        <f aca="false">VLOOKUP(A746,BD_ORDENES!A:BE,18,FALSE())</f>
        <v>#N/A</v>
      </c>
      <c r="J746" s="68" t="e">
        <f aca="false">VLOOKUP(A746,BD_ORDENES!A:BE,19,FALSE())</f>
        <v>#N/A</v>
      </c>
      <c r="K746" s="68" t="e">
        <f aca="false">VLOOKUP(A746,BD_ORDENES!A:BE,20,FALSE())</f>
        <v>#N/A</v>
      </c>
      <c r="L746" s="68" t="e">
        <f aca="false">VLOOKUP(A746,BD_ORDENES!A:BE,21,FALSE())</f>
        <v>#N/A</v>
      </c>
      <c r="M746" s="69" t="e">
        <f aca="false">VLOOKUP(A746,BD_ORDENES!A:BE,14,FALSE())</f>
        <v>#N/A</v>
      </c>
      <c r="N746" s="68" t="e">
        <f aca="false">VLOOKUP(A746,BD_ORDENES!A:BE,15,FALSE())</f>
        <v>#N/A</v>
      </c>
      <c r="O746" s="68" t="e">
        <f aca="false">VLOOKUP(A746,BD_ORDENES!A:BE,33,FALSE())</f>
        <v>#N/A</v>
      </c>
      <c r="P746" s="68" t="e">
        <f aca="false">VLOOKUP(A746,BD_ORDENES!A:BE,23,FALSE())</f>
        <v>#N/A</v>
      </c>
      <c r="Q746" s="68" t="e">
        <f aca="false">VLOOKUP(A746,BD_ORDENES!A:BE,52,FALSE())</f>
        <v>#N/A</v>
      </c>
      <c r="R746" s="68" t="e">
        <f aca="false">VLOOKUP(A746,BD_ORDENES!A:BE,25,FALSE())</f>
        <v>#N/A</v>
      </c>
      <c r="S746" s="68" t="e">
        <f aca="false">VLOOKUP(A746,BD_ORDENES!A:BE,22,FALSE())</f>
        <v>#N/A</v>
      </c>
      <c r="T746" s="65" t="e">
        <f aca="false">VLOOKUP(A746,BD_ORDENES!A:BE,55,FALSE())</f>
        <v>#N/A</v>
      </c>
      <c r="U746" s="68" t="e">
        <f aca="false">VLOOKUP(A746,BD_ORDENES!A:BE,57,FALSE())</f>
        <v>#N/A</v>
      </c>
      <c r="V746" s="70"/>
      <c r="W746" s="71"/>
    </row>
    <row r="747" s="72" customFormat="true" ht="98.25" hidden="false" customHeight="true" outlineLevel="0" collapsed="false">
      <c r="A747" s="62" t="n">
        <f aca="false">A746+1</f>
        <v>740</v>
      </c>
      <c r="B747" s="63" t="e">
        <f aca="false">VLOOKUP(A747,BD_ORDENES!A:BG,12,FALSE())</f>
        <v>#N/A</v>
      </c>
      <c r="C747" s="64" t="n">
        <v>740</v>
      </c>
      <c r="D747" s="65" t="e">
        <f aca="false">VLOOKUP(A747,BD_ORDENES!A:BE,10,0)</f>
        <v>#N/A</v>
      </c>
      <c r="E747" s="66" t="e">
        <f aca="false">VLOOKUP(A747,BD_ORDENES!A:BG,4,FALSE())</f>
        <v>#N/A</v>
      </c>
      <c r="F747" s="66" t="e">
        <f aca="false">VLOOKUP(A747,BD_ORDENES!A:BE,56,FALSE())</f>
        <v>#N/A</v>
      </c>
      <c r="G747" s="67" t="e">
        <f aca="false">VLOOKUP(A747,BD_ORDENES!A:BE,13,FALSE())</f>
        <v>#N/A</v>
      </c>
      <c r="H747" s="68" t="e">
        <f aca="false">VLOOKUP(A747,BD_ORDENES!A:BE,17,FALSE())</f>
        <v>#N/A</v>
      </c>
      <c r="I747" s="68" t="e">
        <f aca="false">VLOOKUP(A747,BD_ORDENES!A:BE,18,FALSE())</f>
        <v>#N/A</v>
      </c>
      <c r="J747" s="68" t="e">
        <f aca="false">VLOOKUP(A747,BD_ORDENES!A:BE,19,FALSE())</f>
        <v>#N/A</v>
      </c>
      <c r="K747" s="68" t="e">
        <f aca="false">VLOOKUP(A747,BD_ORDENES!A:BE,20,FALSE())</f>
        <v>#N/A</v>
      </c>
      <c r="L747" s="68" t="e">
        <f aca="false">VLOOKUP(A747,BD_ORDENES!A:BE,21,FALSE())</f>
        <v>#N/A</v>
      </c>
      <c r="M747" s="69" t="e">
        <f aca="false">VLOOKUP(A747,BD_ORDENES!A:BE,14,FALSE())</f>
        <v>#N/A</v>
      </c>
      <c r="N747" s="68" t="e">
        <f aca="false">VLOOKUP(A747,BD_ORDENES!A:BE,15,FALSE())</f>
        <v>#N/A</v>
      </c>
      <c r="O747" s="68" t="e">
        <f aca="false">VLOOKUP(A747,BD_ORDENES!A:BE,33,FALSE())</f>
        <v>#N/A</v>
      </c>
      <c r="P747" s="68" t="e">
        <f aca="false">VLOOKUP(A747,BD_ORDENES!A:BE,23,FALSE())</f>
        <v>#N/A</v>
      </c>
      <c r="Q747" s="68" t="e">
        <f aca="false">VLOOKUP(A747,BD_ORDENES!A:BE,52,FALSE())</f>
        <v>#N/A</v>
      </c>
      <c r="R747" s="68" t="e">
        <f aca="false">VLOOKUP(A747,BD_ORDENES!A:BE,25,FALSE())</f>
        <v>#N/A</v>
      </c>
      <c r="S747" s="68" t="e">
        <f aca="false">VLOOKUP(A747,BD_ORDENES!A:BE,22,FALSE())</f>
        <v>#N/A</v>
      </c>
      <c r="T747" s="65" t="e">
        <f aca="false">VLOOKUP(A747,BD_ORDENES!A:BE,55,FALSE())</f>
        <v>#N/A</v>
      </c>
      <c r="U747" s="68" t="e">
        <f aca="false">VLOOKUP(A747,BD_ORDENES!A:BE,57,FALSE())</f>
        <v>#N/A</v>
      </c>
      <c r="V747" s="70"/>
      <c r="W747" s="71"/>
    </row>
    <row r="748" s="72" customFormat="true" ht="98.25" hidden="false" customHeight="true" outlineLevel="0" collapsed="false">
      <c r="A748" s="62" t="n">
        <f aca="false">A747+1</f>
        <v>741</v>
      </c>
      <c r="B748" s="63" t="e">
        <f aca="false">VLOOKUP(A748,BD_ORDENES!A:BG,12,FALSE())</f>
        <v>#N/A</v>
      </c>
      <c r="C748" s="64" t="n">
        <v>741</v>
      </c>
      <c r="D748" s="65" t="e">
        <f aca="false">VLOOKUP(A748,BD_ORDENES!A:BE,10,0)</f>
        <v>#N/A</v>
      </c>
      <c r="E748" s="66" t="e">
        <f aca="false">VLOOKUP(A748,BD_ORDENES!A:BG,4,FALSE())</f>
        <v>#N/A</v>
      </c>
      <c r="F748" s="66" t="e">
        <f aca="false">VLOOKUP(A748,BD_ORDENES!A:BE,56,FALSE())</f>
        <v>#N/A</v>
      </c>
      <c r="G748" s="67" t="e">
        <f aca="false">VLOOKUP(A748,BD_ORDENES!A:BE,13,FALSE())</f>
        <v>#N/A</v>
      </c>
      <c r="H748" s="68" t="e">
        <f aca="false">VLOOKUP(A748,BD_ORDENES!A:BE,17,FALSE())</f>
        <v>#N/A</v>
      </c>
      <c r="I748" s="68" t="e">
        <f aca="false">VLOOKUP(A748,BD_ORDENES!A:BE,18,FALSE())</f>
        <v>#N/A</v>
      </c>
      <c r="J748" s="68" t="e">
        <f aca="false">VLOOKUP(A748,BD_ORDENES!A:BE,19,FALSE())</f>
        <v>#N/A</v>
      </c>
      <c r="K748" s="68" t="e">
        <f aca="false">VLOOKUP(A748,BD_ORDENES!A:BE,20,FALSE())</f>
        <v>#N/A</v>
      </c>
      <c r="L748" s="68" t="e">
        <f aca="false">VLOOKUP(A748,BD_ORDENES!A:BE,21,FALSE())</f>
        <v>#N/A</v>
      </c>
      <c r="M748" s="69" t="e">
        <f aca="false">VLOOKUP(A748,BD_ORDENES!A:BE,14,FALSE())</f>
        <v>#N/A</v>
      </c>
      <c r="N748" s="68" t="e">
        <f aca="false">VLOOKUP(A748,BD_ORDENES!A:BE,15,FALSE())</f>
        <v>#N/A</v>
      </c>
      <c r="O748" s="68" t="e">
        <f aca="false">VLOOKUP(A748,BD_ORDENES!A:BE,33,FALSE())</f>
        <v>#N/A</v>
      </c>
      <c r="P748" s="68" t="e">
        <f aca="false">VLOOKUP(A748,BD_ORDENES!A:BE,23,FALSE())</f>
        <v>#N/A</v>
      </c>
      <c r="Q748" s="68" t="e">
        <f aca="false">VLOOKUP(A748,BD_ORDENES!A:BE,52,FALSE())</f>
        <v>#N/A</v>
      </c>
      <c r="R748" s="68" t="e">
        <f aca="false">VLOOKUP(A748,BD_ORDENES!A:BE,25,FALSE())</f>
        <v>#N/A</v>
      </c>
      <c r="S748" s="68" t="e">
        <f aca="false">VLOOKUP(A748,BD_ORDENES!A:BE,22,FALSE())</f>
        <v>#N/A</v>
      </c>
      <c r="T748" s="65" t="e">
        <f aca="false">VLOOKUP(A748,BD_ORDENES!A:BE,55,FALSE())</f>
        <v>#N/A</v>
      </c>
      <c r="U748" s="68" t="e">
        <f aca="false">VLOOKUP(A748,BD_ORDENES!A:BE,57,FALSE())</f>
        <v>#N/A</v>
      </c>
      <c r="V748" s="70"/>
      <c r="W748" s="71"/>
    </row>
    <row r="749" s="72" customFormat="true" ht="98.25" hidden="false" customHeight="true" outlineLevel="0" collapsed="false">
      <c r="A749" s="62" t="n">
        <f aca="false">A748+1</f>
        <v>742</v>
      </c>
      <c r="B749" s="63" t="e">
        <f aca="false">VLOOKUP(A749,BD_ORDENES!A:BG,12,FALSE())</f>
        <v>#N/A</v>
      </c>
      <c r="C749" s="64" t="n">
        <v>742</v>
      </c>
      <c r="D749" s="65" t="e">
        <f aca="false">VLOOKUP(A749,BD_ORDENES!A:BE,10,0)</f>
        <v>#N/A</v>
      </c>
      <c r="E749" s="66" t="e">
        <f aca="false">VLOOKUP(A749,BD_ORDENES!A:BG,4,FALSE())</f>
        <v>#N/A</v>
      </c>
      <c r="F749" s="66" t="e">
        <f aca="false">VLOOKUP(A749,BD_ORDENES!A:BE,56,FALSE())</f>
        <v>#N/A</v>
      </c>
      <c r="G749" s="67" t="e">
        <f aca="false">VLOOKUP(A749,BD_ORDENES!A:BE,13,FALSE())</f>
        <v>#N/A</v>
      </c>
      <c r="H749" s="68" t="e">
        <f aca="false">VLOOKUP(A749,BD_ORDENES!A:BE,17,FALSE())</f>
        <v>#N/A</v>
      </c>
      <c r="I749" s="68" t="e">
        <f aca="false">VLOOKUP(A749,BD_ORDENES!A:BE,18,FALSE())</f>
        <v>#N/A</v>
      </c>
      <c r="J749" s="68" t="e">
        <f aca="false">VLOOKUP(A749,BD_ORDENES!A:BE,19,FALSE())</f>
        <v>#N/A</v>
      </c>
      <c r="K749" s="68" t="e">
        <f aca="false">VLOOKUP(A749,BD_ORDENES!A:BE,20,FALSE())</f>
        <v>#N/A</v>
      </c>
      <c r="L749" s="68" t="e">
        <f aca="false">VLOOKUP(A749,BD_ORDENES!A:BE,21,FALSE())</f>
        <v>#N/A</v>
      </c>
      <c r="M749" s="69" t="e">
        <f aca="false">VLOOKUP(A749,BD_ORDENES!A:BE,14,FALSE())</f>
        <v>#N/A</v>
      </c>
      <c r="N749" s="68" t="e">
        <f aca="false">VLOOKUP(A749,BD_ORDENES!A:BE,15,FALSE())</f>
        <v>#N/A</v>
      </c>
      <c r="O749" s="68" t="e">
        <f aca="false">VLOOKUP(A749,BD_ORDENES!A:BE,33,FALSE())</f>
        <v>#N/A</v>
      </c>
      <c r="P749" s="68" t="e">
        <f aca="false">VLOOKUP(A749,BD_ORDENES!A:BE,23,FALSE())</f>
        <v>#N/A</v>
      </c>
      <c r="Q749" s="68" t="e">
        <f aca="false">VLOOKUP(A749,BD_ORDENES!A:BE,52,FALSE())</f>
        <v>#N/A</v>
      </c>
      <c r="R749" s="68" t="e">
        <f aca="false">VLOOKUP(A749,BD_ORDENES!A:BE,25,FALSE())</f>
        <v>#N/A</v>
      </c>
      <c r="S749" s="68" t="e">
        <f aca="false">VLOOKUP(A749,BD_ORDENES!A:BE,22,FALSE())</f>
        <v>#N/A</v>
      </c>
      <c r="T749" s="65" t="e">
        <f aca="false">VLOOKUP(A749,BD_ORDENES!A:BE,55,FALSE())</f>
        <v>#N/A</v>
      </c>
      <c r="U749" s="68" t="e">
        <f aca="false">VLOOKUP(A749,BD_ORDENES!A:BE,57,FALSE())</f>
        <v>#N/A</v>
      </c>
      <c r="V749" s="70"/>
      <c r="W749" s="71"/>
    </row>
    <row r="750" s="72" customFormat="true" ht="98.25" hidden="false" customHeight="true" outlineLevel="0" collapsed="false">
      <c r="A750" s="62" t="n">
        <f aca="false">A749+1</f>
        <v>743</v>
      </c>
      <c r="B750" s="63" t="e">
        <f aca="false">VLOOKUP(A750,BD_ORDENES!A:BG,12,FALSE())</f>
        <v>#N/A</v>
      </c>
      <c r="C750" s="64" t="n">
        <v>743</v>
      </c>
      <c r="D750" s="65" t="e">
        <f aca="false">VLOOKUP(A750,BD_ORDENES!A:BE,10,0)</f>
        <v>#N/A</v>
      </c>
      <c r="E750" s="66" t="e">
        <f aca="false">VLOOKUP(A750,BD_ORDENES!A:BG,4,FALSE())</f>
        <v>#N/A</v>
      </c>
      <c r="F750" s="66" t="e">
        <f aca="false">VLOOKUP(A750,BD_ORDENES!A:BE,56,FALSE())</f>
        <v>#N/A</v>
      </c>
      <c r="G750" s="67" t="e">
        <f aca="false">VLOOKUP(A750,BD_ORDENES!A:BE,13,FALSE())</f>
        <v>#N/A</v>
      </c>
      <c r="H750" s="68" t="e">
        <f aca="false">VLOOKUP(A750,BD_ORDENES!A:BE,17,FALSE())</f>
        <v>#N/A</v>
      </c>
      <c r="I750" s="68" t="e">
        <f aca="false">VLOOKUP(A750,BD_ORDENES!A:BE,18,FALSE())</f>
        <v>#N/A</v>
      </c>
      <c r="J750" s="68" t="e">
        <f aca="false">VLOOKUP(A750,BD_ORDENES!A:BE,19,FALSE())</f>
        <v>#N/A</v>
      </c>
      <c r="K750" s="68" t="e">
        <f aca="false">VLOOKUP(A750,BD_ORDENES!A:BE,20,FALSE())</f>
        <v>#N/A</v>
      </c>
      <c r="L750" s="68" t="e">
        <f aca="false">VLOOKUP(A750,BD_ORDENES!A:BE,21,FALSE())</f>
        <v>#N/A</v>
      </c>
      <c r="M750" s="69" t="e">
        <f aca="false">VLOOKUP(A750,BD_ORDENES!A:BE,14,FALSE())</f>
        <v>#N/A</v>
      </c>
      <c r="N750" s="68" t="e">
        <f aca="false">VLOOKUP(A750,BD_ORDENES!A:BE,15,FALSE())</f>
        <v>#N/A</v>
      </c>
      <c r="O750" s="68" t="e">
        <f aca="false">VLOOKUP(A750,BD_ORDENES!A:BE,33,FALSE())</f>
        <v>#N/A</v>
      </c>
      <c r="P750" s="68" t="e">
        <f aca="false">VLOOKUP(A750,BD_ORDENES!A:BE,23,FALSE())</f>
        <v>#N/A</v>
      </c>
      <c r="Q750" s="68" t="e">
        <f aca="false">VLOOKUP(A750,BD_ORDENES!A:BE,52,FALSE())</f>
        <v>#N/A</v>
      </c>
      <c r="R750" s="68" t="e">
        <f aca="false">VLOOKUP(A750,BD_ORDENES!A:BE,25,FALSE())</f>
        <v>#N/A</v>
      </c>
      <c r="S750" s="68" t="e">
        <f aca="false">VLOOKUP(A750,BD_ORDENES!A:BE,22,FALSE())</f>
        <v>#N/A</v>
      </c>
      <c r="T750" s="65" t="e">
        <f aca="false">VLOOKUP(A750,BD_ORDENES!A:BE,55,FALSE())</f>
        <v>#N/A</v>
      </c>
      <c r="U750" s="68" t="e">
        <f aca="false">VLOOKUP(A750,BD_ORDENES!A:BE,57,FALSE())</f>
        <v>#N/A</v>
      </c>
      <c r="V750" s="70"/>
      <c r="W750" s="71"/>
    </row>
    <row r="751" s="72" customFormat="true" ht="98.25" hidden="false" customHeight="true" outlineLevel="0" collapsed="false">
      <c r="A751" s="62" t="n">
        <f aca="false">A750+1</f>
        <v>744</v>
      </c>
      <c r="B751" s="63" t="e">
        <f aca="false">VLOOKUP(A751,BD_ORDENES!A:BG,12,FALSE())</f>
        <v>#N/A</v>
      </c>
      <c r="C751" s="64" t="n">
        <v>744</v>
      </c>
      <c r="D751" s="65" t="e">
        <f aca="false">VLOOKUP(A751,BD_ORDENES!A:BE,10,0)</f>
        <v>#N/A</v>
      </c>
      <c r="E751" s="66" t="e">
        <f aca="false">VLOOKUP(A751,BD_ORDENES!A:BG,4,FALSE())</f>
        <v>#N/A</v>
      </c>
      <c r="F751" s="66" t="e">
        <f aca="false">VLOOKUP(A751,BD_ORDENES!A:BE,56,FALSE())</f>
        <v>#N/A</v>
      </c>
      <c r="G751" s="67" t="e">
        <f aca="false">VLOOKUP(A751,BD_ORDENES!A:BE,13,FALSE())</f>
        <v>#N/A</v>
      </c>
      <c r="H751" s="68" t="e">
        <f aca="false">VLOOKUP(A751,BD_ORDENES!A:BE,17,FALSE())</f>
        <v>#N/A</v>
      </c>
      <c r="I751" s="68" t="e">
        <f aca="false">VLOOKUP(A751,BD_ORDENES!A:BE,18,FALSE())</f>
        <v>#N/A</v>
      </c>
      <c r="J751" s="68" t="e">
        <f aca="false">VLOOKUP(A751,BD_ORDENES!A:BE,19,FALSE())</f>
        <v>#N/A</v>
      </c>
      <c r="K751" s="68" t="e">
        <f aca="false">VLOOKUP(A751,BD_ORDENES!A:BE,20,FALSE())</f>
        <v>#N/A</v>
      </c>
      <c r="L751" s="68" t="e">
        <f aca="false">VLOOKUP(A751,BD_ORDENES!A:BE,21,FALSE())</f>
        <v>#N/A</v>
      </c>
      <c r="M751" s="69" t="e">
        <f aca="false">VLOOKUP(A751,BD_ORDENES!A:BE,14,FALSE())</f>
        <v>#N/A</v>
      </c>
      <c r="N751" s="68" t="e">
        <f aca="false">VLOOKUP(A751,BD_ORDENES!A:BE,15,FALSE())</f>
        <v>#N/A</v>
      </c>
      <c r="O751" s="68" t="e">
        <f aca="false">VLOOKUP(A751,BD_ORDENES!A:BE,33,FALSE())</f>
        <v>#N/A</v>
      </c>
      <c r="P751" s="68" t="e">
        <f aca="false">VLOOKUP(A751,BD_ORDENES!A:BE,23,FALSE())</f>
        <v>#N/A</v>
      </c>
      <c r="Q751" s="68" t="e">
        <f aca="false">VLOOKUP(A751,BD_ORDENES!A:BE,52,FALSE())</f>
        <v>#N/A</v>
      </c>
      <c r="R751" s="68" t="e">
        <f aca="false">VLOOKUP(A751,BD_ORDENES!A:BE,25,FALSE())</f>
        <v>#N/A</v>
      </c>
      <c r="S751" s="68" t="e">
        <f aca="false">VLOOKUP(A751,BD_ORDENES!A:BE,22,FALSE())</f>
        <v>#N/A</v>
      </c>
      <c r="T751" s="65" t="e">
        <f aca="false">VLOOKUP(A751,BD_ORDENES!A:BE,55,FALSE())</f>
        <v>#N/A</v>
      </c>
      <c r="U751" s="68" t="e">
        <f aca="false">VLOOKUP(A751,BD_ORDENES!A:BE,57,FALSE())</f>
        <v>#N/A</v>
      </c>
      <c r="V751" s="70"/>
      <c r="W751" s="71"/>
    </row>
    <row r="752" s="72" customFormat="true" ht="98.25" hidden="false" customHeight="true" outlineLevel="0" collapsed="false">
      <c r="A752" s="62" t="n">
        <f aca="false">A751+1</f>
        <v>745</v>
      </c>
      <c r="B752" s="63" t="e">
        <f aca="false">VLOOKUP(A752,BD_ORDENES!A:BG,12,FALSE())</f>
        <v>#N/A</v>
      </c>
      <c r="C752" s="64" t="n">
        <v>745</v>
      </c>
      <c r="D752" s="65" t="e">
        <f aca="false">VLOOKUP(A752,BD_ORDENES!A:BE,10,0)</f>
        <v>#N/A</v>
      </c>
      <c r="E752" s="66" t="e">
        <f aca="false">VLOOKUP(A752,BD_ORDENES!A:BG,4,FALSE())</f>
        <v>#N/A</v>
      </c>
      <c r="F752" s="66" t="e">
        <f aca="false">VLOOKUP(A752,BD_ORDENES!A:BE,56,FALSE())</f>
        <v>#N/A</v>
      </c>
      <c r="G752" s="67" t="e">
        <f aca="false">VLOOKUP(A752,BD_ORDENES!A:BE,13,FALSE())</f>
        <v>#N/A</v>
      </c>
      <c r="H752" s="68" t="e">
        <f aca="false">VLOOKUP(A752,BD_ORDENES!A:BE,17,FALSE())</f>
        <v>#N/A</v>
      </c>
      <c r="I752" s="68" t="e">
        <f aca="false">VLOOKUP(A752,BD_ORDENES!A:BE,18,FALSE())</f>
        <v>#N/A</v>
      </c>
      <c r="J752" s="68" t="e">
        <f aca="false">VLOOKUP(A752,BD_ORDENES!A:BE,19,FALSE())</f>
        <v>#N/A</v>
      </c>
      <c r="K752" s="68" t="e">
        <f aca="false">VLOOKUP(A752,BD_ORDENES!A:BE,20,FALSE())</f>
        <v>#N/A</v>
      </c>
      <c r="L752" s="68" t="e">
        <f aca="false">VLOOKUP(A752,BD_ORDENES!A:BE,21,FALSE())</f>
        <v>#N/A</v>
      </c>
      <c r="M752" s="69" t="e">
        <f aca="false">VLOOKUP(A752,BD_ORDENES!A:BE,14,FALSE())</f>
        <v>#N/A</v>
      </c>
      <c r="N752" s="68" t="e">
        <f aca="false">VLOOKUP(A752,BD_ORDENES!A:BE,15,FALSE())</f>
        <v>#N/A</v>
      </c>
      <c r="O752" s="68" t="e">
        <f aca="false">VLOOKUP(A752,BD_ORDENES!A:BE,33,FALSE())</f>
        <v>#N/A</v>
      </c>
      <c r="P752" s="68" t="e">
        <f aca="false">VLOOKUP(A752,BD_ORDENES!A:BE,23,FALSE())</f>
        <v>#N/A</v>
      </c>
      <c r="Q752" s="68" t="e">
        <f aca="false">VLOOKUP(A752,BD_ORDENES!A:BE,52,FALSE())</f>
        <v>#N/A</v>
      </c>
      <c r="R752" s="68" t="e">
        <f aca="false">VLOOKUP(A752,BD_ORDENES!A:BE,25,FALSE())</f>
        <v>#N/A</v>
      </c>
      <c r="S752" s="68" t="e">
        <f aca="false">VLOOKUP(A752,BD_ORDENES!A:BE,22,FALSE())</f>
        <v>#N/A</v>
      </c>
      <c r="T752" s="65" t="e">
        <f aca="false">VLOOKUP(A752,BD_ORDENES!A:BE,55,FALSE())</f>
        <v>#N/A</v>
      </c>
      <c r="U752" s="68" t="e">
        <f aca="false">VLOOKUP(A752,BD_ORDENES!A:BE,57,FALSE())</f>
        <v>#N/A</v>
      </c>
      <c r="V752" s="70"/>
      <c r="W752" s="71"/>
    </row>
    <row r="753" s="72" customFormat="true" ht="98.25" hidden="false" customHeight="true" outlineLevel="0" collapsed="false">
      <c r="A753" s="62" t="n">
        <f aca="false">A752+1</f>
        <v>746</v>
      </c>
      <c r="B753" s="63" t="e">
        <f aca="false">VLOOKUP(A753,BD_ORDENES!A:BG,12,FALSE())</f>
        <v>#N/A</v>
      </c>
      <c r="C753" s="64" t="n">
        <v>746</v>
      </c>
      <c r="D753" s="65" t="e">
        <f aca="false">VLOOKUP(A753,BD_ORDENES!A:BE,10,0)</f>
        <v>#N/A</v>
      </c>
      <c r="E753" s="66" t="e">
        <f aca="false">VLOOKUP(A753,BD_ORDENES!A:BG,4,FALSE())</f>
        <v>#N/A</v>
      </c>
      <c r="F753" s="66" t="e">
        <f aca="false">VLOOKUP(A753,BD_ORDENES!A:BE,56,FALSE())</f>
        <v>#N/A</v>
      </c>
      <c r="G753" s="67" t="e">
        <f aca="false">VLOOKUP(A753,BD_ORDENES!A:BE,13,FALSE())</f>
        <v>#N/A</v>
      </c>
      <c r="H753" s="68" t="e">
        <f aca="false">VLOOKUP(A753,BD_ORDENES!A:BE,17,FALSE())</f>
        <v>#N/A</v>
      </c>
      <c r="I753" s="68" t="e">
        <f aca="false">VLOOKUP(A753,BD_ORDENES!A:BE,18,FALSE())</f>
        <v>#N/A</v>
      </c>
      <c r="J753" s="68" t="e">
        <f aca="false">VLOOKUP(A753,BD_ORDENES!A:BE,19,FALSE())</f>
        <v>#N/A</v>
      </c>
      <c r="K753" s="68" t="e">
        <f aca="false">VLOOKUP(A753,BD_ORDENES!A:BE,20,FALSE())</f>
        <v>#N/A</v>
      </c>
      <c r="L753" s="68" t="e">
        <f aca="false">VLOOKUP(A753,BD_ORDENES!A:BE,21,FALSE())</f>
        <v>#N/A</v>
      </c>
      <c r="M753" s="69" t="e">
        <f aca="false">VLOOKUP(A753,BD_ORDENES!A:BE,14,FALSE())</f>
        <v>#N/A</v>
      </c>
      <c r="N753" s="68" t="e">
        <f aca="false">VLOOKUP(A753,BD_ORDENES!A:BE,15,FALSE())</f>
        <v>#N/A</v>
      </c>
      <c r="O753" s="68" t="e">
        <f aca="false">VLOOKUP(A753,BD_ORDENES!A:BE,33,FALSE())</f>
        <v>#N/A</v>
      </c>
      <c r="P753" s="68" t="e">
        <f aca="false">VLOOKUP(A753,BD_ORDENES!A:BE,23,FALSE())</f>
        <v>#N/A</v>
      </c>
      <c r="Q753" s="68" t="e">
        <f aca="false">VLOOKUP(A753,BD_ORDENES!A:BE,52,FALSE())</f>
        <v>#N/A</v>
      </c>
      <c r="R753" s="68" t="e">
        <f aca="false">VLOOKUP(A753,BD_ORDENES!A:BE,25,FALSE())</f>
        <v>#N/A</v>
      </c>
      <c r="S753" s="68" t="e">
        <f aca="false">VLOOKUP(A753,BD_ORDENES!A:BE,22,FALSE())</f>
        <v>#N/A</v>
      </c>
      <c r="T753" s="65" t="e">
        <f aca="false">VLOOKUP(A753,BD_ORDENES!A:BE,55,FALSE())</f>
        <v>#N/A</v>
      </c>
      <c r="U753" s="68" t="e">
        <f aca="false">VLOOKUP(A753,BD_ORDENES!A:BE,57,FALSE())</f>
        <v>#N/A</v>
      </c>
      <c r="V753" s="70"/>
      <c r="W753" s="71"/>
    </row>
    <row r="754" s="72" customFormat="true" ht="98.25" hidden="false" customHeight="true" outlineLevel="0" collapsed="false">
      <c r="A754" s="62" t="n">
        <f aca="false">A753+1</f>
        <v>747</v>
      </c>
      <c r="B754" s="63" t="e">
        <f aca="false">VLOOKUP(A754,BD_ORDENES!A:BG,12,FALSE())</f>
        <v>#N/A</v>
      </c>
      <c r="C754" s="64" t="n">
        <v>747</v>
      </c>
      <c r="D754" s="65" t="e">
        <f aca="false">VLOOKUP(A754,BD_ORDENES!A:BE,10,0)</f>
        <v>#N/A</v>
      </c>
      <c r="E754" s="66" t="e">
        <f aca="false">VLOOKUP(A754,BD_ORDENES!A:BG,4,FALSE())</f>
        <v>#N/A</v>
      </c>
      <c r="F754" s="66" t="e">
        <f aca="false">VLOOKUP(A754,BD_ORDENES!A:BE,56,FALSE())</f>
        <v>#N/A</v>
      </c>
      <c r="G754" s="67" t="e">
        <f aca="false">VLOOKUP(A754,BD_ORDENES!A:BE,13,FALSE())</f>
        <v>#N/A</v>
      </c>
      <c r="H754" s="68" t="e">
        <f aca="false">VLOOKUP(A754,BD_ORDENES!A:BE,17,FALSE())</f>
        <v>#N/A</v>
      </c>
      <c r="I754" s="68" t="e">
        <f aca="false">VLOOKUP(A754,BD_ORDENES!A:BE,18,FALSE())</f>
        <v>#N/A</v>
      </c>
      <c r="J754" s="68" t="e">
        <f aca="false">VLOOKUP(A754,BD_ORDENES!A:BE,19,FALSE())</f>
        <v>#N/A</v>
      </c>
      <c r="K754" s="68" t="e">
        <f aca="false">VLOOKUP(A754,BD_ORDENES!A:BE,20,FALSE())</f>
        <v>#N/A</v>
      </c>
      <c r="L754" s="68" t="e">
        <f aca="false">VLOOKUP(A754,BD_ORDENES!A:BE,21,FALSE())</f>
        <v>#N/A</v>
      </c>
      <c r="M754" s="69" t="e">
        <f aca="false">VLOOKUP(A754,BD_ORDENES!A:BE,14,FALSE())</f>
        <v>#N/A</v>
      </c>
      <c r="N754" s="68" t="e">
        <f aca="false">VLOOKUP(A754,BD_ORDENES!A:BE,15,FALSE())</f>
        <v>#N/A</v>
      </c>
      <c r="O754" s="68" t="e">
        <f aca="false">VLOOKUP(A754,BD_ORDENES!A:BE,33,FALSE())</f>
        <v>#N/A</v>
      </c>
      <c r="P754" s="68" t="e">
        <f aca="false">VLOOKUP(A754,BD_ORDENES!A:BE,23,FALSE())</f>
        <v>#N/A</v>
      </c>
      <c r="Q754" s="68" t="e">
        <f aca="false">VLOOKUP(A754,BD_ORDENES!A:BE,52,FALSE())</f>
        <v>#N/A</v>
      </c>
      <c r="R754" s="68" t="e">
        <f aca="false">VLOOKUP(A754,BD_ORDENES!A:BE,25,FALSE())</f>
        <v>#N/A</v>
      </c>
      <c r="S754" s="68" t="e">
        <f aca="false">VLOOKUP(A754,BD_ORDENES!A:BE,22,FALSE())</f>
        <v>#N/A</v>
      </c>
      <c r="T754" s="65" t="e">
        <f aca="false">VLOOKUP(A754,BD_ORDENES!A:BE,55,FALSE())</f>
        <v>#N/A</v>
      </c>
      <c r="U754" s="68" t="e">
        <f aca="false">VLOOKUP(A754,BD_ORDENES!A:BE,57,FALSE())</f>
        <v>#N/A</v>
      </c>
      <c r="V754" s="70"/>
      <c r="W754" s="71"/>
    </row>
    <row r="755" s="72" customFormat="true" ht="98.25" hidden="false" customHeight="true" outlineLevel="0" collapsed="false">
      <c r="A755" s="62" t="n">
        <f aca="false">A754+1</f>
        <v>748</v>
      </c>
      <c r="B755" s="63" t="e">
        <f aca="false">VLOOKUP(A755,BD_ORDENES!A:BG,12,FALSE())</f>
        <v>#N/A</v>
      </c>
      <c r="C755" s="64" t="n">
        <v>748</v>
      </c>
      <c r="D755" s="65" t="e">
        <f aca="false">VLOOKUP(A755,BD_ORDENES!A:BE,10,0)</f>
        <v>#N/A</v>
      </c>
      <c r="E755" s="66" t="e">
        <f aca="false">VLOOKUP(A755,BD_ORDENES!A:BG,4,FALSE())</f>
        <v>#N/A</v>
      </c>
      <c r="F755" s="66" t="e">
        <f aca="false">VLOOKUP(A755,BD_ORDENES!A:BE,56,FALSE())</f>
        <v>#N/A</v>
      </c>
      <c r="G755" s="67" t="e">
        <f aca="false">VLOOKUP(A755,BD_ORDENES!A:BE,13,FALSE())</f>
        <v>#N/A</v>
      </c>
      <c r="H755" s="68" t="e">
        <f aca="false">VLOOKUP(A755,BD_ORDENES!A:BE,17,FALSE())</f>
        <v>#N/A</v>
      </c>
      <c r="I755" s="68" t="e">
        <f aca="false">VLOOKUP(A755,BD_ORDENES!A:BE,18,FALSE())</f>
        <v>#N/A</v>
      </c>
      <c r="J755" s="68" t="e">
        <f aca="false">VLOOKUP(A755,BD_ORDENES!A:BE,19,FALSE())</f>
        <v>#N/A</v>
      </c>
      <c r="K755" s="68" t="e">
        <f aca="false">VLOOKUP(A755,BD_ORDENES!A:BE,20,FALSE())</f>
        <v>#N/A</v>
      </c>
      <c r="L755" s="68" t="e">
        <f aca="false">VLOOKUP(A755,BD_ORDENES!A:BE,21,FALSE())</f>
        <v>#N/A</v>
      </c>
      <c r="M755" s="69" t="e">
        <f aca="false">VLOOKUP(A755,BD_ORDENES!A:BE,14,FALSE())</f>
        <v>#N/A</v>
      </c>
      <c r="N755" s="68" t="e">
        <f aca="false">VLOOKUP(A755,BD_ORDENES!A:BE,15,FALSE())</f>
        <v>#N/A</v>
      </c>
      <c r="O755" s="68" t="e">
        <f aca="false">VLOOKUP(A755,BD_ORDENES!A:BE,33,FALSE())</f>
        <v>#N/A</v>
      </c>
      <c r="P755" s="68" t="e">
        <f aca="false">VLOOKUP(A755,BD_ORDENES!A:BE,23,FALSE())</f>
        <v>#N/A</v>
      </c>
      <c r="Q755" s="68" t="e">
        <f aca="false">VLOOKUP(A755,BD_ORDENES!A:BE,52,FALSE())</f>
        <v>#N/A</v>
      </c>
      <c r="R755" s="68" t="e">
        <f aca="false">VLOOKUP(A755,BD_ORDENES!A:BE,25,FALSE())</f>
        <v>#N/A</v>
      </c>
      <c r="S755" s="68" t="e">
        <f aca="false">VLOOKUP(A755,BD_ORDENES!A:BE,22,FALSE())</f>
        <v>#N/A</v>
      </c>
      <c r="T755" s="65" t="e">
        <f aca="false">VLOOKUP(A755,BD_ORDENES!A:BE,55,FALSE())</f>
        <v>#N/A</v>
      </c>
      <c r="U755" s="68" t="e">
        <f aca="false">VLOOKUP(A755,BD_ORDENES!A:BE,57,FALSE())</f>
        <v>#N/A</v>
      </c>
      <c r="V755" s="70"/>
      <c r="W755" s="71"/>
    </row>
    <row r="756" s="72" customFormat="true" ht="98.25" hidden="false" customHeight="true" outlineLevel="0" collapsed="false">
      <c r="A756" s="62" t="n">
        <f aca="false">A755+1</f>
        <v>749</v>
      </c>
      <c r="B756" s="63" t="e">
        <f aca="false">VLOOKUP(A756,BD_ORDENES!A:BG,12,FALSE())</f>
        <v>#N/A</v>
      </c>
      <c r="C756" s="64" t="n">
        <v>749</v>
      </c>
      <c r="D756" s="65" t="e">
        <f aca="false">VLOOKUP(A756,BD_ORDENES!A:BE,10,0)</f>
        <v>#N/A</v>
      </c>
      <c r="E756" s="66" t="e">
        <f aca="false">VLOOKUP(A756,BD_ORDENES!A:BG,4,FALSE())</f>
        <v>#N/A</v>
      </c>
      <c r="F756" s="66" t="e">
        <f aca="false">VLOOKUP(A756,BD_ORDENES!A:BE,56,FALSE())</f>
        <v>#N/A</v>
      </c>
      <c r="G756" s="67" t="e">
        <f aca="false">VLOOKUP(A756,BD_ORDENES!A:BE,13,FALSE())</f>
        <v>#N/A</v>
      </c>
      <c r="H756" s="68" t="e">
        <f aca="false">VLOOKUP(A756,BD_ORDENES!A:BE,17,FALSE())</f>
        <v>#N/A</v>
      </c>
      <c r="I756" s="68" t="e">
        <f aca="false">VLOOKUP(A756,BD_ORDENES!A:BE,18,FALSE())</f>
        <v>#N/A</v>
      </c>
      <c r="J756" s="68" t="e">
        <f aca="false">VLOOKUP(A756,BD_ORDENES!A:BE,19,FALSE())</f>
        <v>#N/A</v>
      </c>
      <c r="K756" s="68" t="e">
        <f aca="false">VLOOKUP(A756,BD_ORDENES!A:BE,20,FALSE())</f>
        <v>#N/A</v>
      </c>
      <c r="L756" s="68" t="e">
        <f aca="false">VLOOKUP(A756,BD_ORDENES!A:BE,21,FALSE())</f>
        <v>#N/A</v>
      </c>
      <c r="M756" s="69" t="e">
        <f aca="false">VLOOKUP(A756,BD_ORDENES!A:BE,14,FALSE())</f>
        <v>#N/A</v>
      </c>
      <c r="N756" s="68" t="e">
        <f aca="false">VLOOKUP(A756,BD_ORDENES!A:BE,15,FALSE())</f>
        <v>#N/A</v>
      </c>
      <c r="O756" s="68" t="e">
        <f aca="false">VLOOKUP(A756,BD_ORDENES!A:BE,33,FALSE())</f>
        <v>#N/A</v>
      </c>
      <c r="P756" s="68" t="e">
        <f aca="false">VLOOKUP(A756,BD_ORDENES!A:BE,23,FALSE())</f>
        <v>#N/A</v>
      </c>
      <c r="Q756" s="68" t="e">
        <f aca="false">VLOOKUP(A756,BD_ORDENES!A:BE,52,FALSE())</f>
        <v>#N/A</v>
      </c>
      <c r="R756" s="68" t="e">
        <f aca="false">VLOOKUP(A756,BD_ORDENES!A:BE,25,FALSE())</f>
        <v>#N/A</v>
      </c>
      <c r="S756" s="68" t="e">
        <f aca="false">VLOOKUP(A756,BD_ORDENES!A:BE,22,FALSE())</f>
        <v>#N/A</v>
      </c>
      <c r="T756" s="65" t="e">
        <f aca="false">VLOOKUP(A756,BD_ORDENES!A:BE,55,FALSE())</f>
        <v>#N/A</v>
      </c>
      <c r="U756" s="68" t="e">
        <f aca="false">VLOOKUP(A756,BD_ORDENES!A:BE,57,FALSE())</f>
        <v>#N/A</v>
      </c>
      <c r="V756" s="70"/>
      <c r="W756" s="71"/>
    </row>
    <row r="757" s="72" customFormat="true" ht="98.25" hidden="false" customHeight="true" outlineLevel="0" collapsed="false">
      <c r="A757" s="62" t="n">
        <f aca="false">A756+1</f>
        <v>750</v>
      </c>
      <c r="B757" s="63" t="e">
        <f aca="false">VLOOKUP(A757,BD_ORDENES!A:BG,12,FALSE())</f>
        <v>#N/A</v>
      </c>
      <c r="C757" s="64" t="n">
        <v>750</v>
      </c>
      <c r="D757" s="65" t="e">
        <f aca="false">VLOOKUP(A757,BD_ORDENES!A:BE,10,0)</f>
        <v>#N/A</v>
      </c>
      <c r="E757" s="66" t="e">
        <f aca="false">VLOOKUP(A757,BD_ORDENES!A:BG,4,FALSE())</f>
        <v>#N/A</v>
      </c>
      <c r="F757" s="66" t="e">
        <f aca="false">VLOOKUP(A757,BD_ORDENES!A:BE,56,FALSE())</f>
        <v>#N/A</v>
      </c>
      <c r="G757" s="67" t="e">
        <f aca="false">VLOOKUP(A757,BD_ORDENES!A:BE,13,FALSE())</f>
        <v>#N/A</v>
      </c>
      <c r="H757" s="68" t="e">
        <f aca="false">VLOOKUP(A757,BD_ORDENES!A:BE,17,FALSE())</f>
        <v>#N/A</v>
      </c>
      <c r="I757" s="68" t="e">
        <f aca="false">VLOOKUP(A757,BD_ORDENES!A:BE,18,FALSE())</f>
        <v>#N/A</v>
      </c>
      <c r="J757" s="68" t="e">
        <f aca="false">VLOOKUP(A757,BD_ORDENES!A:BE,19,FALSE())</f>
        <v>#N/A</v>
      </c>
      <c r="K757" s="68" t="e">
        <f aca="false">VLOOKUP(A757,BD_ORDENES!A:BE,20,FALSE())</f>
        <v>#N/A</v>
      </c>
      <c r="L757" s="68" t="e">
        <f aca="false">VLOOKUP(A757,BD_ORDENES!A:BE,21,FALSE())</f>
        <v>#N/A</v>
      </c>
      <c r="M757" s="69" t="e">
        <f aca="false">VLOOKUP(A757,BD_ORDENES!A:BE,14,FALSE())</f>
        <v>#N/A</v>
      </c>
      <c r="N757" s="68" t="e">
        <f aca="false">VLOOKUP(A757,BD_ORDENES!A:BE,15,FALSE())</f>
        <v>#N/A</v>
      </c>
      <c r="O757" s="68" t="e">
        <f aca="false">VLOOKUP(A757,BD_ORDENES!A:BE,33,FALSE())</f>
        <v>#N/A</v>
      </c>
      <c r="P757" s="68" t="e">
        <f aca="false">VLOOKUP(A757,BD_ORDENES!A:BE,23,FALSE())</f>
        <v>#N/A</v>
      </c>
      <c r="Q757" s="68" t="e">
        <f aca="false">VLOOKUP(A757,BD_ORDENES!A:BE,52,FALSE())</f>
        <v>#N/A</v>
      </c>
      <c r="R757" s="68" t="e">
        <f aca="false">VLOOKUP(A757,BD_ORDENES!A:BE,25,FALSE())</f>
        <v>#N/A</v>
      </c>
      <c r="S757" s="68" t="e">
        <f aca="false">VLOOKUP(A757,BD_ORDENES!A:BE,22,FALSE())</f>
        <v>#N/A</v>
      </c>
      <c r="T757" s="65" t="e">
        <f aca="false">VLOOKUP(A757,BD_ORDENES!A:BE,55,FALSE())</f>
        <v>#N/A</v>
      </c>
      <c r="U757" s="68" t="e">
        <f aca="false">VLOOKUP(A757,BD_ORDENES!A:BE,57,FALSE())</f>
        <v>#N/A</v>
      </c>
      <c r="V757" s="70"/>
      <c r="W757" s="71"/>
    </row>
    <row r="758" s="72" customFormat="true" ht="98.25" hidden="false" customHeight="true" outlineLevel="0" collapsed="false">
      <c r="A758" s="62" t="n">
        <f aca="false">A757+1</f>
        <v>751</v>
      </c>
      <c r="B758" s="63" t="e">
        <f aca="false">VLOOKUP(A758,BD_ORDENES!A:BG,12,FALSE())</f>
        <v>#N/A</v>
      </c>
      <c r="C758" s="64" t="n">
        <v>751</v>
      </c>
      <c r="D758" s="65" t="e">
        <f aca="false">VLOOKUP(A758,BD_ORDENES!A:BE,10,0)</f>
        <v>#N/A</v>
      </c>
      <c r="E758" s="66" t="e">
        <f aca="false">VLOOKUP(A758,BD_ORDENES!A:BG,4,FALSE())</f>
        <v>#N/A</v>
      </c>
      <c r="F758" s="66" t="e">
        <f aca="false">VLOOKUP(A758,BD_ORDENES!A:BE,56,FALSE())</f>
        <v>#N/A</v>
      </c>
      <c r="G758" s="67" t="e">
        <f aca="false">VLOOKUP(A758,BD_ORDENES!A:BE,13,FALSE())</f>
        <v>#N/A</v>
      </c>
      <c r="H758" s="68" t="e">
        <f aca="false">VLOOKUP(A758,BD_ORDENES!A:BE,17,FALSE())</f>
        <v>#N/A</v>
      </c>
      <c r="I758" s="68" t="e">
        <f aca="false">VLOOKUP(A758,BD_ORDENES!A:BE,18,FALSE())</f>
        <v>#N/A</v>
      </c>
      <c r="J758" s="68" t="e">
        <f aca="false">VLOOKUP(A758,BD_ORDENES!A:BE,19,FALSE())</f>
        <v>#N/A</v>
      </c>
      <c r="K758" s="68" t="e">
        <f aca="false">VLOOKUP(A758,BD_ORDENES!A:BE,20,FALSE())</f>
        <v>#N/A</v>
      </c>
      <c r="L758" s="68" t="e">
        <f aca="false">VLOOKUP(A758,BD_ORDENES!A:BE,21,FALSE())</f>
        <v>#N/A</v>
      </c>
      <c r="M758" s="69" t="e">
        <f aca="false">VLOOKUP(A758,BD_ORDENES!A:BE,14,FALSE())</f>
        <v>#N/A</v>
      </c>
      <c r="N758" s="68" t="e">
        <f aca="false">VLOOKUP(A758,BD_ORDENES!A:BE,15,FALSE())</f>
        <v>#N/A</v>
      </c>
      <c r="O758" s="68" t="e">
        <f aca="false">VLOOKUP(A758,BD_ORDENES!A:BE,33,FALSE())</f>
        <v>#N/A</v>
      </c>
      <c r="P758" s="68" t="e">
        <f aca="false">VLOOKUP(A758,BD_ORDENES!A:BE,23,FALSE())</f>
        <v>#N/A</v>
      </c>
      <c r="Q758" s="68" t="e">
        <f aca="false">VLOOKUP(A758,BD_ORDENES!A:BE,52,FALSE())</f>
        <v>#N/A</v>
      </c>
      <c r="R758" s="68" t="e">
        <f aca="false">VLOOKUP(A758,BD_ORDENES!A:BE,25,FALSE())</f>
        <v>#N/A</v>
      </c>
      <c r="S758" s="68" t="e">
        <f aca="false">VLOOKUP(A758,BD_ORDENES!A:BE,22,FALSE())</f>
        <v>#N/A</v>
      </c>
      <c r="T758" s="65" t="e">
        <f aca="false">VLOOKUP(A758,BD_ORDENES!A:BE,55,FALSE())</f>
        <v>#N/A</v>
      </c>
      <c r="U758" s="68" t="e">
        <f aca="false">VLOOKUP(A758,BD_ORDENES!A:BE,57,FALSE())</f>
        <v>#N/A</v>
      </c>
      <c r="V758" s="70"/>
      <c r="W758" s="71"/>
    </row>
    <row r="759" s="72" customFormat="true" ht="98.25" hidden="false" customHeight="true" outlineLevel="0" collapsed="false">
      <c r="A759" s="62" t="n">
        <f aca="false">A758+1</f>
        <v>752</v>
      </c>
      <c r="B759" s="63" t="e">
        <f aca="false">VLOOKUP(A759,BD_ORDENES!A:BG,12,FALSE())</f>
        <v>#N/A</v>
      </c>
      <c r="C759" s="64" t="n">
        <v>752</v>
      </c>
      <c r="D759" s="65" t="e">
        <f aca="false">VLOOKUP(A759,BD_ORDENES!A:BE,10,0)</f>
        <v>#N/A</v>
      </c>
      <c r="E759" s="66" t="e">
        <f aca="false">VLOOKUP(A759,BD_ORDENES!A:BG,4,FALSE())</f>
        <v>#N/A</v>
      </c>
      <c r="F759" s="66" t="e">
        <f aca="false">VLOOKUP(A759,BD_ORDENES!A:BE,56,FALSE())</f>
        <v>#N/A</v>
      </c>
      <c r="G759" s="67" t="e">
        <f aca="false">VLOOKUP(A759,BD_ORDENES!A:BE,13,FALSE())</f>
        <v>#N/A</v>
      </c>
      <c r="H759" s="68" t="e">
        <f aca="false">VLOOKUP(A759,BD_ORDENES!A:BE,17,FALSE())</f>
        <v>#N/A</v>
      </c>
      <c r="I759" s="68" t="e">
        <f aca="false">VLOOKUP(A759,BD_ORDENES!A:BE,18,FALSE())</f>
        <v>#N/A</v>
      </c>
      <c r="J759" s="68" t="e">
        <f aca="false">VLOOKUP(A759,BD_ORDENES!A:BE,19,FALSE())</f>
        <v>#N/A</v>
      </c>
      <c r="K759" s="68" t="e">
        <f aca="false">VLOOKUP(A759,BD_ORDENES!A:BE,20,FALSE())</f>
        <v>#N/A</v>
      </c>
      <c r="L759" s="68" t="e">
        <f aca="false">VLOOKUP(A759,BD_ORDENES!A:BE,21,FALSE())</f>
        <v>#N/A</v>
      </c>
      <c r="M759" s="69" t="e">
        <f aca="false">VLOOKUP(A759,BD_ORDENES!A:BE,14,FALSE())</f>
        <v>#N/A</v>
      </c>
      <c r="N759" s="68" t="e">
        <f aca="false">VLOOKUP(A759,BD_ORDENES!A:BE,15,FALSE())</f>
        <v>#N/A</v>
      </c>
      <c r="O759" s="68" t="e">
        <f aca="false">VLOOKUP(A759,BD_ORDENES!A:BE,33,FALSE())</f>
        <v>#N/A</v>
      </c>
      <c r="P759" s="68" t="e">
        <f aca="false">VLOOKUP(A759,BD_ORDENES!A:BE,23,FALSE())</f>
        <v>#N/A</v>
      </c>
      <c r="Q759" s="68" t="e">
        <f aca="false">VLOOKUP(A759,BD_ORDENES!A:BE,52,FALSE())</f>
        <v>#N/A</v>
      </c>
      <c r="R759" s="68" t="e">
        <f aca="false">VLOOKUP(A759,BD_ORDENES!A:BE,25,FALSE())</f>
        <v>#N/A</v>
      </c>
      <c r="S759" s="68" t="e">
        <f aca="false">VLOOKUP(A759,BD_ORDENES!A:BE,22,FALSE())</f>
        <v>#N/A</v>
      </c>
      <c r="T759" s="65" t="e">
        <f aca="false">VLOOKUP(A759,BD_ORDENES!A:BE,55,FALSE())</f>
        <v>#N/A</v>
      </c>
      <c r="U759" s="68" t="e">
        <f aca="false">VLOOKUP(A759,BD_ORDENES!A:BE,57,FALSE())</f>
        <v>#N/A</v>
      </c>
      <c r="V759" s="70"/>
      <c r="W759" s="71"/>
    </row>
    <row r="760" s="72" customFormat="true" ht="98.25" hidden="false" customHeight="true" outlineLevel="0" collapsed="false">
      <c r="A760" s="62" t="n">
        <f aca="false">A759+1</f>
        <v>753</v>
      </c>
      <c r="B760" s="63" t="e">
        <f aca="false">VLOOKUP(A760,BD_ORDENES!A:BG,12,FALSE())</f>
        <v>#N/A</v>
      </c>
      <c r="C760" s="64" t="n">
        <v>753</v>
      </c>
      <c r="D760" s="65" t="e">
        <f aca="false">VLOOKUP(A760,BD_ORDENES!A:BE,10,0)</f>
        <v>#N/A</v>
      </c>
      <c r="E760" s="66" t="e">
        <f aca="false">VLOOKUP(A760,BD_ORDENES!A:BG,4,FALSE())</f>
        <v>#N/A</v>
      </c>
      <c r="F760" s="66" t="e">
        <f aca="false">VLOOKUP(A760,BD_ORDENES!A:BE,56,FALSE())</f>
        <v>#N/A</v>
      </c>
      <c r="G760" s="67" t="e">
        <f aca="false">VLOOKUP(A760,BD_ORDENES!A:BE,13,FALSE())</f>
        <v>#N/A</v>
      </c>
      <c r="H760" s="68" t="e">
        <f aca="false">VLOOKUP(A760,BD_ORDENES!A:BE,17,FALSE())</f>
        <v>#N/A</v>
      </c>
      <c r="I760" s="68" t="e">
        <f aca="false">VLOOKUP(A760,BD_ORDENES!A:BE,18,FALSE())</f>
        <v>#N/A</v>
      </c>
      <c r="J760" s="68" t="e">
        <f aca="false">VLOOKUP(A760,BD_ORDENES!A:BE,19,FALSE())</f>
        <v>#N/A</v>
      </c>
      <c r="K760" s="68" t="e">
        <f aca="false">VLOOKUP(A760,BD_ORDENES!A:BE,20,FALSE())</f>
        <v>#N/A</v>
      </c>
      <c r="L760" s="68" t="e">
        <f aca="false">VLOOKUP(A760,BD_ORDENES!A:BE,21,FALSE())</f>
        <v>#N/A</v>
      </c>
      <c r="M760" s="69" t="e">
        <f aca="false">VLOOKUP(A760,BD_ORDENES!A:BE,14,FALSE())</f>
        <v>#N/A</v>
      </c>
      <c r="N760" s="68" t="e">
        <f aca="false">VLOOKUP(A760,BD_ORDENES!A:BE,15,FALSE())</f>
        <v>#N/A</v>
      </c>
      <c r="O760" s="68" t="e">
        <f aca="false">VLOOKUP(A760,BD_ORDENES!A:BE,33,FALSE())</f>
        <v>#N/A</v>
      </c>
      <c r="P760" s="68" t="e">
        <f aca="false">VLOOKUP(A760,BD_ORDENES!A:BE,23,FALSE())</f>
        <v>#N/A</v>
      </c>
      <c r="Q760" s="68" t="e">
        <f aca="false">VLOOKUP(A760,BD_ORDENES!A:BE,52,FALSE())</f>
        <v>#N/A</v>
      </c>
      <c r="R760" s="68" t="e">
        <f aca="false">VLOOKUP(A760,BD_ORDENES!A:BE,25,FALSE())</f>
        <v>#N/A</v>
      </c>
      <c r="S760" s="68" t="e">
        <f aca="false">VLOOKUP(A760,BD_ORDENES!A:BE,22,FALSE())</f>
        <v>#N/A</v>
      </c>
      <c r="T760" s="65" t="e">
        <f aca="false">VLOOKUP(A760,BD_ORDENES!A:BE,55,FALSE())</f>
        <v>#N/A</v>
      </c>
      <c r="U760" s="68" t="e">
        <f aca="false">VLOOKUP(A760,BD_ORDENES!A:BE,57,FALSE())</f>
        <v>#N/A</v>
      </c>
      <c r="V760" s="70"/>
      <c r="W760" s="71"/>
    </row>
    <row r="761" s="72" customFormat="true" ht="98.25" hidden="false" customHeight="true" outlineLevel="0" collapsed="false">
      <c r="A761" s="62" t="n">
        <f aca="false">A760+1</f>
        <v>754</v>
      </c>
      <c r="B761" s="63" t="e">
        <f aca="false">VLOOKUP(A761,BD_ORDENES!A:BG,12,FALSE())</f>
        <v>#N/A</v>
      </c>
      <c r="C761" s="64" t="n">
        <v>754</v>
      </c>
      <c r="D761" s="65" t="e">
        <f aca="false">VLOOKUP(A761,BD_ORDENES!A:BE,10,0)</f>
        <v>#N/A</v>
      </c>
      <c r="E761" s="66" t="e">
        <f aca="false">VLOOKUP(A761,BD_ORDENES!A:BG,4,FALSE())</f>
        <v>#N/A</v>
      </c>
      <c r="F761" s="66" t="e">
        <f aca="false">VLOOKUP(A761,BD_ORDENES!A:BE,56,FALSE())</f>
        <v>#N/A</v>
      </c>
      <c r="G761" s="67" t="e">
        <f aca="false">VLOOKUP(A761,BD_ORDENES!A:BE,13,FALSE())</f>
        <v>#N/A</v>
      </c>
      <c r="H761" s="68" t="e">
        <f aca="false">VLOOKUP(A761,BD_ORDENES!A:BE,17,FALSE())</f>
        <v>#N/A</v>
      </c>
      <c r="I761" s="68" t="e">
        <f aca="false">VLOOKUP(A761,BD_ORDENES!A:BE,18,FALSE())</f>
        <v>#N/A</v>
      </c>
      <c r="J761" s="68" t="e">
        <f aca="false">VLOOKUP(A761,BD_ORDENES!A:BE,19,FALSE())</f>
        <v>#N/A</v>
      </c>
      <c r="K761" s="68" t="e">
        <f aca="false">VLOOKUP(A761,BD_ORDENES!A:BE,20,FALSE())</f>
        <v>#N/A</v>
      </c>
      <c r="L761" s="68" t="e">
        <f aca="false">VLOOKUP(A761,BD_ORDENES!A:BE,21,FALSE())</f>
        <v>#N/A</v>
      </c>
      <c r="M761" s="69" t="e">
        <f aca="false">VLOOKUP(A761,BD_ORDENES!A:BE,14,FALSE())</f>
        <v>#N/A</v>
      </c>
      <c r="N761" s="68" t="e">
        <f aca="false">VLOOKUP(A761,BD_ORDENES!A:BE,15,FALSE())</f>
        <v>#N/A</v>
      </c>
      <c r="O761" s="68" t="e">
        <f aca="false">VLOOKUP(A761,BD_ORDENES!A:BE,33,FALSE())</f>
        <v>#N/A</v>
      </c>
      <c r="P761" s="68" t="e">
        <f aca="false">VLOOKUP(A761,BD_ORDENES!A:BE,23,FALSE())</f>
        <v>#N/A</v>
      </c>
      <c r="Q761" s="68" t="e">
        <f aca="false">VLOOKUP(A761,BD_ORDENES!A:BE,52,FALSE())</f>
        <v>#N/A</v>
      </c>
      <c r="R761" s="68" t="e">
        <f aca="false">VLOOKUP(A761,BD_ORDENES!A:BE,25,FALSE())</f>
        <v>#N/A</v>
      </c>
      <c r="S761" s="68" t="e">
        <f aca="false">VLOOKUP(A761,BD_ORDENES!A:BE,22,FALSE())</f>
        <v>#N/A</v>
      </c>
      <c r="T761" s="65" t="e">
        <f aca="false">VLOOKUP(A761,BD_ORDENES!A:BE,55,FALSE())</f>
        <v>#N/A</v>
      </c>
      <c r="U761" s="68" t="e">
        <f aca="false">VLOOKUP(A761,BD_ORDENES!A:BE,57,FALSE())</f>
        <v>#N/A</v>
      </c>
      <c r="V761" s="70"/>
      <c r="W761" s="71"/>
    </row>
    <row r="762" s="72" customFormat="true" ht="98.25" hidden="false" customHeight="true" outlineLevel="0" collapsed="false">
      <c r="A762" s="62" t="n">
        <f aca="false">A761+1</f>
        <v>755</v>
      </c>
      <c r="B762" s="63" t="e">
        <f aca="false">VLOOKUP(A762,BD_ORDENES!A:BG,12,FALSE())</f>
        <v>#N/A</v>
      </c>
      <c r="C762" s="64" t="n">
        <v>755</v>
      </c>
      <c r="D762" s="65" t="e">
        <f aca="false">VLOOKUP(A762,BD_ORDENES!A:BE,10,0)</f>
        <v>#N/A</v>
      </c>
      <c r="E762" s="66" t="e">
        <f aca="false">VLOOKUP(A762,BD_ORDENES!A:BG,4,FALSE())</f>
        <v>#N/A</v>
      </c>
      <c r="F762" s="66" t="e">
        <f aca="false">VLOOKUP(A762,BD_ORDENES!A:BE,56,FALSE())</f>
        <v>#N/A</v>
      </c>
      <c r="G762" s="67" t="e">
        <f aca="false">VLOOKUP(A762,BD_ORDENES!A:BE,13,FALSE())</f>
        <v>#N/A</v>
      </c>
      <c r="H762" s="68" t="e">
        <f aca="false">VLOOKUP(A762,BD_ORDENES!A:BE,17,FALSE())</f>
        <v>#N/A</v>
      </c>
      <c r="I762" s="68" t="e">
        <f aca="false">VLOOKUP(A762,BD_ORDENES!A:BE,18,FALSE())</f>
        <v>#N/A</v>
      </c>
      <c r="J762" s="68" t="e">
        <f aca="false">VLOOKUP(A762,BD_ORDENES!A:BE,19,FALSE())</f>
        <v>#N/A</v>
      </c>
      <c r="K762" s="68" t="e">
        <f aca="false">VLOOKUP(A762,BD_ORDENES!A:BE,20,FALSE())</f>
        <v>#N/A</v>
      </c>
      <c r="L762" s="68" t="e">
        <f aca="false">VLOOKUP(A762,BD_ORDENES!A:BE,21,FALSE())</f>
        <v>#N/A</v>
      </c>
      <c r="M762" s="69" t="e">
        <f aca="false">VLOOKUP(A762,BD_ORDENES!A:BE,14,FALSE())</f>
        <v>#N/A</v>
      </c>
      <c r="N762" s="68" t="e">
        <f aca="false">VLOOKUP(A762,BD_ORDENES!A:BE,15,FALSE())</f>
        <v>#N/A</v>
      </c>
      <c r="O762" s="68" t="e">
        <f aca="false">VLOOKUP(A762,BD_ORDENES!A:BE,33,FALSE())</f>
        <v>#N/A</v>
      </c>
      <c r="P762" s="68" t="e">
        <f aca="false">VLOOKUP(A762,BD_ORDENES!A:BE,23,FALSE())</f>
        <v>#N/A</v>
      </c>
      <c r="Q762" s="68" t="e">
        <f aca="false">VLOOKUP(A762,BD_ORDENES!A:BE,52,FALSE())</f>
        <v>#N/A</v>
      </c>
      <c r="R762" s="68" t="e">
        <f aca="false">VLOOKUP(A762,BD_ORDENES!A:BE,25,FALSE())</f>
        <v>#N/A</v>
      </c>
      <c r="S762" s="68" t="e">
        <f aca="false">VLOOKUP(A762,BD_ORDENES!A:BE,22,FALSE())</f>
        <v>#N/A</v>
      </c>
      <c r="T762" s="65" t="e">
        <f aca="false">VLOOKUP(A762,BD_ORDENES!A:BE,55,FALSE())</f>
        <v>#N/A</v>
      </c>
      <c r="U762" s="68" t="e">
        <f aca="false">VLOOKUP(A762,BD_ORDENES!A:BE,57,FALSE())</f>
        <v>#N/A</v>
      </c>
      <c r="V762" s="70"/>
      <c r="W762" s="71"/>
    </row>
    <row r="763" s="72" customFormat="true" ht="98.25" hidden="false" customHeight="true" outlineLevel="0" collapsed="false">
      <c r="A763" s="62" t="n">
        <f aca="false">A762+1</f>
        <v>756</v>
      </c>
      <c r="B763" s="63" t="e">
        <f aca="false">VLOOKUP(A763,BD_ORDENES!A:BG,12,FALSE())</f>
        <v>#N/A</v>
      </c>
      <c r="C763" s="64" t="n">
        <v>756</v>
      </c>
      <c r="D763" s="65" t="e">
        <f aca="false">VLOOKUP(A763,BD_ORDENES!A:BE,10,0)</f>
        <v>#N/A</v>
      </c>
      <c r="E763" s="66" t="e">
        <f aca="false">VLOOKUP(A763,BD_ORDENES!A:BG,4,FALSE())</f>
        <v>#N/A</v>
      </c>
      <c r="F763" s="66" t="e">
        <f aca="false">VLOOKUP(A763,BD_ORDENES!A:BE,56,FALSE())</f>
        <v>#N/A</v>
      </c>
      <c r="G763" s="67" t="e">
        <f aca="false">VLOOKUP(A763,BD_ORDENES!A:BE,13,FALSE())</f>
        <v>#N/A</v>
      </c>
      <c r="H763" s="68" t="e">
        <f aca="false">VLOOKUP(A763,BD_ORDENES!A:BE,17,FALSE())</f>
        <v>#N/A</v>
      </c>
      <c r="I763" s="68" t="e">
        <f aca="false">VLOOKUP(A763,BD_ORDENES!A:BE,18,FALSE())</f>
        <v>#N/A</v>
      </c>
      <c r="J763" s="68" t="e">
        <f aca="false">VLOOKUP(A763,BD_ORDENES!A:BE,19,FALSE())</f>
        <v>#N/A</v>
      </c>
      <c r="K763" s="68" t="e">
        <f aca="false">VLOOKUP(A763,BD_ORDENES!A:BE,20,FALSE())</f>
        <v>#N/A</v>
      </c>
      <c r="L763" s="68" t="e">
        <f aca="false">VLOOKUP(A763,BD_ORDENES!A:BE,21,FALSE())</f>
        <v>#N/A</v>
      </c>
      <c r="M763" s="69" t="e">
        <f aca="false">VLOOKUP(A763,BD_ORDENES!A:BE,14,FALSE())</f>
        <v>#N/A</v>
      </c>
      <c r="N763" s="68" t="e">
        <f aca="false">VLOOKUP(A763,BD_ORDENES!A:BE,15,FALSE())</f>
        <v>#N/A</v>
      </c>
      <c r="O763" s="68" t="e">
        <f aca="false">VLOOKUP(A763,BD_ORDENES!A:BE,33,FALSE())</f>
        <v>#N/A</v>
      </c>
      <c r="P763" s="68" t="e">
        <f aca="false">VLOOKUP(A763,BD_ORDENES!A:BE,23,FALSE())</f>
        <v>#N/A</v>
      </c>
      <c r="Q763" s="68" t="e">
        <f aca="false">VLOOKUP(A763,BD_ORDENES!A:BE,52,FALSE())</f>
        <v>#N/A</v>
      </c>
      <c r="R763" s="68" t="e">
        <f aca="false">VLOOKUP(A763,BD_ORDENES!A:BE,25,FALSE())</f>
        <v>#N/A</v>
      </c>
      <c r="S763" s="68" t="e">
        <f aca="false">VLOOKUP(A763,BD_ORDENES!A:BE,22,FALSE())</f>
        <v>#N/A</v>
      </c>
      <c r="T763" s="65" t="e">
        <f aca="false">VLOOKUP(A763,BD_ORDENES!A:BE,55,FALSE())</f>
        <v>#N/A</v>
      </c>
      <c r="U763" s="68" t="e">
        <f aca="false">VLOOKUP(A763,BD_ORDENES!A:BE,57,FALSE())</f>
        <v>#N/A</v>
      </c>
      <c r="V763" s="70"/>
      <c r="W763" s="71"/>
    </row>
    <row r="764" s="72" customFormat="true" ht="98.25" hidden="false" customHeight="true" outlineLevel="0" collapsed="false">
      <c r="A764" s="62" t="n">
        <f aca="false">A763+1</f>
        <v>757</v>
      </c>
      <c r="B764" s="63" t="e">
        <f aca="false">VLOOKUP(A764,BD_ORDENES!A:BG,12,FALSE())</f>
        <v>#N/A</v>
      </c>
      <c r="C764" s="64" t="n">
        <v>757</v>
      </c>
      <c r="D764" s="65" t="e">
        <f aca="false">VLOOKUP(A764,BD_ORDENES!A:BE,10,0)</f>
        <v>#N/A</v>
      </c>
      <c r="E764" s="66" t="e">
        <f aca="false">VLOOKUP(A764,BD_ORDENES!A:BG,4,FALSE())</f>
        <v>#N/A</v>
      </c>
      <c r="F764" s="66" t="e">
        <f aca="false">VLOOKUP(A764,BD_ORDENES!A:BE,56,FALSE())</f>
        <v>#N/A</v>
      </c>
      <c r="G764" s="67" t="e">
        <f aca="false">VLOOKUP(A764,BD_ORDENES!A:BE,13,FALSE())</f>
        <v>#N/A</v>
      </c>
      <c r="H764" s="68" t="e">
        <f aca="false">VLOOKUP(A764,BD_ORDENES!A:BE,17,FALSE())</f>
        <v>#N/A</v>
      </c>
      <c r="I764" s="68" t="e">
        <f aca="false">VLOOKUP(A764,BD_ORDENES!A:BE,18,FALSE())</f>
        <v>#N/A</v>
      </c>
      <c r="J764" s="68" t="e">
        <f aca="false">VLOOKUP(A764,BD_ORDENES!A:BE,19,FALSE())</f>
        <v>#N/A</v>
      </c>
      <c r="K764" s="68" t="e">
        <f aca="false">VLOOKUP(A764,BD_ORDENES!A:BE,20,FALSE())</f>
        <v>#N/A</v>
      </c>
      <c r="L764" s="68" t="e">
        <f aca="false">VLOOKUP(A764,BD_ORDENES!A:BE,21,FALSE())</f>
        <v>#N/A</v>
      </c>
      <c r="M764" s="69" t="e">
        <f aca="false">VLOOKUP(A764,BD_ORDENES!A:BE,14,FALSE())</f>
        <v>#N/A</v>
      </c>
      <c r="N764" s="68" t="e">
        <f aca="false">VLOOKUP(A764,BD_ORDENES!A:BE,15,FALSE())</f>
        <v>#N/A</v>
      </c>
      <c r="O764" s="68" t="e">
        <f aca="false">VLOOKUP(A764,BD_ORDENES!A:BE,33,FALSE())</f>
        <v>#N/A</v>
      </c>
      <c r="P764" s="68" t="e">
        <f aca="false">VLOOKUP(A764,BD_ORDENES!A:BE,23,FALSE())</f>
        <v>#N/A</v>
      </c>
      <c r="Q764" s="68" t="e">
        <f aca="false">VLOOKUP(A764,BD_ORDENES!A:BE,52,FALSE())</f>
        <v>#N/A</v>
      </c>
      <c r="R764" s="68" t="e">
        <f aca="false">VLOOKUP(A764,BD_ORDENES!A:BE,25,FALSE())</f>
        <v>#N/A</v>
      </c>
      <c r="S764" s="68" t="e">
        <f aca="false">VLOOKUP(A764,BD_ORDENES!A:BE,22,FALSE())</f>
        <v>#N/A</v>
      </c>
      <c r="T764" s="65" t="e">
        <f aca="false">VLOOKUP(A764,BD_ORDENES!A:BE,55,FALSE())</f>
        <v>#N/A</v>
      </c>
      <c r="U764" s="68" t="e">
        <f aca="false">VLOOKUP(A764,BD_ORDENES!A:BE,57,FALSE())</f>
        <v>#N/A</v>
      </c>
      <c r="V764" s="70"/>
      <c r="W764" s="71"/>
    </row>
    <row r="765" s="72" customFormat="true" ht="98.25" hidden="false" customHeight="true" outlineLevel="0" collapsed="false">
      <c r="A765" s="62" t="n">
        <f aca="false">A764+1</f>
        <v>758</v>
      </c>
      <c r="B765" s="63" t="e">
        <f aca="false">VLOOKUP(A765,BD_ORDENES!A:BG,12,FALSE())</f>
        <v>#N/A</v>
      </c>
      <c r="C765" s="64" t="n">
        <v>758</v>
      </c>
      <c r="D765" s="65" t="e">
        <f aca="false">VLOOKUP(A765,BD_ORDENES!A:BE,10,0)</f>
        <v>#N/A</v>
      </c>
      <c r="E765" s="66" t="e">
        <f aca="false">VLOOKUP(A765,BD_ORDENES!A:BG,4,FALSE())</f>
        <v>#N/A</v>
      </c>
      <c r="F765" s="66" t="e">
        <f aca="false">VLOOKUP(A765,BD_ORDENES!A:BE,56,FALSE())</f>
        <v>#N/A</v>
      </c>
      <c r="G765" s="67" t="e">
        <f aca="false">VLOOKUP(A765,BD_ORDENES!A:BE,13,FALSE())</f>
        <v>#N/A</v>
      </c>
      <c r="H765" s="68" t="e">
        <f aca="false">VLOOKUP(A765,BD_ORDENES!A:BE,17,FALSE())</f>
        <v>#N/A</v>
      </c>
      <c r="I765" s="68" t="e">
        <f aca="false">VLOOKUP(A765,BD_ORDENES!A:BE,18,FALSE())</f>
        <v>#N/A</v>
      </c>
      <c r="J765" s="68" t="e">
        <f aca="false">VLOOKUP(A765,BD_ORDENES!A:BE,19,FALSE())</f>
        <v>#N/A</v>
      </c>
      <c r="K765" s="68" t="e">
        <f aca="false">VLOOKUP(A765,BD_ORDENES!A:BE,20,FALSE())</f>
        <v>#N/A</v>
      </c>
      <c r="L765" s="68" t="e">
        <f aca="false">VLOOKUP(A765,BD_ORDENES!A:BE,21,FALSE())</f>
        <v>#N/A</v>
      </c>
      <c r="M765" s="69" t="e">
        <f aca="false">VLOOKUP(A765,BD_ORDENES!A:BE,14,FALSE())</f>
        <v>#N/A</v>
      </c>
      <c r="N765" s="68" t="e">
        <f aca="false">VLOOKUP(A765,BD_ORDENES!A:BE,15,FALSE())</f>
        <v>#N/A</v>
      </c>
      <c r="O765" s="68" t="e">
        <f aca="false">VLOOKUP(A765,BD_ORDENES!A:BE,33,FALSE())</f>
        <v>#N/A</v>
      </c>
      <c r="P765" s="68" t="e">
        <f aca="false">VLOOKUP(A765,BD_ORDENES!A:BE,23,FALSE())</f>
        <v>#N/A</v>
      </c>
      <c r="Q765" s="68" t="e">
        <f aca="false">VLOOKUP(A765,BD_ORDENES!A:BE,52,FALSE())</f>
        <v>#N/A</v>
      </c>
      <c r="R765" s="68" t="e">
        <f aca="false">VLOOKUP(A765,BD_ORDENES!A:BE,25,FALSE())</f>
        <v>#N/A</v>
      </c>
      <c r="S765" s="68" t="e">
        <f aca="false">VLOOKUP(A765,BD_ORDENES!A:BE,22,FALSE())</f>
        <v>#N/A</v>
      </c>
      <c r="T765" s="65" t="e">
        <f aca="false">VLOOKUP(A765,BD_ORDENES!A:BE,55,FALSE())</f>
        <v>#N/A</v>
      </c>
      <c r="U765" s="68" t="e">
        <f aca="false">VLOOKUP(A765,BD_ORDENES!A:BE,57,FALSE())</f>
        <v>#N/A</v>
      </c>
      <c r="V765" s="70"/>
      <c r="W765" s="71"/>
    </row>
    <row r="766" s="72" customFormat="true" ht="98.25" hidden="false" customHeight="true" outlineLevel="0" collapsed="false">
      <c r="A766" s="62" t="n">
        <f aca="false">A765+1</f>
        <v>759</v>
      </c>
      <c r="B766" s="63" t="e">
        <f aca="false">VLOOKUP(A766,BD_ORDENES!A:BG,12,FALSE())</f>
        <v>#N/A</v>
      </c>
      <c r="C766" s="64" t="n">
        <v>759</v>
      </c>
      <c r="D766" s="65" t="e">
        <f aca="false">VLOOKUP(A766,BD_ORDENES!A:BE,10,0)</f>
        <v>#N/A</v>
      </c>
      <c r="E766" s="66" t="e">
        <f aca="false">VLOOKUP(A766,BD_ORDENES!A:BG,4,FALSE())</f>
        <v>#N/A</v>
      </c>
      <c r="F766" s="66" t="e">
        <f aca="false">VLOOKUP(A766,BD_ORDENES!A:BE,56,FALSE())</f>
        <v>#N/A</v>
      </c>
      <c r="G766" s="67" t="e">
        <f aca="false">VLOOKUP(A766,BD_ORDENES!A:BE,13,FALSE())</f>
        <v>#N/A</v>
      </c>
      <c r="H766" s="68" t="e">
        <f aca="false">VLOOKUP(A766,BD_ORDENES!A:BE,17,FALSE())</f>
        <v>#N/A</v>
      </c>
      <c r="I766" s="68" t="e">
        <f aca="false">VLOOKUP(A766,BD_ORDENES!A:BE,18,FALSE())</f>
        <v>#N/A</v>
      </c>
      <c r="J766" s="68" t="e">
        <f aca="false">VLOOKUP(A766,BD_ORDENES!A:BE,19,FALSE())</f>
        <v>#N/A</v>
      </c>
      <c r="K766" s="68" t="e">
        <f aca="false">VLOOKUP(A766,BD_ORDENES!A:BE,20,FALSE())</f>
        <v>#N/A</v>
      </c>
      <c r="L766" s="68" t="e">
        <f aca="false">VLOOKUP(A766,BD_ORDENES!A:BE,21,FALSE())</f>
        <v>#N/A</v>
      </c>
      <c r="M766" s="69" t="e">
        <f aca="false">VLOOKUP(A766,BD_ORDENES!A:BE,14,FALSE())</f>
        <v>#N/A</v>
      </c>
      <c r="N766" s="68" t="e">
        <f aca="false">VLOOKUP(A766,BD_ORDENES!A:BE,15,FALSE())</f>
        <v>#N/A</v>
      </c>
      <c r="O766" s="68" t="e">
        <f aca="false">VLOOKUP(A766,BD_ORDENES!A:BE,33,FALSE())</f>
        <v>#N/A</v>
      </c>
      <c r="P766" s="68" t="e">
        <f aca="false">VLOOKUP(A766,BD_ORDENES!A:BE,23,FALSE())</f>
        <v>#N/A</v>
      </c>
      <c r="Q766" s="68" t="e">
        <f aca="false">VLOOKUP(A766,BD_ORDENES!A:BE,52,FALSE())</f>
        <v>#N/A</v>
      </c>
      <c r="R766" s="68" t="e">
        <f aca="false">VLOOKUP(A766,BD_ORDENES!A:BE,25,FALSE())</f>
        <v>#N/A</v>
      </c>
      <c r="S766" s="68" t="e">
        <f aca="false">VLOOKUP(A766,BD_ORDENES!A:BE,22,FALSE())</f>
        <v>#N/A</v>
      </c>
      <c r="T766" s="65" t="e">
        <f aca="false">VLOOKUP(A766,BD_ORDENES!A:BE,55,FALSE())</f>
        <v>#N/A</v>
      </c>
      <c r="U766" s="68" t="e">
        <f aca="false">VLOOKUP(A766,BD_ORDENES!A:BE,57,FALSE())</f>
        <v>#N/A</v>
      </c>
      <c r="V766" s="70"/>
      <c r="W766" s="71"/>
    </row>
    <row r="767" s="72" customFormat="true" ht="98.25" hidden="false" customHeight="true" outlineLevel="0" collapsed="false">
      <c r="A767" s="62" t="n">
        <f aca="false">A766+1</f>
        <v>760</v>
      </c>
      <c r="B767" s="63" t="e">
        <f aca="false">VLOOKUP(A767,BD_ORDENES!A:BG,12,FALSE())</f>
        <v>#N/A</v>
      </c>
      <c r="C767" s="64" t="n">
        <v>760</v>
      </c>
      <c r="D767" s="65" t="e">
        <f aca="false">VLOOKUP(A767,BD_ORDENES!A:BE,10,0)</f>
        <v>#N/A</v>
      </c>
      <c r="E767" s="66" t="e">
        <f aca="false">VLOOKUP(A767,BD_ORDENES!A:BG,4,FALSE())</f>
        <v>#N/A</v>
      </c>
      <c r="F767" s="66" t="e">
        <f aca="false">VLOOKUP(A767,BD_ORDENES!A:BE,56,FALSE())</f>
        <v>#N/A</v>
      </c>
      <c r="G767" s="67" t="e">
        <f aca="false">VLOOKUP(A767,BD_ORDENES!A:BE,13,FALSE())</f>
        <v>#N/A</v>
      </c>
      <c r="H767" s="68" t="e">
        <f aca="false">VLOOKUP(A767,BD_ORDENES!A:BE,17,FALSE())</f>
        <v>#N/A</v>
      </c>
      <c r="I767" s="68" t="e">
        <f aca="false">VLOOKUP(A767,BD_ORDENES!A:BE,18,FALSE())</f>
        <v>#N/A</v>
      </c>
      <c r="J767" s="68" t="e">
        <f aca="false">VLOOKUP(A767,BD_ORDENES!A:BE,19,FALSE())</f>
        <v>#N/A</v>
      </c>
      <c r="K767" s="68" t="e">
        <f aca="false">VLOOKUP(A767,BD_ORDENES!A:BE,20,FALSE())</f>
        <v>#N/A</v>
      </c>
      <c r="L767" s="68" t="e">
        <f aca="false">VLOOKUP(A767,BD_ORDENES!A:BE,21,FALSE())</f>
        <v>#N/A</v>
      </c>
      <c r="M767" s="69" t="e">
        <f aca="false">VLOOKUP(A767,BD_ORDENES!A:BE,14,FALSE())</f>
        <v>#N/A</v>
      </c>
      <c r="N767" s="68" t="e">
        <f aca="false">VLOOKUP(A767,BD_ORDENES!A:BE,15,FALSE())</f>
        <v>#N/A</v>
      </c>
      <c r="O767" s="68" t="e">
        <f aca="false">VLOOKUP(A767,BD_ORDENES!A:BE,33,FALSE())</f>
        <v>#N/A</v>
      </c>
      <c r="P767" s="68" t="e">
        <f aca="false">VLOOKUP(A767,BD_ORDENES!A:BE,23,FALSE())</f>
        <v>#N/A</v>
      </c>
      <c r="Q767" s="68" t="e">
        <f aca="false">VLOOKUP(A767,BD_ORDENES!A:BE,52,FALSE())</f>
        <v>#N/A</v>
      </c>
      <c r="R767" s="68" t="e">
        <f aca="false">VLOOKUP(A767,BD_ORDENES!A:BE,25,FALSE())</f>
        <v>#N/A</v>
      </c>
      <c r="S767" s="68" t="e">
        <f aca="false">VLOOKUP(A767,BD_ORDENES!A:BE,22,FALSE())</f>
        <v>#N/A</v>
      </c>
      <c r="T767" s="65" t="e">
        <f aca="false">VLOOKUP(A767,BD_ORDENES!A:BE,55,FALSE())</f>
        <v>#N/A</v>
      </c>
      <c r="U767" s="68" t="e">
        <f aca="false">VLOOKUP(A767,BD_ORDENES!A:BE,57,FALSE())</f>
        <v>#N/A</v>
      </c>
      <c r="V767" s="70"/>
      <c r="W767" s="71"/>
    </row>
    <row r="768" s="72" customFormat="true" ht="98.25" hidden="false" customHeight="true" outlineLevel="0" collapsed="false">
      <c r="A768" s="62" t="n">
        <f aca="false">A767+1</f>
        <v>761</v>
      </c>
      <c r="B768" s="63" t="e">
        <f aca="false">VLOOKUP(A768,BD_ORDENES!A:BG,12,FALSE())</f>
        <v>#N/A</v>
      </c>
      <c r="C768" s="64" t="n">
        <v>761</v>
      </c>
      <c r="D768" s="65" t="e">
        <f aca="false">VLOOKUP(A768,BD_ORDENES!A:BE,10,0)</f>
        <v>#N/A</v>
      </c>
      <c r="E768" s="66" t="e">
        <f aca="false">VLOOKUP(A768,BD_ORDENES!A:BG,4,FALSE())</f>
        <v>#N/A</v>
      </c>
      <c r="F768" s="66" t="e">
        <f aca="false">VLOOKUP(A768,BD_ORDENES!A:BE,56,FALSE())</f>
        <v>#N/A</v>
      </c>
      <c r="G768" s="67" t="e">
        <f aca="false">VLOOKUP(A768,BD_ORDENES!A:BE,13,FALSE())</f>
        <v>#N/A</v>
      </c>
      <c r="H768" s="68" t="e">
        <f aca="false">VLOOKUP(A768,BD_ORDENES!A:BE,17,FALSE())</f>
        <v>#N/A</v>
      </c>
      <c r="I768" s="68" t="e">
        <f aca="false">VLOOKUP(A768,BD_ORDENES!A:BE,18,FALSE())</f>
        <v>#N/A</v>
      </c>
      <c r="J768" s="68" t="e">
        <f aca="false">VLOOKUP(A768,BD_ORDENES!A:BE,19,FALSE())</f>
        <v>#N/A</v>
      </c>
      <c r="K768" s="68" t="e">
        <f aca="false">VLOOKUP(A768,BD_ORDENES!A:BE,20,FALSE())</f>
        <v>#N/A</v>
      </c>
      <c r="L768" s="68" t="e">
        <f aca="false">VLOOKUP(A768,BD_ORDENES!A:BE,21,FALSE())</f>
        <v>#N/A</v>
      </c>
      <c r="M768" s="69" t="e">
        <f aca="false">VLOOKUP(A768,BD_ORDENES!A:BE,14,FALSE())</f>
        <v>#N/A</v>
      </c>
      <c r="N768" s="68" t="e">
        <f aca="false">VLOOKUP(A768,BD_ORDENES!A:BE,15,FALSE())</f>
        <v>#N/A</v>
      </c>
      <c r="O768" s="68" t="e">
        <f aca="false">VLOOKUP(A768,BD_ORDENES!A:BE,33,FALSE())</f>
        <v>#N/A</v>
      </c>
      <c r="P768" s="68" t="e">
        <f aca="false">VLOOKUP(A768,BD_ORDENES!A:BE,23,FALSE())</f>
        <v>#N/A</v>
      </c>
      <c r="Q768" s="68" t="e">
        <f aca="false">VLOOKUP(A768,BD_ORDENES!A:BE,52,FALSE())</f>
        <v>#N/A</v>
      </c>
      <c r="R768" s="68" t="e">
        <f aca="false">VLOOKUP(A768,BD_ORDENES!A:BE,25,FALSE())</f>
        <v>#N/A</v>
      </c>
      <c r="S768" s="68" t="e">
        <f aca="false">VLOOKUP(A768,BD_ORDENES!A:BE,22,FALSE())</f>
        <v>#N/A</v>
      </c>
      <c r="T768" s="65" t="e">
        <f aca="false">VLOOKUP(A768,BD_ORDENES!A:BE,55,FALSE())</f>
        <v>#N/A</v>
      </c>
      <c r="U768" s="68" t="e">
        <f aca="false">VLOOKUP(A768,BD_ORDENES!A:BE,57,FALSE())</f>
        <v>#N/A</v>
      </c>
      <c r="V768" s="70"/>
      <c r="W768" s="71"/>
    </row>
    <row r="769" s="72" customFormat="true" ht="98.25" hidden="false" customHeight="true" outlineLevel="0" collapsed="false">
      <c r="A769" s="62" t="n">
        <f aca="false">A768+1</f>
        <v>762</v>
      </c>
      <c r="B769" s="63" t="e">
        <f aca="false">VLOOKUP(A769,BD_ORDENES!A:BG,12,FALSE())</f>
        <v>#N/A</v>
      </c>
      <c r="C769" s="64" t="n">
        <v>762</v>
      </c>
      <c r="D769" s="65" t="e">
        <f aca="false">VLOOKUP(A769,BD_ORDENES!A:BE,10,0)</f>
        <v>#N/A</v>
      </c>
      <c r="E769" s="66" t="e">
        <f aca="false">VLOOKUP(A769,BD_ORDENES!A:BG,4,FALSE())</f>
        <v>#N/A</v>
      </c>
      <c r="F769" s="66" t="e">
        <f aca="false">VLOOKUP(A769,BD_ORDENES!A:BE,56,FALSE())</f>
        <v>#N/A</v>
      </c>
      <c r="G769" s="67" t="e">
        <f aca="false">VLOOKUP(A769,BD_ORDENES!A:BE,13,FALSE())</f>
        <v>#N/A</v>
      </c>
      <c r="H769" s="68" t="e">
        <f aca="false">VLOOKUP(A769,BD_ORDENES!A:BE,17,FALSE())</f>
        <v>#N/A</v>
      </c>
      <c r="I769" s="68" t="e">
        <f aca="false">VLOOKUP(A769,BD_ORDENES!A:BE,18,FALSE())</f>
        <v>#N/A</v>
      </c>
      <c r="J769" s="68" t="e">
        <f aca="false">VLOOKUP(A769,BD_ORDENES!A:BE,19,FALSE())</f>
        <v>#N/A</v>
      </c>
      <c r="K769" s="68" t="e">
        <f aca="false">VLOOKUP(A769,BD_ORDENES!A:BE,20,FALSE())</f>
        <v>#N/A</v>
      </c>
      <c r="L769" s="68" t="e">
        <f aca="false">VLOOKUP(A769,BD_ORDENES!A:BE,21,FALSE())</f>
        <v>#N/A</v>
      </c>
      <c r="M769" s="69" t="e">
        <f aca="false">VLOOKUP(A769,BD_ORDENES!A:BE,14,FALSE())</f>
        <v>#N/A</v>
      </c>
      <c r="N769" s="68" t="e">
        <f aca="false">VLOOKUP(A769,BD_ORDENES!A:BE,15,FALSE())</f>
        <v>#N/A</v>
      </c>
      <c r="O769" s="68" t="e">
        <f aca="false">VLOOKUP(A769,BD_ORDENES!A:BE,33,FALSE())</f>
        <v>#N/A</v>
      </c>
      <c r="P769" s="68" t="e">
        <f aca="false">VLOOKUP(A769,BD_ORDENES!A:BE,23,FALSE())</f>
        <v>#N/A</v>
      </c>
      <c r="Q769" s="68" t="e">
        <f aca="false">VLOOKUP(A769,BD_ORDENES!A:BE,52,FALSE())</f>
        <v>#N/A</v>
      </c>
      <c r="R769" s="68" t="e">
        <f aca="false">VLOOKUP(A769,BD_ORDENES!A:BE,25,FALSE())</f>
        <v>#N/A</v>
      </c>
      <c r="S769" s="68" t="e">
        <f aca="false">VLOOKUP(A769,BD_ORDENES!A:BE,22,FALSE())</f>
        <v>#N/A</v>
      </c>
      <c r="T769" s="65" t="e">
        <f aca="false">VLOOKUP(A769,BD_ORDENES!A:BE,55,FALSE())</f>
        <v>#N/A</v>
      </c>
      <c r="U769" s="68" t="e">
        <f aca="false">VLOOKUP(A769,BD_ORDENES!A:BE,57,FALSE())</f>
        <v>#N/A</v>
      </c>
      <c r="V769" s="70"/>
      <c r="W769" s="71"/>
    </row>
    <row r="770" s="72" customFormat="true" ht="98.25" hidden="false" customHeight="true" outlineLevel="0" collapsed="false">
      <c r="A770" s="62" t="n">
        <f aca="false">A769+1</f>
        <v>763</v>
      </c>
      <c r="B770" s="63" t="e">
        <f aca="false">VLOOKUP(A770,BD_ORDENES!A:BG,12,FALSE())</f>
        <v>#N/A</v>
      </c>
      <c r="C770" s="64" t="n">
        <v>763</v>
      </c>
      <c r="D770" s="65" t="e">
        <f aca="false">VLOOKUP(A770,BD_ORDENES!A:BE,10,0)</f>
        <v>#N/A</v>
      </c>
      <c r="E770" s="66" t="e">
        <f aca="false">VLOOKUP(A770,BD_ORDENES!A:BG,4,FALSE())</f>
        <v>#N/A</v>
      </c>
      <c r="F770" s="66" t="e">
        <f aca="false">VLOOKUP(A770,BD_ORDENES!A:BE,56,FALSE())</f>
        <v>#N/A</v>
      </c>
      <c r="G770" s="67" t="e">
        <f aca="false">VLOOKUP(A770,BD_ORDENES!A:BE,13,FALSE())</f>
        <v>#N/A</v>
      </c>
      <c r="H770" s="68" t="e">
        <f aca="false">VLOOKUP(A770,BD_ORDENES!A:BE,17,FALSE())</f>
        <v>#N/A</v>
      </c>
      <c r="I770" s="68" t="e">
        <f aca="false">VLOOKUP(A770,BD_ORDENES!A:BE,18,FALSE())</f>
        <v>#N/A</v>
      </c>
      <c r="J770" s="68" t="e">
        <f aca="false">VLOOKUP(A770,BD_ORDENES!A:BE,19,FALSE())</f>
        <v>#N/A</v>
      </c>
      <c r="K770" s="68" t="e">
        <f aca="false">VLOOKUP(A770,BD_ORDENES!A:BE,20,FALSE())</f>
        <v>#N/A</v>
      </c>
      <c r="L770" s="68" t="e">
        <f aca="false">VLOOKUP(A770,BD_ORDENES!A:BE,21,FALSE())</f>
        <v>#N/A</v>
      </c>
      <c r="M770" s="69" t="e">
        <f aca="false">VLOOKUP(A770,BD_ORDENES!A:BE,14,FALSE())</f>
        <v>#N/A</v>
      </c>
      <c r="N770" s="68" t="e">
        <f aca="false">VLOOKUP(A770,BD_ORDENES!A:BE,15,FALSE())</f>
        <v>#N/A</v>
      </c>
      <c r="O770" s="68" t="e">
        <f aca="false">VLOOKUP(A770,BD_ORDENES!A:BE,33,FALSE())</f>
        <v>#N/A</v>
      </c>
      <c r="P770" s="68" t="e">
        <f aca="false">VLOOKUP(A770,BD_ORDENES!A:BE,23,FALSE())</f>
        <v>#N/A</v>
      </c>
      <c r="Q770" s="68" t="e">
        <f aca="false">VLOOKUP(A770,BD_ORDENES!A:BE,52,FALSE())</f>
        <v>#N/A</v>
      </c>
      <c r="R770" s="68" t="e">
        <f aca="false">VLOOKUP(A770,BD_ORDENES!A:BE,25,FALSE())</f>
        <v>#N/A</v>
      </c>
      <c r="S770" s="68" t="e">
        <f aca="false">VLOOKUP(A770,BD_ORDENES!A:BE,22,FALSE())</f>
        <v>#N/A</v>
      </c>
      <c r="T770" s="65" t="e">
        <f aca="false">VLOOKUP(A770,BD_ORDENES!A:BE,55,FALSE())</f>
        <v>#N/A</v>
      </c>
      <c r="U770" s="68" t="e">
        <f aca="false">VLOOKUP(A770,BD_ORDENES!A:BE,57,FALSE())</f>
        <v>#N/A</v>
      </c>
      <c r="V770" s="70"/>
      <c r="W770" s="71"/>
    </row>
    <row r="771" s="72" customFormat="true" ht="98.25" hidden="false" customHeight="true" outlineLevel="0" collapsed="false">
      <c r="A771" s="62" t="n">
        <f aca="false">A770+1</f>
        <v>764</v>
      </c>
      <c r="B771" s="63" t="e">
        <f aca="false">VLOOKUP(A771,BD_ORDENES!A:BG,12,FALSE())</f>
        <v>#N/A</v>
      </c>
      <c r="C771" s="64" t="n">
        <v>764</v>
      </c>
      <c r="D771" s="65" t="e">
        <f aca="false">VLOOKUP(A771,BD_ORDENES!A:BE,10,0)</f>
        <v>#N/A</v>
      </c>
      <c r="E771" s="66" t="e">
        <f aca="false">VLOOKUP(A771,BD_ORDENES!A:BG,4,FALSE())</f>
        <v>#N/A</v>
      </c>
      <c r="F771" s="66" t="e">
        <f aca="false">VLOOKUP(A771,BD_ORDENES!A:BE,56,FALSE())</f>
        <v>#N/A</v>
      </c>
      <c r="G771" s="67" t="e">
        <f aca="false">VLOOKUP(A771,BD_ORDENES!A:BE,13,FALSE())</f>
        <v>#N/A</v>
      </c>
      <c r="H771" s="68" t="e">
        <f aca="false">VLOOKUP(A771,BD_ORDENES!A:BE,17,FALSE())</f>
        <v>#N/A</v>
      </c>
      <c r="I771" s="68" t="e">
        <f aca="false">VLOOKUP(A771,BD_ORDENES!A:BE,18,FALSE())</f>
        <v>#N/A</v>
      </c>
      <c r="J771" s="68" t="e">
        <f aca="false">VLOOKUP(A771,BD_ORDENES!A:BE,19,FALSE())</f>
        <v>#N/A</v>
      </c>
      <c r="K771" s="68" t="e">
        <f aca="false">VLOOKUP(A771,BD_ORDENES!A:BE,20,FALSE())</f>
        <v>#N/A</v>
      </c>
      <c r="L771" s="68" t="e">
        <f aca="false">VLOOKUP(A771,BD_ORDENES!A:BE,21,FALSE())</f>
        <v>#N/A</v>
      </c>
      <c r="M771" s="69" t="e">
        <f aca="false">VLOOKUP(A771,BD_ORDENES!A:BE,14,FALSE())</f>
        <v>#N/A</v>
      </c>
      <c r="N771" s="68" t="e">
        <f aca="false">VLOOKUP(A771,BD_ORDENES!A:BE,15,FALSE())</f>
        <v>#N/A</v>
      </c>
      <c r="O771" s="68" t="e">
        <f aca="false">VLOOKUP(A771,BD_ORDENES!A:BE,33,FALSE())</f>
        <v>#N/A</v>
      </c>
      <c r="P771" s="68" t="e">
        <f aca="false">VLOOKUP(A771,BD_ORDENES!A:BE,23,FALSE())</f>
        <v>#N/A</v>
      </c>
      <c r="Q771" s="68" t="e">
        <f aca="false">VLOOKUP(A771,BD_ORDENES!A:BE,52,FALSE())</f>
        <v>#N/A</v>
      </c>
      <c r="R771" s="68" t="e">
        <f aca="false">VLOOKUP(A771,BD_ORDENES!A:BE,25,FALSE())</f>
        <v>#N/A</v>
      </c>
      <c r="S771" s="68" t="e">
        <f aca="false">VLOOKUP(A771,BD_ORDENES!A:BE,22,FALSE())</f>
        <v>#N/A</v>
      </c>
      <c r="T771" s="65" t="e">
        <f aca="false">VLOOKUP(A771,BD_ORDENES!A:BE,55,FALSE())</f>
        <v>#N/A</v>
      </c>
      <c r="U771" s="68" t="e">
        <f aca="false">VLOOKUP(A771,BD_ORDENES!A:BE,57,FALSE())</f>
        <v>#N/A</v>
      </c>
      <c r="V771" s="70"/>
      <c r="W771" s="71"/>
    </row>
    <row r="772" s="72" customFormat="true" ht="98.25" hidden="false" customHeight="true" outlineLevel="0" collapsed="false">
      <c r="A772" s="62" t="n">
        <f aca="false">A771+1</f>
        <v>765</v>
      </c>
      <c r="B772" s="63" t="e">
        <f aca="false">VLOOKUP(A772,BD_ORDENES!A:BG,12,FALSE())</f>
        <v>#N/A</v>
      </c>
      <c r="C772" s="64" t="n">
        <v>765</v>
      </c>
      <c r="D772" s="65" t="e">
        <f aca="false">VLOOKUP(A772,BD_ORDENES!A:BE,10,0)</f>
        <v>#N/A</v>
      </c>
      <c r="E772" s="66" t="e">
        <f aca="false">VLOOKUP(A772,BD_ORDENES!A:BG,4,FALSE())</f>
        <v>#N/A</v>
      </c>
      <c r="F772" s="66" t="e">
        <f aca="false">VLOOKUP(A772,BD_ORDENES!A:BE,56,FALSE())</f>
        <v>#N/A</v>
      </c>
      <c r="G772" s="67" t="e">
        <f aca="false">VLOOKUP(A772,BD_ORDENES!A:BE,13,FALSE())</f>
        <v>#N/A</v>
      </c>
      <c r="H772" s="68" t="e">
        <f aca="false">VLOOKUP(A772,BD_ORDENES!A:BE,17,FALSE())</f>
        <v>#N/A</v>
      </c>
      <c r="I772" s="68" t="e">
        <f aca="false">VLOOKUP(A772,BD_ORDENES!A:BE,18,FALSE())</f>
        <v>#N/A</v>
      </c>
      <c r="J772" s="68" t="e">
        <f aca="false">VLOOKUP(A772,BD_ORDENES!A:BE,19,FALSE())</f>
        <v>#N/A</v>
      </c>
      <c r="K772" s="68" t="e">
        <f aca="false">VLOOKUP(A772,BD_ORDENES!A:BE,20,FALSE())</f>
        <v>#N/A</v>
      </c>
      <c r="L772" s="68" t="e">
        <f aca="false">VLOOKUP(A772,BD_ORDENES!A:BE,21,FALSE())</f>
        <v>#N/A</v>
      </c>
      <c r="M772" s="69" t="e">
        <f aca="false">VLOOKUP(A772,BD_ORDENES!A:BE,14,FALSE())</f>
        <v>#N/A</v>
      </c>
      <c r="N772" s="68" t="e">
        <f aca="false">VLOOKUP(A772,BD_ORDENES!A:BE,15,FALSE())</f>
        <v>#N/A</v>
      </c>
      <c r="O772" s="68" t="e">
        <f aca="false">VLOOKUP(A772,BD_ORDENES!A:BE,33,FALSE())</f>
        <v>#N/A</v>
      </c>
      <c r="P772" s="68" t="e">
        <f aca="false">VLOOKUP(A772,BD_ORDENES!A:BE,23,FALSE())</f>
        <v>#N/A</v>
      </c>
      <c r="Q772" s="68" t="e">
        <f aca="false">VLOOKUP(A772,BD_ORDENES!A:BE,52,FALSE())</f>
        <v>#N/A</v>
      </c>
      <c r="R772" s="68" t="e">
        <f aca="false">VLOOKUP(A772,BD_ORDENES!A:BE,25,FALSE())</f>
        <v>#N/A</v>
      </c>
      <c r="S772" s="68" t="e">
        <f aca="false">VLOOKUP(A772,BD_ORDENES!A:BE,22,FALSE())</f>
        <v>#N/A</v>
      </c>
      <c r="T772" s="65" t="e">
        <f aca="false">VLOOKUP(A772,BD_ORDENES!A:BE,55,FALSE())</f>
        <v>#N/A</v>
      </c>
      <c r="U772" s="68" t="e">
        <f aca="false">VLOOKUP(A772,BD_ORDENES!A:BE,57,FALSE())</f>
        <v>#N/A</v>
      </c>
      <c r="V772" s="70"/>
      <c r="W772" s="71"/>
    </row>
    <row r="773" s="72" customFormat="true" ht="98.25" hidden="false" customHeight="true" outlineLevel="0" collapsed="false">
      <c r="A773" s="62" t="n">
        <f aca="false">A772+1</f>
        <v>766</v>
      </c>
      <c r="B773" s="63" t="e">
        <f aca="false">VLOOKUP(A773,BD_ORDENES!A:BG,12,FALSE())</f>
        <v>#N/A</v>
      </c>
      <c r="C773" s="64" t="n">
        <v>766</v>
      </c>
      <c r="D773" s="65" t="e">
        <f aca="false">VLOOKUP(A773,BD_ORDENES!A:BE,10,0)</f>
        <v>#N/A</v>
      </c>
      <c r="E773" s="66" t="e">
        <f aca="false">VLOOKUP(A773,BD_ORDENES!A:BG,4,FALSE())</f>
        <v>#N/A</v>
      </c>
      <c r="F773" s="66" t="e">
        <f aca="false">VLOOKUP(A773,BD_ORDENES!A:BE,56,FALSE())</f>
        <v>#N/A</v>
      </c>
      <c r="G773" s="67" t="e">
        <f aca="false">VLOOKUP(A773,BD_ORDENES!A:BE,13,FALSE())</f>
        <v>#N/A</v>
      </c>
      <c r="H773" s="68" t="e">
        <f aca="false">VLOOKUP(A773,BD_ORDENES!A:BE,17,FALSE())</f>
        <v>#N/A</v>
      </c>
      <c r="I773" s="68" t="e">
        <f aca="false">VLOOKUP(A773,BD_ORDENES!A:BE,18,FALSE())</f>
        <v>#N/A</v>
      </c>
      <c r="J773" s="68" t="e">
        <f aca="false">VLOOKUP(A773,BD_ORDENES!A:BE,19,FALSE())</f>
        <v>#N/A</v>
      </c>
      <c r="K773" s="68" t="e">
        <f aca="false">VLOOKUP(A773,BD_ORDENES!A:BE,20,FALSE())</f>
        <v>#N/A</v>
      </c>
      <c r="L773" s="68" t="e">
        <f aca="false">VLOOKUP(A773,BD_ORDENES!A:BE,21,FALSE())</f>
        <v>#N/A</v>
      </c>
      <c r="M773" s="69" t="e">
        <f aca="false">VLOOKUP(A773,BD_ORDENES!A:BE,14,FALSE())</f>
        <v>#N/A</v>
      </c>
      <c r="N773" s="68" t="e">
        <f aca="false">VLOOKUP(A773,BD_ORDENES!A:BE,15,FALSE())</f>
        <v>#N/A</v>
      </c>
      <c r="O773" s="68" t="e">
        <f aca="false">VLOOKUP(A773,BD_ORDENES!A:BE,33,FALSE())</f>
        <v>#N/A</v>
      </c>
      <c r="P773" s="68" t="e">
        <f aca="false">VLOOKUP(A773,BD_ORDENES!A:BE,23,FALSE())</f>
        <v>#N/A</v>
      </c>
      <c r="Q773" s="68" t="e">
        <f aca="false">VLOOKUP(A773,BD_ORDENES!A:BE,52,FALSE())</f>
        <v>#N/A</v>
      </c>
      <c r="R773" s="68" t="e">
        <f aca="false">VLOOKUP(A773,BD_ORDENES!A:BE,25,FALSE())</f>
        <v>#N/A</v>
      </c>
      <c r="S773" s="68" t="e">
        <f aca="false">VLOOKUP(A773,BD_ORDENES!A:BE,22,FALSE())</f>
        <v>#N/A</v>
      </c>
      <c r="T773" s="65" t="e">
        <f aca="false">VLOOKUP(A773,BD_ORDENES!A:BE,55,FALSE())</f>
        <v>#N/A</v>
      </c>
      <c r="U773" s="68" t="e">
        <f aca="false">VLOOKUP(A773,BD_ORDENES!A:BE,57,FALSE())</f>
        <v>#N/A</v>
      </c>
      <c r="V773" s="70"/>
      <c r="W773" s="71"/>
    </row>
    <row r="774" s="72" customFormat="true" ht="98.25" hidden="false" customHeight="true" outlineLevel="0" collapsed="false">
      <c r="A774" s="62" t="n">
        <f aca="false">A773+1</f>
        <v>767</v>
      </c>
      <c r="B774" s="63" t="e">
        <f aca="false">VLOOKUP(A774,BD_ORDENES!A:BG,12,FALSE())</f>
        <v>#N/A</v>
      </c>
      <c r="C774" s="64" t="n">
        <v>767</v>
      </c>
      <c r="D774" s="65" t="e">
        <f aca="false">VLOOKUP(A774,BD_ORDENES!A:BE,10,0)</f>
        <v>#N/A</v>
      </c>
      <c r="E774" s="66" t="e">
        <f aca="false">VLOOKUP(A774,BD_ORDENES!A:BG,4,FALSE())</f>
        <v>#N/A</v>
      </c>
      <c r="F774" s="66" t="e">
        <f aca="false">VLOOKUP(A774,BD_ORDENES!A:BE,56,FALSE())</f>
        <v>#N/A</v>
      </c>
      <c r="G774" s="67" t="e">
        <f aca="false">VLOOKUP(A774,BD_ORDENES!A:BE,13,FALSE())</f>
        <v>#N/A</v>
      </c>
      <c r="H774" s="68" t="e">
        <f aca="false">VLOOKUP(A774,BD_ORDENES!A:BE,17,FALSE())</f>
        <v>#N/A</v>
      </c>
      <c r="I774" s="68" t="e">
        <f aca="false">VLOOKUP(A774,BD_ORDENES!A:BE,18,FALSE())</f>
        <v>#N/A</v>
      </c>
      <c r="J774" s="68" t="e">
        <f aca="false">VLOOKUP(A774,BD_ORDENES!A:BE,19,FALSE())</f>
        <v>#N/A</v>
      </c>
      <c r="K774" s="68" t="e">
        <f aca="false">VLOOKUP(A774,BD_ORDENES!A:BE,20,FALSE())</f>
        <v>#N/A</v>
      </c>
      <c r="L774" s="68" t="e">
        <f aca="false">VLOOKUP(A774,BD_ORDENES!A:BE,21,FALSE())</f>
        <v>#N/A</v>
      </c>
      <c r="M774" s="69" t="e">
        <f aca="false">VLOOKUP(A774,BD_ORDENES!A:BE,14,FALSE())</f>
        <v>#N/A</v>
      </c>
      <c r="N774" s="68" t="e">
        <f aca="false">VLOOKUP(A774,BD_ORDENES!A:BE,15,FALSE())</f>
        <v>#N/A</v>
      </c>
      <c r="O774" s="68" t="e">
        <f aca="false">VLOOKUP(A774,BD_ORDENES!A:BE,33,FALSE())</f>
        <v>#N/A</v>
      </c>
      <c r="P774" s="68" t="e">
        <f aca="false">VLOOKUP(A774,BD_ORDENES!A:BE,23,FALSE())</f>
        <v>#N/A</v>
      </c>
      <c r="Q774" s="68" t="e">
        <f aca="false">VLOOKUP(A774,BD_ORDENES!A:BE,52,FALSE())</f>
        <v>#N/A</v>
      </c>
      <c r="R774" s="68" t="e">
        <f aca="false">VLOOKUP(A774,BD_ORDENES!A:BE,25,FALSE())</f>
        <v>#N/A</v>
      </c>
      <c r="S774" s="68" t="e">
        <f aca="false">VLOOKUP(A774,BD_ORDENES!A:BE,22,FALSE())</f>
        <v>#N/A</v>
      </c>
      <c r="T774" s="65" t="e">
        <f aca="false">VLOOKUP(A774,BD_ORDENES!A:BE,55,FALSE())</f>
        <v>#N/A</v>
      </c>
      <c r="U774" s="68" t="e">
        <f aca="false">VLOOKUP(A774,BD_ORDENES!A:BE,57,FALSE())</f>
        <v>#N/A</v>
      </c>
      <c r="V774" s="70"/>
      <c r="W774" s="71"/>
    </row>
    <row r="775" s="72" customFormat="true" ht="98.25" hidden="false" customHeight="true" outlineLevel="0" collapsed="false">
      <c r="A775" s="62" t="n">
        <f aca="false">A774+1</f>
        <v>768</v>
      </c>
      <c r="B775" s="63" t="e">
        <f aca="false">VLOOKUP(A775,BD_ORDENES!A:BG,12,FALSE())</f>
        <v>#N/A</v>
      </c>
      <c r="C775" s="64" t="n">
        <v>768</v>
      </c>
      <c r="D775" s="65" t="e">
        <f aca="false">VLOOKUP(A775,BD_ORDENES!A:BE,10,0)</f>
        <v>#N/A</v>
      </c>
      <c r="E775" s="66" t="e">
        <f aca="false">VLOOKUP(A775,BD_ORDENES!A:BG,4,FALSE())</f>
        <v>#N/A</v>
      </c>
      <c r="F775" s="66" t="e">
        <f aca="false">VLOOKUP(A775,BD_ORDENES!A:BE,56,FALSE())</f>
        <v>#N/A</v>
      </c>
      <c r="G775" s="67" t="e">
        <f aca="false">VLOOKUP(A775,BD_ORDENES!A:BE,13,FALSE())</f>
        <v>#N/A</v>
      </c>
      <c r="H775" s="68" t="e">
        <f aca="false">VLOOKUP(A775,BD_ORDENES!A:BE,17,FALSE())</f>
        <v>#N/A</v>
      </c>
      <c r="I775" s="68" t="e">
        <f aca="false">VLOOKUP(A775,BD_ORDENES!A:BE,18,FALSE())</f>
        <v>#N/A</v>
      </c>
      <c r="J775" s="68" t="e">
        <f aca="false">VLOOKUP(A775,BD_ORDENES!A:BE,19,FALSE())</f>
        <v>#N/A</v>
      </c>
      <c r="K775" s="68" t="e">
        <f aca="false">VLOOKUP(A775,BD_ORDENES!A:BE,20,FALSE())</f>
        <v>#N/A</v>
      </c>
      <c r="L775" s="68" t="e">
        <f aca="false">VLOOKUP(A775,BD_ORDENES!A:BE,21,FALSE())</f>
        <v>#N/A</v>
      </c>
      <c r="M775" s="69" t="e">
        <f aca="false">VLOOKUP(A775,BD_ORDENES!A:BE,14,FALSE())</f>
        <v>#N/A</v>
      </c>
      <c r="N775" s="68" t="e">
        <f aca="false">VLOOKUP(A775,BD_ORDENES!A:BE,15,FALSE())</f>
        <v>#N/A</v>
      </c>
      <c r="O775" s="68" t="e">
        <f aca="false">VLOOKUP(A775,BD_ORDENES!A:BE,33,FALSE())</f>
        <v>#N/A</v>
      </c>
      <c r="P775" s="68" t="e">
        <f aca="false">VLOOKUP(A775,BD_ORDENES!A:BE,23,FALSE())</f>
        <v>#N/A</v>
      </c>
      <c r="Q775" s="68" t="e">
        <f aca="false">VLOOKUP(A775,BD_ORDENES!A:BE,52,FALSE())</f>
        <v>#N/A</v>
      </c>
      <c r="R775" s="68" t="e">
        <f aca="false">VLOOKUP(A775,BD_ORDENES!A:BE,25,FALSE())</f>
        <v>#N/A</v>
      </c>
      <c r="S775" s="68" t="e">
        <f aca="false">VLOOKUP(A775,BD_ORDENES!A:BE,22,FALSE())</f>
        <v>#N/A</v>
      </c>
      <c r="T775" s="65" t="e">
        <f aca="false">VLOOKUP(A775,BD_ORDENES!A:BE,55,FALSE())</f>
        <v>#N/A</v>
      </c>
      <c r="U775" s="68" t="e">
        <f aca="false">VLOOKUP(A775,BD_ORDENES!A:BE,57,FALSE())</f>
        <v>#N/A</v>
      </c>
      <c r="V775" s="70"/>
      <c r="W775" s="71"/>
    </row>
    <row r="776" s="72" customFormat="true" ht="98.25" hidden="false" customHeight="true" outlineLevel="0" collapsed="false">
      <c r="A776" s="62" t="n">
        <f aca="false">A775+1</f>
        <v>769</v>
      </c>
      <c r="B776" s="63" t="e">
        <f aca="false">VLOOKUP(A776,BD_ORDENES!A:BG,12,FALSE())</f>
        <v>#N/A</v>
      </c>
      <c r="C776" s="64" t="n">
        <v>769</v>
      </c>
      <c r="D776" s="65" t="e">
        <f aca="false">VLOOKUP(A776,BD_ORDENES!A:BE,10,0)</f>
        <v>#N/A</v>
      </c>
      <c r="E776" s="66" t="e">
        <f aca="false">VLOOKUP(A776,BD_ORDENES!A:BG,4,FALSE())</f>
        <v>#N/A</v>
      </c>
      <c r="F776" s="66" t="e">
        <f aca="false">VLOOKUP(A776,BD_ORDENES!A:BE,56,FALSE())</f>
        <v>#N/A</v>
      </c>
      <c r="G776" s="67" t="e">
        <f aca="false">VLOOKUP(A776,BD_ORDENES!A:BE,13,FALSE())</f>
        <v>#N/A</v>
      </c>
      <c r="H776" s="68" t="e">
        <f aca="false">VLOOKUP(A776,BD_ORDENES!A:BE,17,FALSE())</f>
        <v>#N/A</v>
      </c>
      <c r="I776" s="68" t="e">
        <f aca="false">VLOOKUP(A776,BD_ORDENES!A:BE,18,FALSE())</f>
        <v>#N/A</v>
      </c>
      <c r="J776" s="68" t="e">
        <f aca="false">VLOOKUP(A776,BD_ORDENES!A:BE,19,FALSE())</f>
        <v>#N/A</v>
      </c>
      <c r="K776" s="68" t="e">
        <f aca="false">VLOOKUP(A776,BD_ORDENES!A:BE,20,FALSE())</f>
        <v>#N/A</v>
      </c>
      <c r="L776" s="68" t="e">
        <f aca="false">VLOOKUP(A776,BD_ORDENES!A:BE,21,FALSE())</f>
        <v>#N/A</v>
      </c>
      <c r="M776" s="69" t="e">
        <f aca="false">VLOOKUP(A776,BD_ORDENES!A:BE,14,FALSE())</f>
        <v>#N/A</v>
      </c>
      <c r="N776" s="68" t="e">
        <f aca="false">VLOOKUP(A776,BD_ORDENES!A:BE,15,FALSE())</f>
        <v>#N/A</v>
      </c>
      <c r="O776" s="68" t="e">
        <f aca="false">VLOOKUP(A776,BD_ORDENES!A:BE,33,FALSE())</f>
        <v>#N/A</v>
      </c>
      <c r="P776" s="68" t="e">
        <f aca="false">VLOOKUP(A776,BD_ORDENES!A:BE,23,FALSE())</f>
        <v>#N/A</v>
      </c>
      <c r="Q776" s="68" t="e">
        <f aca="false">VLOOKUP(A776,BD_ORDENES!A:BE,52,FALSE())</f>
        <v>#N/A</v>
      </c>
      <c r="R776" s="68" t="e">
        <f aca="false">VLOOKUP(A776,BD_ORDENES!A:BE,25,FALSE())</f>
        <v>#N/A</v>
      </c>
      <c r="S776" s="68" t="e">
        <f aca="false">VLOOKUP(A776,BD_ORDENES!A:BE,22,FALSE())</f>
        <v>#N/A</v>
      </c>
      <c r="T776" s="65" t="e">
        <f aca="false">VLOOKUP(A776,BD_ORDENES!A:BE,55,FALSE())</f>
        <v>#N/A</v>
      </c>
      <c r="U776" s="68" t="e">
        <f aca="false">VLOOKUP(A776,BD_ORDENES!A:BE,57,FALSE())</f>
        <v>#N/A</v>
      </c>
      <c r="V776" s="70"/>
      <c r="W776" s="71"/>
    </row>
    <row r="777" s="72" customFormat="true" ht="98.25" hidden="false" customHeight="true" outlineLevel="0" collapsed="false">
      <c r="A777" s="62" t="n">
        <f aca="false">A776+1</f>
        <v>770</v>
      </c>
      <c r="B777" s="63" t="e">
        <f aca="false">VLOOKUP(A777,BD_ORDENES!A:BG,12,FALSE())</f>
        <v>#N/A</v>
      </c>
      <c r="C777" s="64" t="n">
        <v>770</v>
      </c>
      <c r="D777" s="65" t="e">
        <f aca="false">VLOOKUP(A777,BD_ORDENES!A:BE,10,0)</f>
        <v>#N/A</v>
      </c>
      <c r="E777" s="66" t="e">
        <f aca="false">VLOOKUP(A777,BD_ORDENES!A:BG,4,FALSE())</f>
        <v>#N/A</v>
      </c>
      <c r="F777" s="66" t="e">
        <f aca="false">VLOOKUP(A777,BD_ORDENES!A:BE,56,FALSE())</f>
        <v>#N/A</v>
      </c>
      <c r="G777" s="67" t="e">
        <f aca="false">VLOOKUP(A777,BD_ORDENES!A:BE,13,FALSE())</f>
        <v>#N/A</v>
      </c>
      <c r="H777" s="68" t="e">
        <f aca="false">VLOOKUP(A777,BD_ORDENES!A:BE,17,FALSE())</f>
        <v>#N/A</v>
      </c>
      <c r="I777" s="68" t="e">
        <f aca="false">VLOOKUP(A777,BD_ORDENES!A:BE,18,FALSE())</f>
        <v>#N/A</v>
      </c>
      <c r="J777" s="68" t="e">
        <f aca="false">VLOOKUP(A777,BD_ORDENES!A:BE,19,FALSE())</f>
        <v>#N/A</v>
      </c>
      <c r="K777" s="68" t="e">
        <f aca="false">VLOOKUP(A777,BD_ORDENES!A:BE,20,FALSE())</f>
        <v>#N/A</v>
      </c>
      <c r="L777" s="68" t="e">
        <f aca="false">VLOOKUP(A777,BD_ORDENES!A:BE,21,FALSE())</f>
        <v>#N/A</v>
      </c>
      <c r="M777" s="69" t="e">
        <f aca="false">VLOOKUP(A777,BD_ORDENES!A:BE,14,FALSE())</f>
        <v>#N/A</v>
      </c>
      <c r="N777" s="68" t="e">
        <f aca="false">VLOOKUP(A777,BD_ORDENES!A:BE,15,FALSE())</f>
        <v>#N/A</v>
      </c>
      <c r="O777" s="68" t="e">
        <f aca="false">VLOOKUP(A777,BD_ORDENES!A:BE,33,FALSE())</f>
        <v>#N/A</v>
      </c>
      <c r="P777" s="68" t="e">
        <f aca="false">VLOOKUP(A777,BD_ORDENES!A:BE,23,FALSE())</f>
        <v>#N/A</v>
      </c>
      <c r="Q777" s="68" t="e">
        <f aca="false">VLOOKUP(A777,BD_ORDENES!A:BE,52,FALSE())</f>
        <v>#N/A</v>
      </c>
      <c r="R777" s="68" t="e">
        <f aca="false">VLOOKUP(A777,BD_ORDENES!A:BE,25,FALSE())</f>
        <v>#N/A</v>
      </c>
      <c r="S777" s="68" t="e">
        <f aca="false">VLOOKUP(A777,BD_ORDENES!A:BE,22,FALSE())</f>
        <v>#N/A</v>
      </c>
      <c r="T777" s="65" t="e">
        <f aca="false">VLOOKUP(A777,BD_ORDENES!A:BE,55,FALSE())</f>
        <v>#N/A</v>
      </c>
      <c r="U777" s="68" t="e">
        <f aca="false">VLOOKUP(A777,BD_ORDENES!A:BE,57,FALSE())</f>
        <v>#N/A</v>
      </c>
      <c r="V777" s="70"/>
      <c r="W777" s="71"/>
    </row>
    <row r="778" s="72" customFormat="true" ht="98.25" hidden="false" customHeight="true" outlineLevel="0" collapsed="false">
      <c r="A778" s="62" t="n">
        <f aca="false">A777+1</f>
        <v>771</v>
      </c>
      <c r="B778" s="63" t="e">
        <f aca="false">VLOOKUP(A778,BD_ORDENES!A:BG,12,FALSE())</f>
        <v>#N/A</v>
      </c>
      <c r="C778" s="64" t="n">
        <v>771</v>
      </c>
      <c r="D778" s="65" t="e">
        <f aca="false">VLOOKUP(A778,BD_ORDENES!A:BE,10,0)</f>
        <v>#N/A</v>
      </c>
      <c r="E778" s="66" t="e">
        <f aca="false">VLOOKUP(A778,BD_ORDENES!A:BG,4,FALSE())</f>
        <v>#N/A</v>
      </c>
      <c r="F778" s="66" t="e">
        <f aca="false">VLOOKUP(A778,BD_ORDENES!A:BE,56,FALSE())</f>
        <v>#N/A</v>
      </c>
      <c r="G778" s="67" t="e">
        <f aca="false">VLOOKUP(A778,BD_ORDENES!A:BE,13,FALSE())</f>
        <v>#N/A</v>
      </c>
      <c r="H778" s="68" t="e">
        <f aca="false">VLOOKUP(A778,BD_ORDENES!A:BE,17,FALSE())</f>
        <v>#N/A</v>
      </c>
      <c r="I778" s="68" t="e">
        <f aca="false">VLOOKUP(A778,BD_ORDENES!A:BE,18,FALSE())</f>
        <v>#N/A</v>
      </c>
      <c r="J778" s="68" t="e">
        <f aca="false">VLOOKUP(A778,BD_ORDENES!A:BE,19,FALSE())</f>
        <v>#N/A</v>
      </c>
      <c r="K778" s="68" t="e">
        <f aca="false">VLOOKUP(A778,BD_ORDENES!A:BE,20,FALSE())</f>
        <v>#N/A</v>
      </c>
      <c r="L778" s="68" t="e">
        <f aca="false">VLOOKUP(A778,BD_ORDENES!A:BE,21,FALSE())</f>
        <v>#N/A</v>
      </c>
      <c r="M778" s="69" t="e">
        <f aca="false">VLOOKUP(A778,BD_ORDENES!A:BE,14,FALSE())</f>
        <v>#N/A</v>
      </c>
      <c r="N778" s="68" t="e">
        <f aca="false">VLOOKUP(A778,BD_ORDENES!A:BE,15,FALSE())</f>
        <v>#N/A</v>
      </c>
      <c r="O778" s="68" t="e">
        <f aca="false">VLOOKUP(A778,BD_ORDENES!A:BE,33,FALSE())</f>
        <v>#N/A</v>
      </c>
      <c r="P778" s="68" t="e">
        <f aca="false">VLOOKUP(A778,BD_ORDENES!A:BE,23,FALSE())</f>
        <v>#N/A</v>
      </c>
      <c r="Q778" s="68" t="e">
        <f aca="false">VLOOKUP(A778,BD_ORDENES!A:BE,52,FALSE())</f>
        <v>#N/A</v>
      </c>
      <c r="R778" s="68" t="e">
        <f aca="false">VLOOKUP(A778,BD_ORDENES!A:BE,25,FALSE())</f>
        <v>#N/A</v>
      </c>
      <c r="S778" s="68" t="e">
        <f aca="false">VLOOKUP(A778,BD_ORDENES!A:BE,22,FALSE())</f>
        <v>#N/A</v>
      </c>
      <c r="T778" s="65" t="e">
        <f aca="false">VLOOKUP(A778,BD_ORDENES!A:BE,55,FALSE())</f>
        <v>#N/A</v>
      </c>
      <c r="U778" s="68" t="e">
        <f aca="false">VLOOKUP(A778,BD_ORDENES!A:BE,57,FALSE())</f>
        <v>#N/A</v>
      </c>
      <c r="V778" s="70"/>
      <c r="W778" s="71"/>
    </row>
    <row r="779" s="72" customFormat="true" ht="98.25" hidden="false" customHeight="true" outlineLevel="0" collapsed="false">
      <c r="A779" s="62" t="n">
        <f aca="false">A778+1</f>
        <v>772</v>
      </c>
      <c r="B779" s="63" t="e">
        <f aca="false">VLOOKUP(A779,BD_ORDENES!A:BG,12,FALSE())</f>
        <v>#N/A</v>
      </c>
      <c r="C779" s="64" t="n">
        <v>772</v>
      </c>
      <c r="D779" s="65" t="e">
        <f aca="false">VLOOKUP(A779,BD_ORDENES!A:BE,10,0)</f>
        <v>#N/A</v>
      </c>
      <c r="E779" s="66" t="e">
        <f aca="false">VLOOKUP(A779,BD_ORDENES!A:BG,4,FALSE())</f>
        <v>#N/A</v>
      </c>
      <c r="F779" s="66" t="e">
        <f aca="false">VLOOKUP(A779,BD_ORDENES!A:BE,56,FALSE())</f>
        <v>#N/A</v>
      </c>
      <c r="G779" s="67" t="e">
        <f aca="false">VLOOKUP(A779,BD_ORDENES!A:BE,13,FALSE())</f>
        <v>#N/A</v>
      </c>
      <c r="H779" s="68" t="e">
        <f aca="false">VLOOKUP(A779,BD_ORDENES!A:BE,17,FALSE())</f>
        <v>#N/A</v>
      </c>
      <c r="I779" s="68" t="e">
        <f aca="false">VLOOKUP(A779,BD_ORDENES!A:BE,18,FALSE())</f>
        <v>#N/A</v>
      </c>
      <c r="J779" s="68" t="e">
        <f aca="false">VLOOKUP(A779,BD_ORDENES!A:BE,19,FALSE())</f>
        <v>#N/A</v>
      </c>
      <c r="K779" s="68" t="e">
        <f aca="false">VLOOKUP(A779,BD_ORDENES!A:BE,20,FALSE())</f>
        <v>#N/A</v>
      </c>
      <c r="L779" s="68" t="e">
        <f aca="false">VLOOKUP(A779,BD_ORDENES!A:BE,21,FALSE())</f>
        <v>#N/A</v>
      </c>
      <c r="M779" s="69" t="e">
        <f aca="false">VLOOKUP(A779,BD_ORDENES!A:BE,14,FALSE())</f>
        <v>#N/A</v>
      </c>
      <c r="N779" s="68" t="e">
        <f aca="false">VLOOKUP(A779,BD_ORDENES!A:BE,15,FALSE())</f>
        <v>#N/A</v>
      </c>
      <c r="O779" s="68" t="e">
        <f aca="false">VLOOKUP(A779,BD_ORDENES!A:BE,33,FALSE())</f>
        <v>#N/A</v>
      </c>
      <c r="P779" s="68" t="e">
        <f aca="false">VLOOKUP(A779,BD_ORDENES!A:BE,23,FALSE())</f>
        <v>#N/A</v>
      </c>
      <c r="Q779" s="68" t="e">
        <f aca="false">VLOOKUP(A779,BD_ORDENES!A:BE,52,FALSE())</f>
        <v>#N/A</v>
      </c>
      <c r="R779" s="68" t="e">
        <f aca="false">VLOOKUP(A779,BD_ORDENES!A:BE,25,FALSE())</f>
        <v>#N/A</v>
      </c>
      <c r="S779" s="68" t="e">
        <f aca="false">VLOOKUP(A779,BD_ORDENES!A:BE,22,FALSE())</f>
        <v>#N/A</v>
      </c>
      <c r="T779" s="65" t="e">
        <f aca="false">VLOOKUP(A779,BD_ORDENES!A:BE,55,FALSE())</f>
        <v>#N/A</v>
      </c>
      <c r="U779" s="68" t="e">
        <f aca="false">VLOOKUP(A779,BD_ORDENES!A:BE,57,FALSE())</f>
        <v>#N/A</v>
      </c>
      <c r="V779" s="70"/>
      <c r="W779" s="71"/>
    </row>
    <row r="780" s="72" customFormat="true" ht="98.25" hidden="false" customHeight="true" outlineLevel="0" collapsed="false">
      <c r="A780" s="62" t="n">
        <f aca="false">A779+1</f>
        <v>773</v>
      </c>
      <c r="B780" s="63" t="e">
        <f aca="false">VLOOKUP(A780,BD_ORDENES!A:BG,12,FALSE())</f>
        <v>#N/A</v>
      </c>
      <c r="C780" s="64" t="n">
        <v>773</v>
      </c>
      <c r="D780" s="65" t="e">
        <f aca="false">VLOOKUP(A780,BD_ORDENES!A:BE,10,0)</f>
        <v>#N/A</v>
      </c>
      <c r="E780" s="66" t="e">
        <f aca="false">VLOOKUP(A780,BD_ORDENES!A:BG,4,FALSE())</f>
        <v>#N/A</v>
      </c>
      <c r="F780" s="66" t="e">
        <f aca="false">VLOOKUP(A780,BD_ORDENES!A:BE,56,FALSE())</f>
        <v>#N/A</v>
      </c>
      <c r="G780" s="67" t="e">
        <f aca="false">VLOOKUP(A780,BD_ORDENES!A:BE,13,FALSE())</f>
        <v>#N/A</v>
      </c>
      <c r="H780" s="68" t="e">
        <f aca="false">VLOOKUP(A780,BD_ORDENES!A:BE,17,FALSE())</f>
        <v>#N/A</v>
      </c>
      <c r="I780" s="68" t="e">
        <f aca="false">VLOOKUP(A780,BD_ORDENES!A:BE,18,FALSE())</f>
        <v>#N/A</v>
      </c>
      <c r="J780" s="68" t="e">
        <f aca="false">VLOOKUP(A780,BD_ORDENES!A:BE,19,FALSE())</f>
        <v>#N/A</v>
      </c>
      <c r="K780" s="68" t="e">
        <f aca="false">VLOOKUP(A780,BD_ORDENES!A:BE,20,FALSE())</f>
        <v>#N/A</v>
      </c>
      <c r="L780" s="68" t="e">
        <f aca="false">VLOOKUP(A780,BD_ORDENES!A:BE,21,FALSE())</f>
        <v>#N/A</v>
      </c>
      <c r="M780" s="69" t="e">
        <f aca="false">VLOOKUP(A780,BD_ORDENES!A:BE,14,FALSE())</f>
        <v>#N/A</v>
      </c>
      <c r="N780" s="68" t="e">
        <f aca="false">VLOOKUP(A780,BD_ORDENES!A:BE,15,FALSE())</f>
        <v>#N/A</v>
      </c>
      <c r="O780" s="68" t="e">
        <f aca="false">VLOOKUP(A780,BD_ORDENES!A:BE,33,FALSE())</f>
        <v>#N/A</v>
      </c>
      <c r="P780" s="68" t="e">
        <f aca="false">VLOOKUP(A780,BD_ORDENES!A:BE,23,FALSE())</f>
        <v>#N/A</v>
      </c>
      <c r="Q780" s="68" t="e">
        <f aca="false">VLOOKUP(A780,BD_ORDENES!A:BE,52,FALSE())</f>
        <v>#N/A</v>
      </c>
      <c r="R780" s="68" t="e">
        <f aca="false">VLOOKUP(A780,BD_ORDENES!A:BE,25,FALSE())</f>
        <v>#N/A</v>
      </c>
      <c r="S780" s="68" t="e">
        <f aca="false">VLOOKUP(A780,BD_ORDENES!A:BE,22,FALSE())</f>
        <v>#N/A</v>
      </c>
      <c r="T780" s="65" t="e">
        <f aca="false">VLOOKUP(A780,BD_ORDENES!A:BE,55,FALSE())</f>
        <v>#N/A</v>
      </c>
      <c r="U780" s="68" t="e">
        <f aca="false">VLOOKUP(A780,BD_ORDENES!A:BE,57,FALSE())</f>
        <v>#N/A</v>
      </c>
      <c r="V780" s="70"/>
      <c r="W780" s="71"/>
    </row>
    <row r="781" s="72" customFormat="true" ht="98.25" hidden="false" customHeight="true" outlineLevel="0" collapsed="false">
      <c r="A781" s="62" t="n">
        <f aca="false">A780+1</f>
        <v>774</v>
      </c>
      <c r="B781" s="63" t="e">
        <f aca="false">VLOOKUP(A781,BD_ORDENES!A:BG,12,FALSE())</f>
        <v>#N/A</v>
      </c>
      <c r="C781" s="64" t="n">
        <v>774</v>
      </c>
      <c r="D781" s="65" t="e">
        <f aca="false">VLOOKUP(A781,BD_ORDENES!A:BE,10,0)</f>
        <v>#N/A</v>
      </c>
      <c r="E781" s="66" t="e">
        <f aca="false">VLOOKUP(A781,BD_ORDENES!A:BG,4,FALSE())</f>
        <v>#N/A</v>
      </c>
      <c r="F781" s="66" t="e">
        <f aca="false">VLOOKUP(A781,BD_ORDENES!A:BE,56,FALSE())</f>
        <v>#N/A</v>
      </c>
      <c r="G781" s="67" t="e">
        <f aca="false">VLOOKUP(A781,BD_ORDENES!A:BE,13,FALSE())</f>
        <v>#N/A</v>
      </c>
      <c r="H781" s="68" t="e">
        <f aca="false">VLOOKUP(A781,BD_ORDENES!A:BE,17,FALSE())</f>
        <v>#N/A</v>
      </c>
      <c r="I781" s="68" t="e">
        <f aca="false">VLOOKUP(A781,BD_ORDENES!A:BE,18,FALSE())</f>
        <v>#N/A</v>
      </c>
      <c r="J781" s="68" t="e">
        <f aca="false">VLOOKUP(A781,BD_ORDENES!A:BE,19,FALSE())</f>
        <v>#N/A</v>
      </c>
      <c r="K781" s="68" t="e">
        <f aca="false">VLOOKUP(A781,BD_ORDENES!A:BE,20,FALSE())</f>
        <v>#N/A</v>
      </c>
      <c r="L781" s="68" t="e">
        <f aca="false">VLOOKUP(A781,BD_ORDENES!A:BE,21,FALSE())</f>
        <v>#N/A</v>
      </c>
      <c r="M781" s="69" t="e">
        <f aca="false">VLOOKUP(A781,BD_ORDENES!A:BE,14,FALSE())</f>
        <v>#N/A</v>
      </c>
      <c r="N781" s="68" t="e">
        <f aca="false">VLOOKUP(A781,BD_ORDENES!A:BE,15,FALSE())</f>
        <v>#N/A</v>
      </c>
      <c r="O781" s="68" t="e">
        <f aca="false">VLOOKUP(A781,BD_ORDENES!A:BE,33,FALSE())</f>
        <v>#N/A</v>
      </c>
      <c r="P781" s="68" t="e">
        <f aca="false">VLOOKUP(A781,BD_ORDENES!A:BE,23,FALSE())</f>
        <v>#N/A</v>
      </c>
      <c r="Q781" s="68" t="e">
        <f aca="false">VLOOKUP(A781,BD_ORDENES!A:BE,52,FALSE())</f>
        <v>#N/A</v>
      </c>
      <c r="R781" s="68" t="e">
        <f aca="false">VLOOKUP(A781,BD_ORDENES!A:BE,25,FALSE())</f>
        <v>#N/A</v>
      </c>
      <c r="S781" s="68" t="e">
        <f aca="false">VLOOKUP(A781,BD_ORDENES!A:BE,22,FALSE())</f>
        <v>#N/A</v>
      </c>
      <c r="T781" s="65" t="e">
        <f aca="false">VLOOKUP(A781,BD_ORDENES!A:BE,55,FALSE())</f>
        <v>#N/A</v>
      </c>
      <c r="U781" s="68" t="e">
        <f aca="false">VLOOKUP(A781,BD_ORDENES!A:BE,57,FALSE())</f>
        <v>#N/A</v>
      </c>
      <c r="V781" s="70"/>
      <c r="W781" s="71"/>
    </row>
    <row r="782" s="72" customFormat="true" ht="98.25" hidden="false" customHeight="true" outlineLevel="0" collapsed="false">
      <c r="A782" s="62" t="n">
        <f aca="false">A781+1</f>
        <v>775</v>
      </c>
      <c r="B782" s="63" t="e">
        <f aca="false">VLOOKUP(A782,BD_ORDENES!A:BG,12,FALSE())</f>
        <v>#N/A</v>
      </c>
      <c r="C782" s="64" t="n">
        <v>775</v>
      </c>
      <c r="D782" s="65" t="e">
        <f aca="false">VLOOKUP(A782,BD_ORDENES!A:BE,10,0)</f>
        <v>#N/A</v>
      </c>
      <c r="E782" s="66" t="e">
        <f aca="false">VLOOKUP(A782,BD_ORDENES!A:BG,4,FALSE())</f>
        <v>#N/A</v>
      </c>
      <c r="F782" s="66" t="e">
        <f aca="false">VLOOKUP(A782,BD_ORDENES!A:BE,56,FALSE())</f>
        <v>#N/A</v>
      </c>
      <c r="G782" s="67" t="e">
        <f aca="false">VLOOKUP(A782,BD_ORDENES!A:BE,13,FALSE())</f>
        <v>#N/A</v>
      </c>
      <c r="H782" s="68" t="e">
        <f aca="false">VLOOKUP(A782,BD_ORDENES!A:BE,17,FALSE())</f>
        <v>#N/A</v>
      </c>
      <c r="I782" s="68" t="e">
        <f aca="false">VLOOKUP(A782,BD_ORDENES!A:BE,18,FALSE())</f>
        <v>#N/A</v>
      </c>
      <c r="J782" s="68" t="e">
        <f aca="false">VLOOKUP(A782,BD_ORDENES!A:BE,19,FALSE())</f>
        <v>#N/A</v>
      </c>
      <c r="K782" s="68" t="e">
        <f aca="false">VLOOKUP(A782,BD_ORDENES!A:BE,20,FALSE())</f>
        <v>#N/A</v>
      </c>
      <c r="L782" s="68" t="e">
        <f aca="false">VLOOKUP(A782,BD_ORDENES!A:BE,21,FALSE())</f>
        <v>#N/A</v>
      </c>
      <c r="M782" s="69" t="e">
        <f aca="false">VLOOKUP(A782,BD_ORDENES!A:BE,14,FALSE())</f>
        <v>#N/A</v>
      </c>
      <c r="N782" s="68" t="e">
        <f aca="false">VLOOKUP(A782,BD_ORDENES!A:BE,15,FALSE())</f>
        <v>#N/A</v>
      </c>
      <c r="O782" s="68" t="e">
        <f aca="false">VLOOKUP(A782,BD_ORDENES!A:BE,33,FALSE())</f>
        <v>#N/A</v>
      </c>
      <c r="P782" s="68" t="e">
        <f aca="false">VLOOKUP(A782,BD_ORDENES!A:BE,23,FALSE())</f>
        <v>#N/A</v>
      </c>
      <c r="Q782" s="68" t="e">
        <f aca="false">VLOOKUP(A782,BD_ORDENES!A:BE,52,FALSE())</f>
        <v>#N/A</v>
      </c>
      <c r="R782" s="68" t="e">
        <f aca="false">VLOOKUP(A782,BD_ORDENES!A:BE,25,FALSE())</f>
        <v>#N/A</v>
      </c>
      <c r="S782" s="68" t="e">
        <f aca="false">VLOOKUP(A782,BD_ORDENES!A:BE,22,FALSE())</f>
        <v>#N/A</v>
      </c>
      <c r="T782" s="65" t="e">
        <f aca="false">VLOOKUP(A782,BD_ORDENES!A:BE,55,FALSE())</f>
        <v>#N/A</v>
      </c>
      <c r="U782" s="68" t="e">
        <f aca="false">VLOOKUP(A782,BD_ORDENES!A:BE,57,FALSE())</f>
        <v>#N/A</v>
      </c>
      <c r="V782" s="70"/>
      <c r="W782" s="71"/>
    </row>
    <row r="783" s="72" customFormat="true" ht="98.25" hidden="false" customHeight="true" outlineLevel="0" collapsed="false">
      <c r="A783" s="62" t="n">
        <f aca="false">A782+1</f>
        <v>776</v>
      </c>
      <c r="B783" s="63" t="e">
        <f aca="false">VLOOKUP(A783,BD_ORDENES!A:BG,12,FALSE())</f>
        <v>#N/A</v>
      </c>
      <c r="C783" s="64" t="n">
        <v>776</v>
      </c>
      <c r="D783" s="65" t="e">
        <f aca="false">VLOOKUP(A783,BD_ORDENES!A:BE,10,0)</f>
        <v>#N/A</v>
      </c>
      <c r="E783" s="66" t="e">
        <f aca="false">VLOOKUP(A783,BD_ORDENES!A:BG,4,FALSE())</f>
        <v>#N/A</v>
      </c>
      <c r="F783" s="66" t="e">
        <f aca="false">VLOOKUP(A783,BD_ORDENES!A:BE,56,FALSE())</f>
        <v>#N/A</v>
      </c>
      <c r="G783" s="67" t="e">
        <f aca="false">VLOOKUP(A783,BD_ORDENES!A:BE,13,FALSE())</f>
        <v>#N/A</v>
      </c>
      <c r="H783" s="68" t="e">
        <f aca="false">VLOOKUP(A783,BD_ORDENES!A:BE,17,FALSE())</f>
        <v>#N/A</v>
      </c>
      <c r="I783" s="68" t="e">
        <f aca="false">VLOOKUP(A783,BD_ORDENES!A:BE,18,FALSE())</f>
        <v>#N/A</v>
      </c>
      <c r="J783" s="68" t="e">
        <f aca="false">VLOOKUP(A783,BD_ORDENES!A:BE,19,FALSE())</f>
        <v>#N/A</v>
      </c>
      <c r="K783" s="68" t="e">
        <f aca="false">VLOOKUP(A783,BD_ORDENES!A:BE,20,FALSE())</f>
        <v>#N/A</v>
      </c>
      <c r="L783" s="68" t="e">
        <f aca="false">VLOOKUP(A783,BD_ORDENES!A:BE,21,FALSE())</f>
        <v>#N/A</v>
      </c>
      <c r="M783" s="69" t="e">
        <f aca="false">VLOOKUP(A783,BD_ORDENES!A:BE,14,FALSE())</f>
        <v>#N/A</v>
      </c>
      <c r="N783" s="68" t="e">
        <f aca="false">VLOOKUP(A783,BD_ORDENES!A:BE,15,FALSE())</f>
        <v>#N/A</v>
      </c>
      <c r="O783" s="68" t="e">
        <f aca="false">VLOOKUP(A783,BD_ORDENES!A:BE,33,FALSE())</f>
        <v>#N/A</v>
      </c>
      <c r="P783" s="68" t="e">
        <f aca="false">VLOOKUP(A783,BD_ORDENES!A:BE,23,FALSE())</f>
        <v>#N/A</v>
      </c>
      <c r="Q783" s="68" t="e">
        <f aca="false">VLOOKUP(A783,BD_ORDENES!A:BE,52,FALSE())</f>
        <v>#N/A</v>
      </c>
      <c r="R783" s="68" t="e">
        <f aca="false">VLOOKUP(A783,BD_ORDENES!A:BE,25,FALSE())</f>
        <v>#N/A</v>
      </c>
      <c r="S783" s="68" t="e">
        <f aca="false">VLOOKUP(A783,BD_ORDENES!A:BE,22,FALSE())</f>
        <v>#N/A</v>
      </c>
      <c r="T783" s="65" t="e">
        <f aca="false">VLOOKUP(A783,BD_ORDENES!A:BE,55,FALSE())</f>
        <v>#N/A</v>
      </c>
      <c r="U783" s="68" t="e">
        <f aca="false">VLOOKUP(A783,BD_ORDENES!A:BE,57,FALSE())</f>
        <v>#N/A</v>
      </c>
      <c r="V783" s="70"/>
      <c r="W783" s="71"/>
    </row>
    <row r="784" s="72" customFormat="true" ht="98.25" hidden="false" customHeight="true" outlineLevel="0" collapsed="false">
      <c r="A784" s="62" t="n">
        <f aca="false">A783+1</f>
        <v>777</v>
      </c>
      <c r="B784" s="63" t="e">
        <f aca="false">VLOOKUP(A784,BD_ORDENES!A:BG,12,FALSE())</f>
        <v>#N/A</v>
      </c>
      <c r="C784" s="64" t="n">
        <v>777</v>
      </c>
      <c r="D784" s="65" t="e">
        <f aca="false">VLOOKUP(A784,BD_ORDENES!A:BE,10,0)</f>
        <v>#N/A</v>
      </c>
      <c r="E784" s="66" t="e">
        <f aca="false">VLOOKUP(A784,BD_ORDENES!A:BG,4,FALSE())</f>
        <v>#N/A</v>
      </c>
      <c r="F784" s="66" t="e">
        <f aca="false">VLOOKUP(A784,BD_ORDENES!A:BE,56,FALSE())</f>
        <v>#N/A</v>
      </c>
      <c r="G784" s="67" t="e">
        <f aca="false">VLOOKUP(A784,BD_ORDENES!A:BE,13,FALSE())</f>
        <v>#N/A</v>
      </c>
      <c r="H784" s="68" t="e">
        <f aca="false">VLOOKUP(A784,BD_ORDENES!A:BE,17,FALSE())</f>
        <v>#N/A</v>
      </c>
      <c r="I784" s="68" t="e">
        <f aca="false">VLOOKUP(A784,BD_ORDENES!A:BE,18,FALSE())</f>
        <v>#N/A</v>
      </c>
      <c r="J784" s="68" t="e">
        <f aca="false">VLOOKUP(A784,BD_ORDENES!A:BE,19,FALSE())</f>
        <v>#N/A</v>
      </c>
      <c r="K784" s="68" t="e">
        <f aca="false">VLOOKUP(A784,BD_ORDENES!A:BE,20,FALSE())</f>
        <v>#N/A</v>
      </c>
      <c r="L784" s="68" t="e">
        <f aca="false">VLOOKUP(A784,BD_ORDENES!A:BE,21,FALSE())</f>
        <v>#N/A</v>
      </c>
      <c r="M784" s="69" t="e">
        <f aca="false">VLOOKUP(A784,BD_ORDENES!A:BE,14,FALSE())</f>
        <v>#N/A</v>
      </c>
      <c r="N784" s="68" t="e">
        <f aca="false">VLOOKUP(A784,BD_ORDENES!A:BE,15,FALSE())</f>
        <v>#N/A</v>
      </c>
      <c r="O784" s="68" t="e">
        <f aca="false">VLOOKUP(A784,BD_ORDENES!A:BE,33,FALSE())</f>
        <v>#N/A</v>
      </c>
      <c r="P784" s="68" t="e">
        <f aca="false">VLOOKUP(A784,BD_ORDENES!A:BE,23,FALSE())</f>
        <v>#N/A</v>
      </c>
      <c r="Q784" s="68" t="e">
        <f aca="false">VLOOKUP(A784,BD_ORDENES!A:BE,52,FALSE())</f>
        <v>#N/A</v>
      </c>
      <c r="R784" s="68" t="e">
        <f aca="false">VLOOKUP(A784,BD_ORDENES!A:BE,25,FALSE())</f>
        <v>#N/A</v>
      </c>
      <c r="S784" s="68" t="e">
        <f aca="false">VLOOKUP(A784,BD_ORDENES!A:BE,22,FALSE())</f>
        <v>#N/A</v>
      </c>
      <c r="T784" s="65" t="e">
        <f aca="false">VLOOKUP(A784,BD_ORDENES!A:BE,55,FALSE())</f>
        <v>#N/A</v>
      </c>
      <c r="U784" s="68" t="e">
        <f aca="false">VLOOKUP(A784,BD_ORDENES!A:BE,57,FALSE())</f>
        <v>#N/A</v>
      </c>
      <c r="V784" s="70"/>
      <c r="W784" s="71"/>
    </row>
    <row r="785" s="72" customFormat="true" ht="98.25" hidden="false" customHeight="true" outlineLevel="0" collapsed="false">
      <c r="A785" s="62" t="n">
        <f aca="false">A784+1</f>
        <v>778</v>
      </c>
      <c r="B785" s="63" t="e">
        <f aca="false">VLOOKUP(A785,BD_ORDENES!A:BG,12,FALSE())</f>
        <v>#N/A</v>
      </c>
      <c r="C785" s="64" t="n">
        <v>778</v>
      </c>
      <c r="D785" s="65" t="e">
        <f aca="false">VLOOKUP(A785,BD_ORDENES!A:BE,10,0)</f>
        <v>#N/A</v>
      </c>
      <c r="E785" s="66" t="e">
        <f aca="false">VLOOKUP(A785,BD_ORDENES!A:BG,4,FALSE())</f>
        <v>#N/A</v>
      </c>
      <c r="F785" s="66" t="e">
        <f aca="false">VLOOKUP(A785,BD_ORDENES!A:BE,56,FALSE())</f>
        <v>#N/A</v>
      </c>
      <c r="G785" s="67" t="e">
        <f aca="false">VLOOKUP(A785,BD_ORDENES!A:BE,13,FALSE())</f>
        <v>#N/A</v>
      </c>
      <c r="H785" s="68" t="e">
        <f aca="false">VLOOKUP(A785,BD_ORDENES!A:BE,17,FALSE())</f>
        <v>#N/A</v>
      </c>
      <c r="I785" s="68" t="e">
        <f aca="false">VLOOKUP(A785,BD_ORDENES!A:BE,18,FALSE())</f>
        <v>#N/A</v>
      </c>
      <c r="J785" s="68" t="e">
        <f aca="false">VLOOKUP(A785,BD_ORDENES!A:BE,19,FALSE())</f>
        <v>#N/A</v>
      </c>
      <c r="K785" s="68" t="e">
        <f aca="false">VLOOKUP(A785,BD_ORDENES!A:BE,20,FALSE())</f>
        <v>#N/A</v>
      </c>
      <c r="L785" s="68" t="e">
        <f aca="false">VLOOKUP(A785,BD_ORDENES!A:BE,21,FALSE())</f>
        <v>#N/A</v>
      </c>
      <c r="M785" s="69" t="e">
        <f aca="false">VLOOKUP(A785,BD_ORDENES!A:BE,14,FALSE())</f>
        <v>#N/A</v>
      </c>
      <c r="N785" s="68" t="e">
        <f aca="false">VLOOKUP(A785,BD_ORDENES!A:BE,15,FALSE())</f>
        <v>#N/A</v>
      </c>
      <c r="O785" s="68" t="e">
        <f aca="false">VLOOKUP(A785,BD_ORDENES!A:BE,33,FALSE())</f>
        <v>#N/A</v>
      </c>
      <c r="P785" s="68" t="e">
        <f aca="false">VLOOKUP(A785,BD_ORDENES!A:BE,23,FALSE())</f>
        <v>#N/A</v>
      </c>
      <c r="Q785" s="68" t="e">
        <f aca="false">VLOOKUP(A785,BD_ORDENES!A:BE,52,FALSE())</f>
        <v>#N/A</v>
      </c>
      <c r="R785" s="68" t="e">
        <f aca="false">VLOOKUP(A785,BD_ORDENES!A:BE,25,FALSE())</f>
        <v>#N/A</v>
      </c>
      <c r="S785" s="68" t="e">
        <f aca="false">VLOOKUP(A785,BD_ORDENES!A:BE,22,FALSE())</f>
        <v>#N/A</v>
      </c>
      <c r="T785" s="65" t="e">
        <f aca="false">VLOOKUP(A785,BD_ORDENES!A:BE,55,FALSE())</f>
        <v>#N/A</v>
      </c>
      <c r="U785" s="68" t="e">
        <f aca="false">VLOOKUP(A785,BD_ORDENES!A:BE,57,FALSE())</f>
        <v>#N/A</v>
      </c>
      <c r="V785" s="70"/>
      <c r="W785" s="71"/>
    </row>
    <row r="786" s="72" customFormat="true" ht="98.25" hidden="false" customHeight="true" outlineLevel="0" collapsed="false">
      <c r="A786" s="62" t="n">
        <f aca="false">A785+1</f>
        <v>779</v>
      </c>
      <c r="B786" s="63" t="e">
        <f aca="false">VLOOKUP(A786,BD_ORDENES!A:BG,12,FALSE())</f>
        <v>#N/A</v>
      </c>
      <c r="C786" s="64" t="n">
        <v>779</v>
      </c>
      <c r="D786" s="65" t="e">
        <f aca="false">VLOOKUP(A786,BD_ORDENES!A:BE,10,0)</f>
        <v>#N/A</v>
      </c>
      <c r="E786" s="66" t="e">
        <f aca="false">VLOOKUP(A786,BD_ORDENES!A:BG,4,FALSE())</f>
        <v>#N/A</v>
      </c>
      <c r="F786" s="66" t="e">
        <f aca="false">VLOOKUP(A786,BD_ORDENES!A:BE,56,FALSE())</f>
        <v>#N/A</v>
      </c>
      <c r="G786" s="67" t="e">
        <f aca="false">VLOOKUP(A786,BD_ORDENES!A:BE,13,FALSE())</f>
        <v>#N/A</v>
      </c>
      <c r="H786" s="68" t="e">
        <f aca="false">VLOOKUP(A786,BD_ORDENES!A:BE,17,FALSE())</f>
        <v>#N/A</v>
      </c>
      <c r="I786" s="68" t="e">
        <f aca="false">VLOOKUP(A786,BD_ORDENES!A:BE,18,FALSE())</f>
        <v>#N/A</v>
      </c>
      <c r="J786" s="68" t="e">
        <f aca="false">VLOOKUP(A786,BD_ORDENES!A:BE,19,FALSE())</f>
        <v>#N/A</v>
      </c>
      <c r="K786" s="68" t="e">
        <f aca="false">VLOOKUP(A786,BD_ORDENES!A:BE,20,FALSE())</f>
        <v>#N/A</v>
      </c>
      <c r="L786" s="68" t="e">
        <f aca="false">VLOOKUP(A786,BD_ORDENES!A:BE,21,FALSE())</f>
        <v>#N/A</v>
      </c>
      <c r="M786" s="69" t="e">
        <f aca="false">VLOOKUP(A786,BD_ORDENES!A:BE,14,FALSE())</f>
        <v>#N/A</v>
      </c>
      <c r="N786" s="68" t="e">
        <f aca="false">VLOOKUP(A786,BD_ORDENES!A:BE,15,FALSE())</f>
        <v>#N/A</v>
      </c>
      <c r="O786" s="68" t="e">
        <f aca="false">VLOOKUP(A786,BD_ORDENES!A:BE,33,FALSE())</f>
        <v>#N/A</v>
      </c>
      <c r="P786" s="68" t="e">
        <f aca="false">VLOOKUP(A786,BD_ORDENES!A:BE,23,FALSE())</f>
        <v>#N/A</v>
      </c>
      <c r="Q786" s="68" t="e">
        <f aca="false">VLOOKUP(A786,BD_ORDENES!A:BE,52,FALSE())</f>
        <v>#N/A</v>
      </c>
      <c r="R786" s="68" t="e">
        <f aca="false">VLOOKUP(A786,BD_ORDENES!A:BE,25,FALSE())</f>
        <v>#N/A</v>
      </c>
      <c r="S786" s="68" t="e">
        <f aca="false">VLOOKUP(A786,BD_ORDENES!A:BE,22,FALSE())</f>
        <v>#N/A</v>
      </c>
      <c r="T786" s="65" t="e">
        <f aca="false">VLOOKUP(A786,BD_ORDENES!A:BE,55,FALSE())</f>
        <v>#N/A</v>
      </c>
      <c r="U786" s="68" t="e">
        <f aca="false">VLOOKUP(A786,BD_ORDENES!A:BE,57,FALSE())</f>
        <v>#N/A</v>
      </c>
      <c r="V786" s="70"/>
      <c r="W786" s="71"/>
    </row>
    <row r="787" s="72" customFormat="true" ht="98.25" hidden="false" customHeight="true" outlineLevel="0" collapsed="false">
      <c r="A787" s="62" t="n">
        <f aca="false">A786+1</f>
        <v>780</v>
      </c>
      <c r="B787" s="63" t="e">
        <f aca="false">VLOOKUP(A787,BD_ORDENES!A:BG,12,FALSE())</f>
        <v>#N/A</v>
      </c>
      <c r="C787" s="64" t="n">
        <v>780</v>
      </c>
      <c r="D787" s="65" t="e">
        <f aca="false">VLOOKUP(A787,BD_ORDENES!A:BE,10,0)</f>
        <v>#N/A</v>
      </c>
      <c r="E787" s="66" t="e">
        <f aca="false">VLOOKUP(A787,BD_ORDENES!A:BG,4,FALSE())</f>
        <v>#N/A</v>
      </c>
      <c r="F787" s="66" t="e">
        <f aca="false">VLOOKUP(A787,BD_ORDENES!A:BE,56,FALSE())</f>
        <v>#N/A</v>
      </c>
      <c r="G787" s="67" t="e">
        <f aca="false">VLOOKUP(A787,BD_ORDENES!A:BE,13,FALSE())</f>
        <v>#N/A</v>
      </c>
      <c r="H787" s="68" t="e">
        <f aca="false">VLOOKUP(A787,BD_ORDENES!A:BE,17,FALSE())</f>
        <v>#N/A</v>
      </c>
      <c r="I787" s="68" t="e">
        <f aca="false">VLOOKUP(A787,BD_ORDENES!A:BE,18,FALSE())</f>
        <v>#N/A</v>
      </c>
      <c r="J787" s="68" t="e">
        <f aca="false">VLOOKUP(A787,BD_ORDENES!A:BE,19,FALSE())</f>
        <v>#N/A</v>
      </c>
      <c r="K787" s="68" t="e">
        <f aca="false">VLOOKUP(A787,BD_ORDENES!A:BE,20,FALSE())</f>
        <v>#N/A</v>
      </c>
      <c r="L787" s="68" t="e">
        <f aca="false">VLOOKUP(A787,BD_ORDENES!A:BE,21,FALSE())</f>
        <v>#N/A</v>
      </c>
      <c r="M787" s="69" t="e">
        <f aca="false">VLOOKUP(A787,BD_ORDENES!A:BE,14,FALSE())</f>
        <v>#N/A</v>
      </c>
      <c r="N787" s="68" t="e">
        <f aca="false">VLOOKUP(A787,BD_ORDENES!A:BE,15,FALSE())</f>
        <v>#N/A</v>
      </c>
      <c r="O787" s="68" t="e">
        <f aca="false">VLOOKUP(A787,BD_ORDENES!A:BE,33,FALSE())</f>
        <v>#N/A</v>
      </c>
      <c r="P787" s="68" t="e">
        <f aca="false">VLOOKUP(A787,BD_ORDENES!A:BE,23,FALSE())</f>
        <v>#N/A</v>
      </c>
      <c r="Q787" s="68" t="e">
        <f aca="false">VLOOKUP(A787,BD_ORDENES!A:BE,52,FALSE())</f>
        <v>#N/A</v>
      </c>
      <c r="R787" s="68" t="e">
        <f aca="false">VLOOKUP(A787,BD_ORDENES!A:BE,25,FALSE())</f>
        <v>#N/A</v>
      </c>
      <c r="S787" s="68" t="e">
        <f aca="false">VLOOKUP(A787,BD_ORDENES!A:BE,22,FALSE())</f>
        <v>#N/A</v>
      </c>
      <c r="T787" s="65" t="e">
        <f aca="false">VLOOKUP(A787,BD_ORDENES!A:BE,55,FALSE())</f>
        <v>#N/A</v>
      </c>
      <c r="U787" s="68" t="e">
        <f aca="false">VLOOKUP(A787,BD_ORDENES!A:BE,57,FALSE())</f>
        <v>#N/A</v>
      </c>
      <c r="V787" s="70"/>
      <c r="W787" s="71"/>
    </row>
    <row r="788" s="72" customFormat="true" ht="98.25" hidden="false" customHeight="true" outlineLevel="0" collapsed="false">
      <c r="A788" s="62" t="n">
        <f aca="false">A787+1</f>
        <v>781</v>
      </c>
      <c r="B788" s="63" t="e">
        <f aca="false">VLOOKUP(A788,BD_ORDENES!A:BG,12,FALSE())</f>
        <v>#N/A</v>
      </c>
      <c r="C788" s="64" t="n">
        <v>781</v>
      </c>
      <c r="D788" s="65" t="e">
        <f aca="false">VLOOKUP(A788,BD_ORDENES!A:BE,10,0)</f>
        <v>#N/A</v>
      </c>
      <c r="E788" s="66" t="e">
        <f aca="false">VLOOKUP(A788,BD_ORDENES!A:BG,4,FALSE())</f>
        <v>#N/A</v>
      </c>
      <c r="F788" s="66" t="e">
        <f aca="false">VLOOKUP(A788,BD_ORDENES!A:BE,56,FALSE())</f>
        <v>#N/A</v>
      </c>
      <c r="G788" s="67" t="e">
        <f aca="false">VLOOKUP(A788,BD_ORDENES!A:BE,13,FALSE())</f>
        <v>#N/A</v>
      </c>
      <c r="H788" s="68" t="e">
        <f aca="false">VLOOKUP(A788,BD_ORDENES!A:BE,17,FALSE())</f>
        <v>#N/A</v>
      </c>
      <c r="I788" s="68" t="e">
        <f aca="false">VLOOKUP(A788,BD_ORDENES!A:BE,18,FALSE())</f>
        <v>#N/A</v>
      </c>
      <c r="J788" s="68" t="e">
        <f aca="false">VLOOKUP(A788,BD_ORDENES!A:BE,19,FALSE())</f>
        <v>#N/A</v>
      </c>
      <c r="K788" s="68" t="e">
        <f aca="false">VLOOKUP(A788,BD_ORDENES!A:BE,20,FALSE())</f>
        <v>#N/A</v>
      </c>
      <c r="L788" s="68" t="e">
        <f aca="false">VLOOKUP(A788,BD_ORDENES!A:BE,21,FALSE())</f>
        <v>#N/A</v>
      </c>
      <c r="M788" s="69" t="e">
        <f aca="false">VLOOKUP(A788,BD_ORDENES!A:BE,14,FALSE())</f>
        <v>#N/A</v>
      </c>
      <c r="N788" s="68" t="e">
        <f aca="false">VLOOKUP(A788,BD_ORDENES!A:BE,15,FALSE())</f>
        <v>#N/A</v>
      </c>
      <c r="O788" s="68" t="e">
        <f aca="false">VLOOKUP(A788,BD_ORDENES!A:BE,33,FALSE())</f>
        <v>#N/A</v>
      </c>
      <c r="P788" s="68" t="e">
        <f aca="false">VLOOKUP(A788,BD_ORDENES!A:BE,23,FALSE())</f>
        <v>#N/A</v>
      </c>
      <c r="Q788" s="68" t="e">
        <f aca="false">VLOOKUP(A788,BD_ORDENES!A:BE,52,FALSE())</f>
        <v>#N/A</v>
      </c>
      <c r="R788" s="68" t="e">
        <f aca="false">VLOOKUP(A788,BD_ORDENES!A:BE,25,FALSE())</f>
        <v>#N/A</v>
      </c>
      <c r="S788" s="68" t="e">
        <f aca="false">VLOOKUP(A788,BD_ORDENES!A:BE,22,FALSE())</f>
        <v>#N/A</v>
      </c>
      <c r="T788" s="65" t="e">
        <f aca="false">VLOOKUP(A788,BD_ORDENES!A:BE,55,FALSE())</f>
        <v>#N/A</v>
      </c>
      <c r="U788" s="68" t="e">
        <f aca="false">VLOOKUP(A788,BD_ORDENES!A:BE,57,FALSE())</f>
        <v>#N/A</v>
      </c>
      <c r="V788" s="70"/>
      <c r="W788" s="71"/>
    </row>
    <row r="789" s="72" customFormat="true" ht="98.25" hidden="false" customHeight="true" outlineLevel="0" collapsed="false">
      <c r="A789" s="62" t="n">
        <f aca="false">A788+1</f>
        <v>782</v>
      </c>
      <c r="B789" s="63" t="e">
        <f aca="false">VLOOKUP(A789,BD_ORDENES!A:BG,12,FALSE())</f>
        <v>#N/A</v>
      </c>
      <c r="C789" s="64" t="n">
        <v>782</v>
      </c>
      <c r="D789" s="65" t="e">
        <f aca="false">VLOOKUP(A789,BD_ORDENES!A:BE,10,0)</f>
        <v>#N/A</v>
      </c>
      <c r="E789" s="66" t="e">
        <f aca="false">VLOOKUP(A789,BD_ORDENES!A:BG,4,FALSE())</f>
        <v>#N/A</v>
      </c>
      <c r="F789" s="66" t="e">
        <f aca="false">VLOOKUP(A789,BD_ORDENES!A:BE,56,FALSE())</f>
        <v>#N/A</v>
      </c>
      <c r="G789" s="67" t="e">
        <f aca="false">VLOOKUP(A789,BD_ORDENES!A:BE,13,FALSE())</f>
        <v>#N/A</v>
      </c>
      <c r="H789" s="68" t="e">
        <f aca="false">VLOOKUP(A789,BD_ORDENES!A:BE,17,FALSE())</f>
        <v>#N/A</v>
      </c>
      <c r="I789" s="68" t="e">
        <f aca="false">VLOOKUP(A789,BD_ORDENES!A:BE,18,FALSE())</f>
        <v>#N/A</v>
      </c>
      <c r="J789" s="68" t="e">
        <f aca="false">VLOOKUP(A789,BD_ORDENES!A:BE,19,FALSE())</f>
        <v>#N/A</v>
      </c>
      <c r="K789" s="68" t="e">
        <f aca="false">VLOOKUP(A789,BD_ORDENES!A:BE,20,FALSE())</f>
        <v>#N/A</v>
      </c>
      <c r="L789" s="68" t="e">
        <f aca="false">VLOOKUP(A789,BD_ORDENES!A:BE,21,FALSE())</f>
        <v>#N/A</v>
      </c>
      <c r="M789" s="69" t="e">
        <f aca="false">VLOOKUP(A789,BD_ORDENES!A:BE,14,FALSE())</f>
        <v>#N/A</v>
      </c>
      <c r="N789" s="68" t="e">
        <f aca="false">VLOOKUP(A789,BD_ORDENES!A:BE,15,FALSE())</f>
        <v>#N/A</v>
      </c>
      <c r="O789" s="68" t="e">
        <f aca="false">VLOOKUP(A789,BD_ORDENES!A:BE,33,FALSE())</f>
        <v>#N/A</v>
      </c>
      <c r="P789" s="68" t="e">
        <f aca="false">VLOOKUP(A789,BD_ORDENES!A:BE,23,FALSE())</f>
        <v>#N/A</v>
      </c>
      <c r="Q789" s="68" t="e">
        <f aca="false">VLOOKUP(A789,BD_ORDENES!A:BE,52,FALSE())</f>
        <v>#N/A</v>
      </c>
      <c r="R789" s="68" t="e">
        <f aca="false">VLOOKUP(A789,BD_ORDENES!A:BE,25,FALSE())</f>
        <v>#N/A</v>
      </c>
      <c r="S789" s="68" t="e">
        <f aca="false">VLOOKUP(A789,BD_ORDENES!A:BE,22,FALSE())</f>
        <v>#N/A</v>
      </c>
      <c r="T789" s="65" t="e">
        <f aca="false">VLOOKUP(A789,BD_ORDENES!A:BE,55,FALSE())</f>
        <v>#N/A</v>
      </c>
      <c r="U789" s="68" t="e">
        <f aca="false">VLOOKUP(A789,BD_ORDENES!A:BE,57,FALSE())</f>
        <v>#N/A</v>
      </c>
      <c r="V789" s="70"/>
      <c r="W789" s="71"/>
    </row>
    <row r="790" s="72" customFormat="true" ht="98.25" hidden="false" customHeight="true" outlineLevel="0" collapsed="false">
      <c r="A790" s="62" t="n">
        <f aca="false">A789+1</f>
        <v>783</v>
      </c>
      <c r="B790" s="63" t="e">
        <f aca="false">VLOOKUP(A790,BD_ORDENES!A:BG,12,FALSE())</f>
        <v>#N/A</v>
      </c>
      <c r="C790" s="64" t="n">
        <v>783</v>
      </c>
      <c r="D790" s="65" t="e">
        <f aca="false">VLOOKUP(A790,BD_ORDENES!A:BE,10,0)</f>
        <v>#N/A</v>
      </c>
      <c r="E790" s="66" t="e">
        <f aca="false">VLOOKUP(A790,BD_ORDENES!A:BG,4,FALSE())</f>
        <v>#N/A</v>
      </c>
      <c r="F790" s="66" t="e">
        <f aca="false">VLOOKUP(A790,BD_ORDENES!A:BE,56,FALSE())</f>
        <v>#N/A</v>
      </c>
      <c r="G790" s="67" t="e">
        <f aca="false">VLOOKUP(A790,BD_ORDENES!A:BE,13,FALSE())</f>
        <v>#N/A</v>
      </c>
      <c r="H790" s="68" t="e">
        <f aca="false">VLOOKUP(A790,BD_ORDENES!A:BE,17,FALSE())</f>
        <v>#N/A</v>
      </c>
      <c r="I790" s="68" t="e">
        <f aca="false">VLOOKUP(A790,BD_ORDENES!A:BE,18,FALSE())</f>
        <v>#N/A</v>
      </c>
      <c r="J790" s="68" t="e">
        <f aca="false">VLOOKUP(A790,BD_ORDENES!A:BE,19,FALSE())</f>
        <v>#N/A</v>
      </c>
      <c r="K790" s="68" t="e">
        <f aca="false">VLOOKUP(A790,BD_ORDENES!A:BE,20,FALSE())</f>
        <v>#N/A</v>
      </c>
      <c r="L790" s="68" t="e">
        <f aca="false">VLOOKUP(A790,BD_ORDENES!A:BE,21,FALSE())</f>
        <v>#N/A</v>
      </c>
      <c r="M790" s="69" t="e">
        <f aca="false">VLOOKUP(A790,BD_ORDENES!A:BE,14,FALSE())</f>
        <v>#N/A</v>
      </c>
      <c r="N790" s="68" t="e">
        <f aca="false">VLOOKUP(A790,BD_ORDENES!A:BE,15,FALSE())</f>
        <v>#N/A</v>
      </c>
      <c r="O790" s="68" t="e">
        <f aca="false">VLOOKUP(A790,BD_ORDENES!A:BE,33,FALSE())</f>
        <v>#N/A</v>
      </c>
      <c r="P790" s="68" t="e">
        <f aca="false">VLOOKUP(A790,BD_ORDENES!A:BE,23,FALSE())</f>
        <v>#N/A</v>
      </c>
      <c r="Q790" s="68" t="e">
        <f aca="false">VLOOKUP(A790,BD_ORDENES!A:BE,52,FALSE())</f>
        <v>#N/A</v>
      </c>
      <c r="R790" s="68" t="e">
        <f aca="false">VLOOKUP(A790,BD_ORDENES!A:BE,25,FALSE())</f>
        <v>#N/A</v>
      </c>
      <c r="S790" s="68" t="e">
        <f aca="false">VLOOKUP(A790,BD_ORDENES!A:BE,22,FALSE())</f>
        <v>#N/A</v>
      </c>
      <c r="T790" s="65" t="e">
        <f aca="false">VLOOKUP(A790,BD_ORDENES!A:BE,55,FALSE())</f>
        <v>#N/A</v>
      </c>
      <c r="U790" s="68" t="e">
        <f aca="false">VLOOKUP(A790,BD_ORDENES!A:BE,57,FALSE())</f>
        <v>#N/A</v>
      </c>
      <c r="V790" s="70"/>
      <c r="W790" s="71"/>
    </row>
    <row r="791" s="72" customFormat="true" ht="98.25" hidden="false" customHeight="true" outlineLevel="0" collapsed="false">
      <c r="A791" s="62" t="n">
        <f aca="false">A790+1</f>
        <v>784</v>
      </c>
      <c r="B791" s="63" t="e">
        <f aca="false">VLOOKUP(A791,BD_ORDENES!A:BG,12,FALSE())</f>
        <v>#N/A</v>
      </c>
      <c r="C791" s="64" t="n">
        <v>784</v>
      </c>
      <c r="D791" s="65" t="e">
        <f aca="false">VLOOKUP(A791,BD_ORDENES!A:BE,10,0)</f>
        <v>#N/A</v>
      </c>
      <c r="E791" s="66" t="e">
        <f aca="false">VLOOKUP(A791,BD_ORDENES!A:BG,4,FALSE())</f>
        <v>#N/A</v>
      </c>
      <c r="F791" s="66" t="e">
        <f aca="false">VLOOKUP(A791,BD_ORDENES!A:BE,56,FALSE())</f>
        <v>#N/A</v>
      </c>
      <c r="G791" s="67" t="e">
        <f aca="false">VLOOKUP(A791,BD_ORDENES!A:BE,13,FALSE())</f>
        <v>#N/A</v>
      </c>
      <c r="H791" s="68" t="e">
        <f aca="false">VLOOKUP(A791,BD_ORDENES!A:BE,17,FALSE())</f>
        <v>#N/A</v>
      </c>
      <c r="I791" s="68" t="e">
        <f aca="false">VLOOKUP(A791,BD_ORDENES!A:BE,18,FALSE())</f>
        <v>#N/A</v>
      </c>
      <c r="J791" s="68" t="e">
        <f aca="false">VLOOKUP(A791,BD_ORDENES!A:BE,19,FALSE())</f>
        <v>#N/A</v>
      </c>
      <c r="K791" s="68" t="e">
        <f aca="false">VLOOKUP(A791,BD_ORDENES!A:BE,20,FALSE())</f>
        <v>#N/A</v>
      </c>
      <c r="L791" s="68" t="e">
        <f aca="false">VLOOKUP(A791,BD_ORDENES!A:BE,21,FALSE())</f>
        <v>#N/A</v>
      </c>
      <c r="M791" s="69" t="e">
        <f aca="false">VLOOKUP(A791,BD_ORDENES!A:BE,14,FALSE())</f>
        <v>#N/A</v>
      </c>
      <c r="N791" s="68" t="e">
        <f aca="false">VLOOKUP(A791,BD_ORDENES!A:BE,15,FALSE())</f>
        <v>#N/A</v>
      </c>
      <c r="O791" s="68" t="e">
        <f aca="false">VLOOKUP(A791,BD_ORDENES!A:BE,33,FALSE())</f>
        <v>#N/A</v>
      </c>
      <c r="P791" s="68" t="e">
        <f aca="false">VLOOKUP(A791,BD_ORDENES!A:BE,23,FALSE())</f>
        <v>#N/A</v>
      </c>
      <c r="Q791" s="68" t="e">
        <f aca="false">VLOOKUP(A791,BD_ORDENES!A:BE,52,FALSE())</f>
        <v>#N/A</v>
      </c>
      <c r="R791" s="68" t="e">
        <f aca="false">VLOOKUP(A791,BD_ORDENES!A:BE,25,FALSE())</f>
        <v>#N/A</v>
      </c>
      <c r="S791" s="68" t="e">
        <f aca="false">VLOOKUP(A791,BD_ORDENES!A:BE,22,FALSE())</f>
        <v>#N/A</v>
      </c>
      <c r="T791" s="65" t="e">
        <f aca="false">VLOOKUP(A791,BD_ORDENES!A:BE,55,FALSE())</f>
        <v>#N/A</v>
      </c>
      <c r="U791" s="68" t="e">
        <f aca="false">VLOOKUP(A791,BD_ORDENES!A:BE,57,FALSE())</f>
        <v>#N/A</v>
      </c>
      <c r="V791" s="70"/>
      <c r="W791" s="71"/>
    </row>
    <row r="792" s="72" customFormat="true" ht="98.25" hidden="false" customHeight="true" outlineLevel="0" collapsed="false">
      <c r="A792" s="62" t="n">
        <f aca="false">A791+1</f>
        <v>785</v>
      </c>
      <c r="B792" s="63" t="e">
        <f aca="false">VLOOKUP(A792,BD_ORDENES!A:BG,12,FALSE())</f>
        <v>#N/A</v>
      </c>
      <c r="C792" s="64" t="n">
        <v>785</v>
      </c>
      <c r="D792" s="65" t="e">
        <f aca="false">VLOOKUP(A792,BD_ORDENES!A:BE,10,0)</f>
        <v>#N/A</v>
      </c>
      <c r="E792" s="66" t="e">
        <f aca="false">VLOOKUP(A792,BD_ORDENES!A:BG,4,FALSE())</f>
        <v>#N/A</v>
      </c>
      <c r="F792" s="66" t="e">
        <f aca="false">VLOOKUP(A792,BD_ORDENES!A:BE,56,FALSE())</f>
        <v>#N/A</v>
      </c>
      <c r="G792" s="67" t="e">
        <f aca="false">VLOOKUP(A792,BD_ORDENES!A:BE,13,FALSE())</f>
        <v>#N/A</v>
      </c>
      <c r="H792" s="68" t="e">
        <f aca="false">VLOOKUP(A792,BD_ORDENES!A:BE,17,FALSE())</f>
        <v>#N/A</v>
      </c>
      <c r="I792" s="68" t="e">
        <f aca="false">VLOOKUP(A792,BD_ORDENES!A:BE,18,FALSE())</f>
        <v>#N/A</v>
      </c>
      <c r="J792" s="68" t="e">
        <f aca="false">VLOOKUP(A792,BD_ORDENES!A:BE,19,FALSE())</f>
        <v>#N/A</v>
      </c>
      <c r="K792" s="68" t="e">
        <f aca="false">VLOOKUP(A792,BD_ORDENES!A:BE,20,FALSE())</f>
        <v>#N/A</v>
      </c>
      <c r="L792" s="68" t="e">
        <f aca="false">VLOOKUP(A792,BD_ORDENES!A:BE,21,FALSE())</f>
        <v>#N/A</v>
      </c>
      <c r="M792" s="69" t="e">
        <f aca="false">VLOOKUP(A792,BD_ORDENES!A:BE,14,FALSE())</f>
        <v>#N/A</v>
      </c>
      <c r="N792" s="68" t="e">
        <f aca="false">VLOOKUP(A792,BD_ORDENES!A:BE,15,FALSE())</f>
        <v>#N/A</v>
      </c>
      <c r="O792" s="68" t="e">
        <f aca="false">VLOOKUP(A792,BD_ORDENES!A:BE,33,FALSE())</f>
        <v>#N/A</v>
      </c>
      <c r="P792" s="68" t="e">
        <f aca="false">VLOOKUP(A792,BD_ORDENES!A:BE,23,FALSE())</f>
        <v>#N/A</v>
      </c>
      <c r="Q792" s="68" t="e">
        <f aca="false">VLOOKUP(A792,BD_ORDENES!A:BE,52,FALSE())</f>
        <v>#N/A</v>
      </c>
      <c r="R792" s="68" t="e">
        <f aca="false">VLOOKUP(A792,BD_ORDENES!A:BE,25,FALSE())</f>
        <v>#N/A</v>
      </c>
      <c r="S792" s="68" t="e">
        <f aca="false">VLOOKUP(A792,BD_ORDENES!A:BE,22,FALSE())</f>
        <v>#N/A</v>
      </c>
      <c r="T792" s="65" t="e">
        <f aca="false">VLOOKUP(A792,BD_ORDENES!A:BE,55,FALSE())</f>
        <v>#N/A</v>
      </c>
      <c r="U792" s="68" t="e">
        <f aca="false">VLOOKUP(A792,BD_ORDENES!A:BE,57,FALSE())</f>
        <v>#N/A</v>
      </c>
      <c r="V792" s="70"/>
      <c r="W792" s="71"/>
    </row>
    <row r="793" s="72" customFormat="true" ht="98.25" hidden="false" customHeight="true" outlineLevel="0" collapsed="false">
      <c r="A793" s="62" t="n">
        <f aca="false">A792+1</f>
        <v>786</v>
      </c>
      <c r="B793" s="63" t="e">
        <f aca="false">VLOOKUP(A793,BD_ORDENES!A:BG,12,FALSE())</f>
        <v>#N/A</v>
      </c>
      <c r="C793" s="64" t="n">
        <v>786</v>
      </c>
      <c r="D793" s="65" t="e">
        <f aca="false">VLOOKUP(A793,BD_ORDENES!A:BE,10,0)</f>
        <v>#N/A</v>
      </c>
      <c r="E793" s="66" t="e">
        <f aca="false">VLOOKUP(A793,BD_ORDENES!A:BG,4,FALSE())</f>
        <v>#N/A</v>
      </c>
      <c r="F793" s="66" t="e">
        <f aca="false">VLOOKUP(A793,BD_ORDENES!A:BE,56,FALSE())</f>
        <v>#N/A</v>
      </c>
      <c r="G793" s="67" t="e">
        <f aca="false">VLOOKUP(A793,BD_ORDENES!A:BE,13,FALSE())</f>
        <v>#N/A</v>
      </c>
      <c r="H793" s="68" t="e">
        <f aca="false">VLOOKUP(A793,BD_ORDENES!A:BE,17,FALSE())</f>
        <v>#N/A</v>
      </c>
      <c r="I793" s="68" t="e">
        <f aca="false">VLOOKUP(A793,BD_ORDENES!A:BE,18,FALSE())</f>
        <v>#N/A</v>
      </c>
      <c r="J793" s="68" t="e">
        <f aca="false">VLOOKUP(A793,BD_ORDENES!A:BE,19,FALSE())</f>
        <v>#N/A</v>
      </c>
      <c r="K793" s="68" t="e">
        <f aca="false">VLOOKUP(A793,BD_ORDENES!A:BE,20,FALSE())</f>
        <v>#N/A</v>
      </c>
      <c r="L793" s="68" t="e">
        <f aca="false">VLOOKUP(A793,BD_ORDENES!A:BE,21,FALSE())</f>
        <v>#N/A</v>
      </c>
      <c r="M793" s="69" t="e">
        <f aca="false">VLOOKUP(A793,BD_ORDENES!A:BE,14,FALSE())</f>
        <v>#N/A</v>
      </c>
      <c r="N793" s="68" t="e">
        <f aca="false">VLOOKUP(A793,BD_ORDENES!A:BE,15,FALSE())</f>
        <v>#N/A</v>
      </c>
      <c r="O793" s="68" t="e">
        <f aca="false">VLOOKUP(A793,BD_ORDENES!A:BE,33,FALSE())</f>
        <v>#N/A</v>
      </c>
      <c r="P793" s="68" t="e">
        <f aca="false">VLOOKUP(A793,BD_ORDENES!A:BE,23,FALSE())</f>
        <v>#N/A</v>
      </c>
      <c r="Q793" s="68" t="e">
        <f aca="false">VLOOKUP(A793,BD_ORDENES!A:BE,52,FALSE())</f>
        <v>#N/A</v>
      </c>
      <c r="R793" s="68" t="e">
        <f aca="false">VLOOKUP(A793,BD_ORDENES!A:BE,25,FALSE())</f>
        <v>#N/A</v>
      </c>
      <c r="S793" s="68" t="e">
        <f aca="false">VLOOKUP(A793,BD_ORDENES!A:BE,22,FALSE())</f>
        <v>#N/A</v>
      </c>
      <c r="T793" s="65" t="e">
        <f aca="false">VLOOKUP(A793,BD_ORDENES!A:BE,55,FALSE())</f>
        <v>#N/A</v>
      </c>
      <c r="U793" s="68" t="e">
        <f aca="false">VLOOKUP(A793,BD_ORDENES!A:BE,57,FALSE())</f>
        <v>#N/A</v>
      </c>
      <c r="V793" s="70"/>
      <c r="W793" s="71"/>
    </row>
    <row r="794" s="72" customFormat="true" ht="98.25" hidden="false" customHeight="true" outlineLevel="0" collapsed="false">
      <c r="A794" s="62" t="n">
        <f aca="false">A793+1</f>
        <v>787</v>
      </c>
      <c r="B794" s="63" t="e">
        <f aca="false">VLOOKUP(A794,BD_ORDENES!A:BG,12,FALSE())</f>
        <v>#N/A</v>
      </c>
      <c r="C794" s="64" t="n">
        <v>787</v>
      </c>
      <c r="D794" s="65" t="e">
        <f aca="false">VLOOKUP(A794,BD_ORDENES!A:BE,10,0)</f>
        <v>#N/A</v>
      </c>
      <c r="E794" s="66" t="e">
        <f aca="false">VLOOKUP(A794,BD_ORDENES!A:BG,4,FALSE())</f>
        <v>#N/A</v>
      </c>
      <c r="F794" s="66" t="e">
        <f aca="false">VLOOKUP(A794,BD_ORDENES!A:BE,56,FALSE())</f>
        <v>#N/A</v>
      </c>
      <c r="G794" s="67" t="e">
        <f aca="false">VLOOKUP(A794,BD_ORDENES!A:BE,13,FALSE())</f>
        <v>#N/A</v>
      </c>
      <c r="H794" s="68" t="e">
        <f aca="false">VLOOKUP(A794,BD_ORDENES!A:BE,17,FALSE())</f>
        <v>#N/A</v>
      </c>
      <c r="I794" s="68" t="e">
        <f aca="false">VLOOKUP(A794,BD_ORDENES!A:BE,18,FALSE())</f>
        <v>#N/A</v>
      </c>
      <c r="J794" s="68" t="e">
        <f aca="false">VLOOKUP(A794,BD_ORDENES!A:BE,19,FALSE())</f>
        <v>#N/A</v>
      </c>
      <c r="K794" s="68" t="e">
        <f aca="false">VLOOKUP(A794,BD_ORDENES!A:BE,20,FALSE())</f>
        <v>#N/A</v>
      </c>
      <c r="L794" s="68" t="e">
        <f aca="false">VLOOKUP(A794,BD_ORDENES!A:BE,21,FALSE())</f>
        <v>#N/A</v>
      </c>
      <c r="M794" s="69" t="e">
        <f aca="false">VLOOKUP(A794,BD_ORDENES!A:BE,14,FALSE())</f>
        <v>#N/A</v>
      </c>
      <c r="N794" s="68" t="e">
        <f aca="false">VLOOKUP(A794,BD_ORDENES!A:BE,15,FALSE())</f>
        <v>#N/A</v>
      </c>
      <c r="O794" s="68" t="e">
        <f aca="false">VLOOKUP(A794,BD_ORDENES!A:BE,33,FALSE())</f>
        <v>#N/A</v>
      </c>
      <c r="P794" s="68" t="e">
        <f aca="false">VLOOKUP(A794,BD_ORDENES!A:BE,23,FALSE())</f>
        <v>#N/A</v>
      </c>
      <c r="Q794" s="68" t="e">
        <f aca="false">VLOOKUP(A794,BD_ORDENES!A:BE,52,FALSE())</f>
        <v>#N/A</v>
      </c>
      <c r="R794" s="68" t="e">
        <f aca="false">VLOOKUP(A794,BD_ORDENES!A:BE,25,FALSE())</f>
        <v>#N/A</v>
      </c>
      <c r="S794" s="68" t="e">
        <f aca="false">VLOOKUP(A794,BD_ORDENES!A:BE,22,FALSE())</f>
        <v>#N/A</v>
      </c>
      <c r="T794" s="65" t="e">
        <f aca="false">VLOOKUP(A794,BD_ORDENES!A:BE,55,FALSE())</f>
        <v>#N/A</v>
      </c>
      <c r="U794" s="68" t="e">
        <f aca="false">VLOOKUP(A794,BD_ORDENES!A:BE,57,FALSE())</f>
        <v>#N/A</v>
      </c>
      <c r="V794" s="70"/>
      <c r="W794" s="71"/>
    </row>
    <row r="795" s="72" customFormat="true" ht="98.25" hidden="false" customHeight="true" outlineLevel="0" collapsed="false">
      <c r="A795" s="62" t="n">
        <f aca="false">A794+1</f>
        <v>788</v>
      </c>
      <c r="B795" s="63" t="e">
        <f aca="false">VLOOKUP(A795,BD_ORDENES!A:BG,12,FALSE())</f>
        <v>#N/A</v>
      </c>
      <c r="C795" s="64" t="n">
        <v>788</v>
      </c>
      <c r="D795" s="65" t="e">
        <f aca="false">VLOOKUP(A795,BD_ORDENES!A:BE,10,0)</f>
        <v>#N/A</v>
      </c>
      <c r="E795" s="66" t="e">
        <f aca="false">VLOOKUP(A795,BD_ORDENES!A:BG,4,FALSE())</f>
        <v>#N/A</v>
      </c>
      <c r="F795" s="66" t="e">
        <f aca="false">VLOOKUP(A795,BD_ORDENES!A:BE,56,FALSE())</f>
        <v>#N/A</v>
      </c>
      <c r="G795" s="67" t="e">
        <f aca="false">VLOOKUP(A795,BD_ORDENES!A:BE,13,FALSE())</f>
        <v>#N/A</v>
      </c>
      <c r="H795" s="68" t="e">
        <f aca="false">VLOOKUP(A795,BD_ORDENES!A:BE,17,FALSE())</f>
        <v>#N/A</v>
      </c>
      <c r="I795" s="68" t="e">
        <f aca="false">VLOOKUP(A795,BD_ORDENES!A:BE,18,FALSE())</f>
        <v>#N/A</v>
      </c>
      <c r="J795" s="68" t="e">
        <f aca="false">VLOOKUP(A795,BD_ORDENES!A:BE,19,FALSE())</f>
        <v>#N/A</v>
      </c>
      <c r="K795" s="68" t="e">
        <f aca="false">VLOOKUP(A795,BD_ORDENES!A:BE,20,FALSE())</f>
        <v>#N/A</v>
      </c>
      <c r="L795" s="68" t="e">
        <f aca="false">VLOOKUP(A795,BD_ORDENES!A:BE,21,FALSE())</f>
        <v>#N/A</v>
      </c>
      <c r="M795" s="69" t="e">
        <f aca="false">VLOOKUP(A795,BD_ORDENES!A:BE,14,FALSE())</f>
        <v>#N/A</v>
      </c>
      <c r="N795" s="68" t="e">
        <f aca="false">VLOOKUP(A795,BD_ORDENES!A:BE,15,FALSE())</f>
        <v>#N/A</v>
      </c>
      <c r="O795" s="68" t="e">
        <f aca="false">VLOOKUP(A795,BD_ORDENES!A:BE,33,FALSE())</f>
        <v>#N/A</v>
      </c>
      <c r="P795" s="68" t="e">
        <f aca="false">VLOOKUP(A795,BD_ORDENES!A:BE,23,FALSE())</f>
        <v>#N/A</v>
      </c>
      <c r="Q795" s="68" t="e">
        <f aca="false">VLOOKUP(A795,BD_ORDENES!A:BE,52,FALSE())</f>
        <v>#N/A</v>
      </c>
      <c r="R795" s="68" t="e">
        <f aca="false">VLOOKUP(A795,BD_ORDENES!A:BE,25,FALSE())</f>
        <v>#N/A</v>
      </c>
      <c r="S795" s="68" t="e">
        <f aca="false">VLOOKUP(A795,BD_ORDENES!A:BE,22,FALSE())</f>
        <v>#N/A</v>
      </c>
      <c r="T795" s="65" t="e">
        <f aca="false">VLOOKUP(A795,BD_ORDENES!A:BE,55,FALSE())</f>
        <v>#N/A</v>
      </c>
      <c r="U795" s="68" t="e">
        <f aca="false">VLOOKUP(A795,BD_ORDENES!A:BE,57,FALSE())</f>
        <v>#N/A</v>
      </c>
      <c r="V795" s="70"/>
      <c r="W795" s="71"/>
    </row>
    <row r="796" s="72" customFormat="true" ht="98.25" hidden="false" customHeight="true" outlineLevel="0" collapsed="false">
      <c r="A796" s="62" t="n">
        <f aca="false">A795+1</f>
        <v>789</v>
      </c>
      <c r="B796" s="63" t="e">
        <f aca="false">VLOOKUP(A796,BD_ORDENES!A:BG,12,FALSE())</f>
        <v>#N/A</v>
      </c>
      <c r="C796" s="64" t="n">
        <v>789</v>
      </c>
      <c r="D796" s="65" t="e">
        <f aca="false">VLOOKUP(A796,BD_ORDENES!A:BE,10,0)</f>
        <v>#N/A</v>
      </c>
      <c r="E796" s="66" t="e">
        <f aca="false">VLOOKUP(A796,BD_ORDENES!A:BG,4,FALSE())</f>
        <v>#N/A</v>
      </c>
      <c r="F796" s="66" t="e">
        <f aca="false">VLOOKUP(A796,BD_ORDENES!A:BE,56,FALSE())</f>
        <v>#N/A</v>
      </c>
      <c r="G796" s="67" t="e">
        <f aca="false">VLOOKUP(A796,BD_ORDENES!A:BE,13,FALSE())</f>
        <v>#N/A</v>
      </c>
      <c r="H796" s="68" t="e">
        <f aca="false">VLOOKUP(A796,BD_ORDENES!A:BE,17,FALSE())</f>
        <v>#N/A</v>
      </c>
      <c r="I796" s="68" t="e">
        <f aca="false">VLOOKUP(A796,BD_ORDENES!A:BE,18,FALSE())</f>
        <v>#N/A</v>
      </c>
      <c r="J796" s="68" t="e">
        <f aca="false">VLOOKUP(A796,BD_ORDENES!A:BE,19,FALSE())</f>
        <v>#N/A</v>
      </c>
      <c r="K796" s="68" t="e">
        <f aca="false">VLOOKUP(A796,BD_ORDENES!A:BE,20,FALSE())</f>
        <v>#N/A</v>
      </c>
      <c r="L796" s="68" t="e">
        <f aca="false">VLOOKUP(A796,BD_ORDENES!A:BE,21,FALSE())</f>
        <v>#N/A</v>
      </c>
      <c r="M796" s="69" t="e">
        <f aca="false">VLOOKUP(A796,BD_ORDENES!A:BE,14,FALSE())</f>
        <v>#N/A</v>
      </c>
      <c r="N796" s="68" t="e">
        <f aca="false">VLOOKUP(A796,BD_ORDENES!A:BE,15,FALSE())</f>
        <v>#N/A</v>
      </c>
      <c r="O796" s="68" t="e">
        <f aca="false">VLOOKUP(A796,BD_ORDENES!A:BE,33,FALSE())</f>
        <v>#N/A</v>
      </c>
      <c r="P796" s="68" t="e">
        <f aca="false">VLOOKUP(A796,BD_ORDENES!A:BE,23,FALSE())</f>
        <v>#N/A</v>
      </c>
      <c r="Q796" s="68" t="e">
        <f aca="false">VLOOKUP(A796,BD_ORDENES!A:BE,52,FALSE())</f>
        <v>#N/A</v>
      </c>
      <c r="R796" s="68" t="e">
        <f aca="false">VLOOKUP(A796,BD_ORDENES!A:BE,25,FALSE())</f>
        <v>#N/A</v>
      </c>
      <c r="S796" s="68" t="e">
        <f aca="false">VLOOKUP(A796,BD_ORDENES!A:BE,22,FALSE())</f>
        <v>#N/A</v>
      </c>
      <c r="T796" s="65" t="e">
        <f aca="false">VLOOKUP(A796,BD_ORDENES!A:BE,55,FALSE())</f>
        <v>#N/A</v>
      </c>
      <c r="U796" s="68" t="e">
        <f aca="false">VLOOKUP(A796,BD_ORDENES!A:BE,57,FALSE())</f>
        <v>#N/A</v>
      </c>
      <c r="V796" s="70"/>
      <c r="W796" s="71"/>
    </row>
    <row r="797" s="72" customFormat="true" ht="98.25" hidden="false" customHeight="true" outlineLevel="0" collapsed="false">
      <c r="A797" s="62" t="n">
        <f aca="false">A796+1</f>
        <v>790</v>
      </c>
      <c r="B797" s="63" t="e">
        <f aca="false">VLOOKUP(A797,BD_ORDENES!A:BG,12,FALSE())</f>
        <v>#N/A</v>
      </c>
      <c r="C797" s="64" t="n">
        <v>790</v>
      </c>
      <c r="D797" s="65" t="e">
        <f aca="false">VLOOKUP(A797,BD_ORDENES!A:BE,10,0)</f>
        <v>#N/A</v>
      </c>
      <c r="E797" s="66" t="e">
        <f aca="false">VLOOKUP(A797,BD_ORDENES!A:BG,4,FALSE())</f>
        <v>#N/A</v>
      </c>
      <c r="F797" s="66" t="e">
        <f aca="false">VLOOKUP(A797,BD_ORDENES!A:BE,56,FALSE())</f>
        <v>#N/A</v>
      </c>
      <c r="G797" s="67" t="e">
        <f aca="false">VLOOKUP(A797,BD_ORDENES!A:BE,13,FALSE())</f>
        <v>#N/A</v>
      </c>
      <c r="H797" s="68" t="e">
        <f aca="false">VLOOKUP(A797,BD_ORDENES!A:BE,17,FALSE())</f>
        <v>#N/A</v>
      </c>
      <c r="I797" s="68" t="e">
        <f aca="false">VLOOKUP(A797,BD_ORDENES!A:BE,18,FALSE())</f>
        <v>#N/A</v>
      </c>
      <c r="J797" s="68" t="e">
        <f aca="false">VLOOKUP(A797,BD_ORDENES!A:BE,19,FALSE())</f>
        <v>#N/A</v>
      </c>
      <c r="K797" s="68" t="e">
        <f aca="false">VLOOKUP(A797,BD_ORDENES!A:BE,20,FALSE())</f>
        <v>#N/A</v>
      </c>
      <c r="L797" s="68" t="e">
        <f aca="false">VLOOKUP(A797,BD_ORDENES!A:BE,21,FALSE())</f>
        <v>#N/A</v>
      </c>
      <c r="M797" s="69" t="e">
        <f aca="false">VLOOKUP(A797,BD_ORDENES!A:BE,14,FALSE())</f>
        <v>#N/A</v>
      </c>
      <c r="N797" s="68" t="e">
        <f aca="false">VLOOKUP(A797,BD_ORDENES!A:BE,15,FALSE())</f>
        <v>#N/A</v>
      </c>
      <c r="O797" s="68" t="e">
        <f aca="false">VLOOKUP(A797,BD_ORDENES!A:BE,33,FALSE())</f>
        <v>#N/A</v>
      </c>
      <c r="P797" s="68" t="e">
        <f aca="false">VLOOKUP(A797,BD_ORDENES!A:BE,23,FALSE())</f>
        <v>#N/A</v>
      </c>
      <c r="Q797" s="68" t="e">
        <f aca="false">VLOOKUP(A797,BD_ORDENES!A:BE,52,FALSE())</f>
        <v>#N/A</v>
      </c>
      <c r="R797" s="68" t="e">
        <f aca="false">VLOOKUP(A797,BD_ORDENES!A:BE,25,FALSE())</f>
        <v>#N/A</v>
      </c>
      <c r="S797" s="68" t="e">
        <f aca="false">VLOOKUP(A797,BD_ORDENES!A:BE,22,FALSE())</f>
        <v>#N/A</v>
      </c>
      <c r="T797" s="65" t="e">
        <f aca="false">VLOOKUP(A797,BD_ORDENES!A:BE,55,FALSE())</f>
        <v>#N/A</v>
      </c>
      <c r="U797" s="68" t="e">
        <f aca="false">VLOOKUP(A797,BD_ORDENES!A:BE,57,FALSE())</f>
        <v>#N/A</v>
      </c>
      <c r="V797" s="70"/>
      <c r="W797" s="71"/>
    </row>
    <row r="798" s="72" customFormat="true" ht="98.25" hidden="false" customHeight="true" outlineLevel="0" collapsed="false">
      <c r="A798" s="62" t="n">
        <f aca="false">A797+1</f>
        <v>791</v>
      </c>
      <c r="B798" s="63" t="e">
        <f aca="false">VLOOKUP(A798,BD_ORDENES!A:BG,12,FALSE())</f>
        <v>#N/A</v>
      </c>
      <c r="C798" s="64" t="n">
        <v>791</v>
      </c>
      <c r="D798" s="65" t="e">
        <f aca="false">VLOOKUP(A798,BD_ORDENES!A:BE,10,0)</f>
        <v>#N/A</v>
      </c>
      <c r="E798" s="66" t="e">
        <f aca="false">VLOOKUP(A798,BD_ORDENES!A:BG,4,FALSE())</f>
        <v>#N/A</v>
      </c>
      <c r="F798" s="66" t="e">
        <f aca="false">VLOOKUP(A798,BD_ORDENES!A:BE,56,FALSE())</f>
        <v>#N/A</v>
      </c>
      <c r="G798" s="67" t="e">
        <f aca="false">VLOOKUP(A798,BD_ORDENES!A:BE,13,FALSE())</f>
        <v>#N/A</v>
      </c>
      <c r="H798" s="68" t="e">
        <f aca="false">VLOOKUP(A798,BD_ORDENES!A:BE,17,FALSE())</f>
        <v>#N/A</v>
      </c>
      <c r="I798" s="68" t="e">
        <f aca="false">VLOOKUP(A798,BD_ORDENES!A:BE,18,FALSE())</f>
        <v>#N/A</v>
      </c>
      <c r="J798" s="68" t="e">
        <f aca="false">VLOOKUP(A798,BD_ORDENES!A:BE,19,FALSE())</f>
        <v>#N/A</v>
      </c>
      <c r="K798" s="68" t="e">
        <f aca="false">VLOOKUP(A798,BD_ORDENES!A:BE,20,FALSE())</f>
        <v>#N/A</v>
      </c>
      <c r="L798" s="68" t="e">
        <f aca="false">VLOOKUP(A798,BD_ORDENES!A:BE,21,FALSE())</f>
        <v>#N/A</v>
      </c>
      <c r="M798" s="69" t="e">
        <f aca="false">VLOOKUP(A798,BD_ORDENES!A:BE,14,FALSE())</f>
        <v>#N/A</v>
      </c>
      <c r="N798" s="68" t="e">
        <f aca="false">VLOOKUP(A798,BD_ORDENES!A:BE,15,FALSE())</f>
        <v>#N/A</v>
      </c>
      <c r="O798" s="68" t="e">
        <f aca="false">VLOOKUP(A798,BD_ORDENES!A:BE,33,FALSE())</f>
        <v>#N/A</v>
      </c>
      <c r="P798" s="68" t="e">
        <f aca="false">VLOOKUP(A798,BD_ORDENES!A:BE,23,FALSE())</f>
        <v>#N/A</v>
      </c>
      <c r="Q798" s="68" t="e">
        <f aca="false">VLOOKUP(A798,BD_ORDENES!A:BE,52,FALSE())</f>
        <v>#N/A</v>
      </c>
      <c r="R798" s="68" t="e">
        <f aca="false">VLOOKUP(A798,BD_ORDENES!A:BE,25,FALSE())</f>
        <v>#N/A</v>
      </c>
      <c r="S798" s="68" t="e">
        <f aca="false">VLOOKUP(A798,BD_ORDENES!A:BE,22,FALSE())</f>
        <v>#N/A</v>
      </c>
      <c r="T798" s="65" t="e">
        <f aca="false">VLOOKUP(A798,BD_ORDENES!A:BE,55,FALSE())</f>
        <v>#N/A</v>
      </c>
      <c r="U798" s="68" t="e">
        <f aca="false">VLOOKUP(A798,BD_ORDENES!A:BE,57,FALSE())</f>
        <v>#N/A</v>
      </c>
      <c r="V798" s="70"/>
      <c r="W798" s="71"/>
    </row>
    <row r="799" s="72" customFormat="true" ht="98.25" hidden="false" customHeight="true" outlineLevel="0" collapsed="false">
      <c r="A799" s="62" t="n">
        <f aca="false">A798+1</f>
        <v>792</v>
      </c>
      <c r="B799" s="63" t="e">
        <f aca="false">VLOOKUP(A799,BD_ORDENES!A:BG,12,FALSE())</f>
        <v>#N/A</v>
      </c>
      <c r="C799" s="64" t="n">
        <v>792</v>
      </c>
      <c r="D799" s="65" t="e">
        <f aca="false">VLOOKUP(A799,BD_ORDENES!A:BE,10,0)</f>
        <v>#N/A</v>
      </c>
      <c r="E799" s="66" t="e">
        <f aca="false">VLOOKUP(A799,BD_ORDENES!A:BG,4,FALSE())</f>
        <v>#N/A</v>
      </c>
      <c r="F799" s="66" t="e">
        <f aca="false">VLOOKUP(A799,BD_ORDENES!A:BE,56,FALSE())</f>
        <v>#N/A</v>
      </c>
      <c r="G799" s="67" t="e">
        <f aca="false">VLOOKUP(A799,BD_ORDENES!A:BE,13,FALSE())</f>
        <v>#N/A</v>
      </c>
      <c r="H799" s="68" t="e">
        <f aca="false">VLOOKUP(A799,BD_ORDENES!A:BE,17,FALSE())</f>
        <v>#N/A</v>
      </c>
      <c r="I799" s="68" t="e">
        <f aca="false">VLOOKUP(A799,BD_ORDENES!A:BE,18,FALSE())</f>
        <v>#N/A</v>
      </c>
      <c r="J799" s="68" t="e">
        <f aca="false">VLOOKUP(A799,BD_ORDENES!A:BE,19,FALSE())</f>
        <v>#N/A</v>
      </c>
      <c r="K799" s="68" t="e">
        <f aca="false">VLOOKUP(A799,BD_ORDENES!A:BE,20,FALSE())</f>
        <v>#N/A</v>
      </c>
      <c r="L799" s="68" t="e">
        <f aca="false">VLOOKUP(A799,BD_ORDENES!A:BE,21,FALSE())</f>
        <v>#N/A</v>
      </c>
      <c r="M799" s="69" t="e">
        <f aca="false">VLOOKUP(A799,BD_ORDENES!A:BE,14,FALSE())</f>
        <v>#N/A</v>
      </c>
      <c r="N799" s="68" t="e">
        <f aca="false">VLOOKUP(A799,BD_ORDENES!A:BE,15,FALSE())</f>
        <v>#N/A</v>
      </c>
      <c r="O799" s="68" t="e">
        <f aca="false">VLOOKUP(A799,BD_ORDENES!A:BE,33,FALSE())</f>
        <v>#N/A</v>
      </c>
      <c r="P799" s="68" t="e">
        <f aca="false">VLOOKUP(A799,BD_ORDENES!A:BE,23,FALSE())</f>
        <v>#N/A</v>
      </c>
      <c r="Q799" s="68" t="e">
        <f aca="false">VLOOKUP(A799,BD_ORDENES!A:BE,52,FALSE())</f>
        <v>#N/A</v>
      </c>
      <c r="R799" s="68" t="e">
        <f aca="false">VLOOKUP(A799,BD_ORDENES!A:BE,25,FALSE())</f>
        <v>#N/A</v>
      </c>
      <c r="S799" s="68" t="e">
        <f aca="false">VLOOKUP(A799,BD_ORDENES!A:BE,22,FALSE())</f>
        <v>#N/A</v>
      </c>
      <c r="T799" s="65" t="e">
        <f aca="false">VLOOKUP(A799,BD_ORDENES!A:BE,55,FALSE())</f>
        <v>#N/A</v>
      </c>
      <c r="U799" s="68" t="e">
        <f aca="false">VLOOKUP(A799,BD_ORDENES!A:BE,57,FALSE())</f>
        <v>#N/A</v>
      </c>
      <c r="V799" s="70"/>
      <c r="W799" s="71"/>
    </row>
    <row r="800" s="72" customFormat="true" ht="98.25" hidden="false" customHeight="true" outlineLevel="0" collapsed="false">
      <c r="A800" s="62" t="n">
        <f aca="false">A799+1</f>
        <v>793</v>
      </c>
      <c r="B800" s="63" t="e">
        <f aca="false">VLOOKUP(A800,BD_ORDENES!A:BG,12,FALSE())</f>
        <v>#N/A</v>
      </c>
      <c r="C800" s="64" t="n">
        <v>793</v>
      </c>
      <c r="D800" s="65" t="e">
        <f aca="false">VLOOKUP(A800,BD_ORDENES!A:BE,10,0)</f>
        <v>#N/A</v>
      </c>
      <c r="E800" s="66" t="e">
        <f aca="false">VLOOKUP(A800,BD_ORDENES!A:BG,4,FALSE())</f>
        <v>#N/A</v>
      </c>
      <c r="F800" s="66" t="e">
        <f aca="false">VLOOKUP(A800,BD_ORDENES!A:BE,56,FALSE())</f>
        <v>#N/A</v>
      </c>
      <c r="G800" s="67" t="e">
        <f aca="false">VLOOKUP(A800,BD_ORDENES!A:BE,13,FALSE())</f>
        <v>#N/A</v>
      </c>
      <c r="H800" s="68" t="e">
        <f aca="false">VLOOKUP(A800,BD_ORDENES!A:BE,17,FALSE())</f>
        <v>#N/A</v>
      </c>
      <c r="I800" s="68" t="e">
        <f aca="false">VLOOKUP(A800,BD_ORDENES!A:BE,18,FALSE())</f>
        <v>#N/A</v>
      </c>
      <c r="J800" s="68" t="e">
        <f aca="false">VLOOKUP(A800,BD_ORDENES!A:BE,19,FALSE())</f>
        <v>#N/A</v>
      </c>
      <c r="K800" s="68" t="e">
        <f aca="false">VLOOKUP(A800,BD_ORDENES!A:BE,20,FALSE())</f>
        <v>#N/A</v>
      </c>
      <c r="L800" s="68" t="e">
        <f aca="false">VLOOKUP(A800,BD_ORDENES!A:BE,21,FALSE())</f>
        <v>#N/A</v>
      </c>
      <c r="M800" s="69" t="e">
        <f aca="false">VLOOKUP(A800,BD_ORDENES!A:BE,14,FALSE())</f>
        <v>#N/A</v>
      </c>
      <c r="N800" s="68" t="e">
        <f aca="false">VLOOKUP(A800,BD_ORDENES!A:BE,15,FALSE())</f>
        <v>#N/A</v>
      </c>
      <c r="O800" s="68" t="e">
        <f aca="false">VLOOKUP(A800,BD_ORDENES!A:BE,33,FALSE())</f>
        <v>#N/A</v>
      </c>
      <c r="P800" s="68" t="e">
        <f aca="false">VLOOKUP(A800,BD_ORDENES!A:BE,23,FALSE())</f>
        <v>#N/A</v>
      </c>
      <c r="Q800" s="68" t="e">
        <f aca="false">VLOOKUP(A800,BD_ORDENES!A:BE,52,FALSE())</f>
        <v>#N/A</v>
      </c>
      <c r="R800" s="68" t="e">
        <f aca="false">VLOOKUP(A800,BD_ORDENES!A:BE,25,FALSE())</f>
        <v>#N/A</v>
      </c>
      <c r="S800" s="68" t="e">
        <f aca="false">VLOOKUP(A800,BD_ORDENES!A:BE,22,FALSE())</f>
        <v>#N/A</v>
      </c>
      <c r="T800" s="65" t="e">
        <f aca="false">VLOOKUP(A800,BD_ORDENES!A:BE,55,FALSE())</f>
        <v>#N/A</v>
      </c>
      <c r="U800" s="68" t="e">
        <f aca="false">VLOOKUP(A800,BD_ORDENES!A:BE,57,FALSE())</f>
        <v>#N/A</v>
      </c>
      <c r="V800" s="70"/>
      <c r="W800" s="71"/>
    </row>
    <row r="801" s="72" customFormat="true" ht="98.25" hidden="false" customHeight="true" outlineLevel="0" collapsed="false">
      <c r="A801" s="62" t="n">
        <f aca="false">A800+1</f>
        <v>794</v>
      </c>
      <c r="B801" s="63" t="e">
        <f aca="false">VLOOKUP(A801,BD_ORDENES!A:BG,12,FALSE())</f>
        <v>#N/A</v>
      </c>
      <c r="C801" s="64" t="n">
        <v>794</v>
      </c>
      <c r="D801" s="65" t="e">
        <f aca="false">VLOOKUP(A801,BD_ORDENES!A:BE,10,0)</f>
        <v>#N/A</v>
      </c>
      <c r="E801" s="66" t="e">
        <f aca="false">VLOOKUP(A801,BD_ORDENES!A:BG,4,FALSE())</f>
        <v>#N/A</v>
      </c>
      <c r="F801" s="66" t="e">
        <f aca="false">VLOOKUP(A801,BD_ORDENES!A:BE,56,FALSE())</f>
        <v>#N/A</v>
      </c>
      <c r="G801" s="67" t="e">
        <f aca="false">VLOOKUP(A801,BD_ORDENES!A:BE,13,FALSE())</f>
        <v>#N/A</v>
      </c>
      <c r="H801" s="68" t="e">
        <f aca="false">VLOOKUP(A801,BD_ORDENES!A:BE,17,FALSE())</f>
        <v>#N/A</v>
      </c>
      <c r="I801" s="68" t="e">
        <f aca="false">VLOOKUP(A801,BD_ORDENES!A:BE,18,FALSE())</f>
        <v>#N/A</v>
      </c>
      <c r="J801" s="68" t="e">
        <f aca="false">VLOOKUP(A801,BD_ORDENES!A:BE,19,FALSE())</f>
        <v>#N/A</v>
      </c>
      <c r="K801" s="68" t="e">
        <f aca="false">VLOOKUP(A801,BD_ORDENES!A:BE,20,FALSE())</f>
        <v>#N/A</v>
      </c>
      <c r="L801" s="68" t="e">
        <f aca="false">VLOOKUP(A801,BD_ORDENES!A:BE,21,FALSE())</f>
        <v>#N/A</v>
      </c>
      <c r="M801" s="69" t="e">
        <f aca="false">VLOOKUP(A801,BD_ORDENES!A:BE,14,FALSE())</f>
        <v>#N/A</v>
      </c>
      <c r="N801" s="68" t="e">
        <f aca="false">VLOOKUP(A801,BD_ORDENES!A:BE,15,FALSE())</f>
        <v>#N/A</v>
      </c>
      <c r="O801" s="68" t="e">
        <f aca="false">VLOOKUP(A801,BD_ORDENES!A:BE,33,FALSE())</f>
        <v>#N/A</v>
      </c>
      <c r="P801" s="68" t="e">
        <f aca="false">VLOOKUP(A801,BD_ORDENES!A:BE,23,FALSE())</f>
        <v>#N/A</v>
      </c>
      <c r="Q801" s="68" t="e">
        <f aca="false">VLOOKUP(A801,BD_ORDENES!A:BE,52,FALSE())</f>
        <v>#N/A</v>
      </c>
      <c r="R801" s="68" t="e">
        <f aca="false">VLOOKUP(A801,BD_ORDENES!A:BE,25,FALSE())</f>
        <v>#N/A</v>
      </c>
      <c r="S801" s="68" t="e">
        <f aca="false">VLOOKUP(A801,BD_ORDENES!A:BE,22,FALSE())</f>
        <v>#N/A</v>
      </c>
      <c r="T801" s="65" t="e">
        <f aca="false">VLOOKUP(A801,BD_ORDENES!A:BE,55,FALSE())</f>
        <v>#N/A</v>
      </c>
      <c r="U801" s="68" t="e">
        <f aca="false">VLOOKUP(A801,BD_ORDENES!A:BE,57,FALSE())</f>
        <v>#N/A</v>
      </c>
      <c r="V801" s="70"/>
      <c r="W801" s="71"/>
    </row>
    <row r="802" s="72" customFormat="true" ht="98.25" hidden="false" customHeight="true" outlineLevel="0" collapsed="false">
      <c r="A802" s="62" t="n">
        <f aca="false">A801+1</f>
        <v>795</v>
      </c>
      <c r="B802" s="63" t="e">
        <f aca="false">VLOOKUP(A802,BD_ORDENES!A:BG,12,FALSE())</f>
        <v>#N/A</v>
      </c>
      <c r="C802" s="64" t="n">
        <v>795</v>
      </c>
      <c r="D802" s="65" t="e">
        <f aca="false">VLOOKUP(A802,BD_ORDENES!A:BE,10,0)</f>
        <v>#N/A</v>
      </c>
      <c r="E802" s="66" t="e">
        <f aca="false">VLOOKUP(A802,BD_ORDENES!A:BG,4,FALSE())</f>
        <v>#N/A</v>
      </c>
      <c r="F802" s="66" t="e">
        <f aca="false">VLOOKUP(A802,BD_ORDENES!A:BE,56,FALSE())</f>
        <v>#N/A</v>
      </c>
      <c r="G802" s="67" t="e">
        <f aca="false">VLOOKUP(A802,BD_ORDENES!A:BE,13,FALSE())</f>
        <v>#N/A</v>
      </c>
      <c r="H802" s="68" t="e">
        <f aca="false">VLOOKUP(A802,BD_ORDENES!A:BE,17,FALSE())</f>
        <v>#N/A</v>
      </c>
      <c r="I802" s="68" t="e">
        <f aca="false">VLOOKUP(A802,BD_ORDENES!A:BE,18,FALSE())</f>
        <v>#N/A</v>
      </c>
      <c r="J802" s="68" t="e">
        <f aca="false">VLOOKUP(A802,BD_ORDENES!A:BE,19,FALSE())</f>
        <v>#N/A</v>
      </c>
      <c r="K802" s="68" t="e">
        <f aca="false">VLOOKUP(A802,BD_ORDENES!A:BE,20,FALSE())</f>
        <v>#N/A</v>
      </c>
      <c r="L802" s="68" t="e">
        <f aca="false">VLOOKUP(A802,BD_ORDENES!A:BE,21,FALSE())</f>
        <v>#N/A</v>
      </c>
      <c r="M802" s="69" t="e">
        <f aca="false">VLOOKUP(A802,BD_ORDENES!A:BE,14,FALSE())</f>
        <v>#N/A</v>
      </c>
      <c r="N802" s="68" t="e">
        <f aca="false">VLOOKUP(A802,BD_ORDENES!A:BE,15,FALSE())</f>
        <v>#N/A</v>
      </c>
      <c r="O802" s="68" t="e">
        <f aca="false">VLOOKUP(A802,BD_ORDENES!A:BE,33,FALSE())</f>
        <v>#N/A</v>
      </c>
      <c r="P802" s="68" t="e">
        <f aca="false">VLOOKUP(A802,BD_ORDENES!A:BE,23,FALSE())</f>
        <v>#N/A</v>
      </c>
      <c r="Q802" s="68" t="e">
        <f aca="false">VLOOKUP(A802,BD_ORDENES!A:BE,52,FALSE())</f>
        <v>#N/A</v>
      </c>
      <c r="R802" s="68" t="e">
        <f aca="false">VLOOKUP(A802,BD_ORDENES!A:BE,25,FALSE())</f>
        <v>#N/A</v>
      </c>
      <c r="S802" s="68" t="e">
        <f aca="false">VLOOKUP(A802,BD_ORDENES!A:BE,22,FALSE())</f>
        <v>#N/A</v>
      </c>
      <c r="T802" s="65" t="e">
        <f aca="false">VLOOKUP(A802,BD_ORDENES!A:BE,55,FALSE())</f>
        <v>#N/A</v>
      </c>
      <c r="U802" s="68" t="e">
        <f aca="false">VLOOKUP(A802,BD_ORDENES!A:BE,57,FALSE())</f>
        <v>#N/A</v>
      </c>
      <c r="V802" s="70"/>
      <c r="W802" s="71"/>
    </row>
    <row r="803" s="72" customFormat="true" ht="98.25" hidden="false" customHeight="true" outlineLevel="0" collapsed="false">
      <c r="A803" s="62" t="n">
        <f aca="false">A802+1</f>
        <v>796</v>
      </c>
      <c r="B803" s="63" t="e">
        <f aca="false">VLOOKUP(A803,BD_ORDENES!A:BG,12,FALSE())</f>
        <v>#N/A</v>
      </c>
      <c r="C803" s="64" t="n">
        <v>796</v>
      </c>
      <c r="D803" s="65" t="e">
        <f aca="false">VLOOKUP(A803,BD_ORDENES!A:BE,10,0)</f>
        <v>#N/A</v>
      </c>
      <c r="E803" s="66" t="e">
        <f aca="false">VLOOKUP(A803,BD_ORDENES!A:BG,4,FALSE())</f>
        <v>#N/A</v>
      </c>
      <c r="F803" s="66" t="e">
        <f aca="false">VLOOKUP(A803,BD_ORDENES!A:BE,56,FALSE())</f>
        <v>#N/A</v>
      </c>
      <c r="G803" s="67" t="e">
        <f aca="false">VLOOKUP(A803,BD_ORDENES!A:BE,13,FALSE())</f>
        <v>#N/A</v>
      </c>
      <c r="H803" s="68" t="e">
        <f aca="false">VLOOKUP(A803,BD_ORDENES!A:BE,17,FALSE())</f>
        <v>#N/A</v>
      </c>
      <c r="I803" s="68" t="e">
        <f aca="false">VLOOKUP(A803,BD_ORDENES!A:BE,18,FALSE())</f>
        <v>#N/A</v>
      </c>
      <c r="J803" s="68" t="e">
        <f aca="false">VLOOKUP(A803,BD_ORDENES!A:BE,19,FALSE())</f>
        <v>#N/A</v>
      </c>
      <c r="K803" s="68" t="e">
        <f aca="false">VLOOKUP(A803,BD_ORDENES!A:BE,20,FALSE())</f>
        <v>#N/A</v>
      </c>
      <c r="L803" s="68" t="e">
        <f aca="false">VLOOKUP(A803,BD_ORDENES!A:BE,21,FALSE())</f>
        <v>#N/A</v>
      </c>
      <c r="M803" s="69" t="e">
        <f aca="false">VLOOKUP(A803,BD_ORDENES!A:BE,14,FALSE())</f>
        <v>#N/A</v>
      </c>
      <c r="N803" s="68" t="e">
        <f aca="false">VLOOKUP(A803,BD_ORDENES!A:BE,15,FALSE())</f>
        <v>#N/A</v>
      </c>
      <c r="O803" s="68" t="e">
        <f aca="false">VLOOKUP(A803,BD_ORDENES!A:BE,33,FALSE())</f>
        <v>#N/A</v>
      </c>
      <c r="P803" s="68" t="e">
        <f aca="false">VLOOKUP(A803,BD_ORDENES!A:BE,23,FALSE())</f>
        <v>#N/A</v>
      </c>
      <c r="Q803" s="68" t="e">
        <f aca="false">VLOOKUP(A803,BD_ORDENES!A:BE,52,FALSE())</f>
        <v>#N/A</v>
      </c>
      <c r="R803" s="68" t="e">
        <f aca="false">VLOOKUP(A803,BD_ORDENES!A:BE,25,FALSE())</f>
        <v>#N/A</v>
      </c>
      <c r="S803" s="68" t="e">
        <f aca="false">VLOOKUP(A803,BD_ORDENES!A:BE,22,FALSE())</f>
        <v>#N/A</v>
      </c>
      <c r="T803" s="65" t="e">
        <f aca="false">VLOOKUP(A803,BD_ORDENES!A:BE,55,FALSE())</f>
        <v>#N/A</v>
      </c>
      <c r="U803" s="68" t="e">
        <f aca="false">VLOOKUP(A803,BD_ORDENES!A:BE,57,FALSE())</f>
        <v>#N/A</v>
      </c>
      <c r="V803" s="70"/>
      <c r="W803" s="71"/>
    </row>
    <row r="804" s="39" customFormat="true" ht="29.1" hidden="false" customHeight="false" outlineLevel="0" collapsed="false">
      <c r="A804" s="73" t="n">
        <f aca="false">A803+1</f>
        <v>797</v>
      </c>
      <c r="B804" s="74" t="e">
        <f aca="false">VLOOKUP(A804,BD_ORDENES!A:BG,12,FALSE())</f>
        <v>#N/A</v>
      </c>
      <c r="C804" s="75" t="n">
        <v>797</v>
      </c>
      <c r="D804" s="76" t="e">
        <f aca="false">VLOOKUP(A804,BD_ORDENES!A:BE,10,0)</f>
        <v>#N/A</v>
      </c>
      <c r="E804" s="77" t="e">
        <f aca="false">VLOOKUP(A804,BD_ORDENES!A:BG,4,FALSE())</f>
        <v>#N/A</v>
      </c>
      <c r="F804" s="77" t="e">
        <f aca="false">VLOOKUP(A804,BD_ORDENES!A:BE,56,FALSE())</f>
        <v>#N/A</v>
      </c>
      <c r="G804" s="78" t="e">
        <f aca="false">VLOOKUP(A804,BD_ORDENES!A:BE,13,FALSE())</f>
        <v>#N/A</v>
      </c>
      <c r="H804" s="79" t="e">
        <f aca="false">VLOOKUP(A804,BD_ORDENES!A:BE,17,FALSE())</f>
        <v>#N/A</v>
      </c>
      <c r="I804" s="79" t="e">
        <f aca="false">VLOOKUP(A804,BD_ORDENES!A:BE,18,FALSE())</f>
        <v>#N/A</v>
      </c>
      <c r="J804" s="79" t="e">
        <f aca="false">VLOOKUP(A804,BD_ORDENES!A:BE,19,FALSE())</f>
        <v>#N/A</v>
      </c>
      <c r="K804" s="79" t="e">
        <f aca="false">VLOOKUP(A804,BD_ORDENES!A:BE,20,FALSE())</f>
        <v>#N/A</v>
      </c>
      <c r="L804" s="79" t="e">
        <f aca="false">VLOOKUP(A804,BD_ORDENES!A:BE,21,FALSE())</f>
        <v>#N/A</v>
      </c>
      <c r="M804" s="80" t="e">
        <f aca="false">VLOOKUP(A804,BD_ORDENES!A:BE,14,FALSE())</f>
        <v>#N/A</v>
      </c>
      <c r="N804" s="79" t="e">
        <f aca="false">VLOOKUP(A804,BD_ORDENES!A:BE,15,FALSE())</f>
        <v>#N/A</v>
      </c>
      <c r="O804" s="79" t="e">
        <f aca="false">VLOOKUP(A804,BD_ORDENES!A:BE,33,FALSE())</f>
        <v>#N/A</v>
      </c>
      <c r="P804" s="79" t="e">
        <f aca="false">VLOOKUP(A804,BD_ORDENES!A:BE,23,FALSE())</f>
        <v>#N/A</v>
      </c>
      <c r="Q804" s="79" t="e">
        <f aca="false">VLOOKUP(A804,BD_ORDENES!A:BE,52,FALSE())</f>
        <v>#N/A</v>
      </c>
      <c r="R804" s="79" t="e">
        <f aca="false">VLOOKUP(A804,BD_ORDENES!A:BE,25,FALSE())</f>
        <v>#N/A</v>
      </c>
      <c r="S804" s="79" t="e">
        <f aca="false">VLOOKUP(A804,BD_ORDENES!A:BE,22,FALSE())</f>
        <v>#N/A</v>
      </c>
      <c r="T804" s="76" t="e">
        <f aca="false">VLOOKUP(A804,BD_ORDENES!A:BE,55,FALSE())</f>
        <v>#N/A</v>
      </c>
      <c r="U804" s="79" t="e">
        <f aca="false">VLOOKUP(A804,BD_ORDENES!A:BE,57,FALSE())</f>
        <v>#N/A</v>
      </c>
      <c r="V804" s="81"/>
      <c r="W804" s="82"/>
    </row>
    <row r="805" customFormat="false" ht="29.1" hidden="false" customHeight="false" outlineLevel="0" collapsed="false">
      <c r="A805" s="62" t="n">
        <f aca="false">A804+1</f>
        <v>798</v>
      </c>
      <c r="B805" s="63" t="e">
        <f aca="false">VLOOKUP(A805,BD_ORDENES!A:BG,12,FALSE())</f>
        <v>#N/A</v>
      </c>
      <c r="C805" s="64" t="n">
        <v>798</v>
      </c>
      <c r="D805" s="65" t="e">
        <f aca="false">VLOOKUP(A805,BD_ORDENES!A:BE,10,0)</f>
        <v>#N/A</v>
      </c>
      <c r="E805" s="66" t="e">
        <f aca="false">VLOOKUP(A805,BD_ORDENES!A:BG,4,FALSE())</f>
        <v>#N/A</v>
      </c>
      <c r="F805" s="66" t="e">
        <f aca="false">VLOOKUP(A805,BD_ORDENES!A:BE,56,FALSE())</f>
        <v>#N/A</v>
      </c>
      <c r="G805" s="67" t="e">
        <f aca="false">VLOOKUP(A805,BD_ORDENES!A:BE,13,FALSE())</f>
        <v>#N/A</v>
      </c>
      <c r="H805" s="68" t="e">
        <f aca="false">VLOOKUP(A805,BD_ORDENES!A:BE,17,FALSE())</f>
        <v>#N/A</v>
      </c>
      <c r="I805" s="68" t="e">
        <f aca="false">VLOOKUP(A805,BD_ORDENES!A:BE,18,FALSE())</f>
        <v>#N/A</v>
      </c>
      <c r="J805" s="68" t="e">
        <f aca="false">VLOOKUP(A805,BD_ORDENES!A:BE,19,FALSE())</f>
        <v>#N/A</v>
      </c>
      <c r="K805" s="68" t="e">
        <f aca="false">VLOOKUP(A805,BD_ORDENES!A:BE,20,FALSE())</f>
        <v>#N/A</v>
      </c>
      <c r="L805" s="68" t="e">
        <f aca="false">VLOOKUP(A805,BD_ORDENES!A:BE,21,FALSE())</f>
        <v>#N/A</v>
      </c>
      <c r="M805" s="69" t="e">
        <f aca="false">VLOOKUP(A805,BD_ORDENES!A:BE,14,FALSE())</f>
        <v>#N/A</v>
      </c>
      <c r="N805" s="68" t="e">
        <f aca="false">VLOOKUP(A805,BD_ORDENES!A:BE,15,FALSE())</f>
        <v>#N/A</v>
      </c>
      <c r="O805" s="68" t="e">
        <f aca="false">VLOOKUP(A805,BD_ORDENES!A:BE,33,FALSE())</f>
        <v>#N/A</v>
      </c>
      <c r="P805" s="68" t="e">
        <f aca="false">VLOOKUP(A805,BD_ORDENES!A:BE,23,FALSE())</f>
        <v>#N/A</v>
      </c>
      <c r="Q805" s="68" t="e">
        <f aca="false">VLOOKUP(A805,BD_ORDENES!A:BE,52,FALSE())</f>
        <v>#N/A</v>
      </c>
      <c r="R805" s="68" t="e">
        <f aca="false">VLOOKUP(A805,BD_ORDENES!A:BE,25,FALSE())</f>
        <v>#N/A</v>
      </c>
      <c r="S805" s="68" t="e">
        <f aca="false">VLOOKUP(A805,BD_ORDENES!A:BE,22,FALSE())</f>
        <v>#N/A</v>
      </c>
      <c r="T805" s="65" t="e">
        <f aca="false">VLOOKUP(A805,BD_ORDENES!A:BE,55,FALSE())</f>
        <v>#N/A</v>
      </c>
      <c r="U805" s="68" t="e">
        <f aca="false">VLOOKUP(A805,BD_ORDENES!A:BE,57,FALSE())</f>
        <v>#N/A</v>
      </c>
      <c r="V805" s="70"/>
    </row>
    <row r="806" customFormat="false" ht="29.1" hidden="false" customHeight="false" outlineLevel="0" collapsed="false">
      <c r="A806" s="62" t="n">
        <f aca="false">A805+1</f>
        <v>799</v>
      </c>
      <c r="B806" s="63" t="e">
        <f aca="false">VLOOKUP(A806,BD_ORDENES!A:BG,12,FALSE())</f>
        <v>#N/A</v>
      </c>
      <c r="C806" s="64" t="n">
        <v>799</v>
      </c>
      <c r="D806" s="65" t="e">
        <f aca="false">VLOOKUP(A806,BD_ORDENES!A:BE,10,0)</f>
        <v>#N/A</v>
      </c>
      <c r="E806" s="66" t="e">
        <f aca="false">VLOOKUP(A806,BD_ORDENES!A:BG,4,FALSE())</f>
        <v>#N/A</v>
      </c>
      <c r="F806" s="66" t="e">
        <f aca="false">VLOOKUP(A806,BD_ORDENES!A:BE,56,FALSE())</f>
        <v>#N/A</v>
      </c>
      <c r="G806" s="67" t="e">
        <f aca="false">VLOOKUP(A806,BD_ORDENES!A:BE,13,FALSE())</f>
        <v>#N/A</v>
      </c>
      <c r="H806" s="68" t="e">
        <f aca="false">VLOOKUP(A806,BD_ORDENES!A:BE,17,FALSE())</f>
        <v>#N/A</v>
      </c>
      <c r="I806" s="68" t="e">
        <f aca="false">VLOOKUP(A806,BD_ORDENES!A:BE,18,FALSE())</f>
        <v>#N/A</v>
      </c>
      <c r="J806" s="68" t="e">
        <f aca="false">VLOOKUP(A806,BD_ORDENES!A:BE,19,FALSE())</f>
        <v>#N/A</v>
      </c>
      <c r="K806" s="68" t="e">
        <f aca="false">VLOOKUP(A806,BD_ORDENES!A:BE,20,FALSE())</f>
        <v>#N/A</v>
      </c>
      <c r="L806" s="68" t="e">
        <f aca="false">VLOOKUP(A806,BD_ORDENES!A:BE,21,FALSE())</f>
        <v>#N/A</v>
      </c>
      <c r="M806" s="69" t="e">
        <f aca="false">VLOOKUP(A806,BD_ORDENES!A:BE,14,FALSE())</f>
        <v>#N/A</v>
      </c>
      <c r="N806" s="68" t="e">
        <f aca="false">VLOOKUP(A806,BD_ORDENES!A:BE,15,FALSE())</f>
        <v>#N/A</v>
      </c>
      <c r="O806" s="68" t="e">
        <f aca="false">VLOOKUP(A806,BD_ORDENES!A:BE,33,FALSE())</f>
        <v>#N/A</v>
      </c>
      <c r="P806" s="68" t="e">
        <f aca="false">VLOOKUP(A806,BD_ORDENES!A:BE,23,FALSE())</f>
        <v>#N/A</v>
      </c>
      <c r="Q806" s="68" t="e">
        <f aca="false">VLOOKUP(A806,BD_ORDENES!A:BE,52,FALSE())</f>
        <v>#N/A</v>
      </c>
      <c r="R806" s="68" t="e">
        <f aca="false">VLOOKUP(A806,BD_ORDENES!A:BE,25,FALSE())</f>
        <v>#N/A</v>
      </c>
      <c r="S806" s="68" t="e">
        <f aca="false">VLOOKUP(A806,BD_ORDENES!A:BE,22,FALSE())</f>
        <v>#N/A</v>
      </c>
      <c r="T806" s="65" t="e">
        <f aca="false">VLOOKUP(A806,BD_ORDENES!A:BE,55,FALSE())</f>
        <v>#N/A</v>
      </c>
      <c r="U806" s="68" t="e">
        <f aca="false">VLOOKUP(A806,BD_ORDENES!A:BE,57,FALSE())</f>
        <v>#N/A</v>
      </c>
      <c r="V806" s="70"/>
    </row>
    <row r="807" customFormat="false" ht="29.1" hidden="false" customHeight="false" outlineLevel="0" collapsed="false">
      <c r="A807" s="62" t="n">
        <f aca="false">A806+1</f>
        <v>800</v>
      </c>
      <c r="B807" s="63" t="e">
        <f aca="false">VLOOKUP(A807,BD_ORDENES!A:BG,12,FALSE())</f>
        <v>#N/A</v>
      </c>
      <c r="C807" s="64" t="n">
        <v>800</v>
      </c>
      <c r="D807" s="65" t="e">
        <f aca="false">VLOOKUP(A807,BD_ORDENES!A:BE,10,0)</f>
        <v>#N/A</v>
      </c>
      <c r="E807" s="66" t="e">
        <f aca="false">VLOOKUP(A807,BD_ORDENES!A:BG,4,FALSE())</f>
        <v>#N/A</v>
      </c>
      <c r="F807" s="66" t="e">
        <f aca="false">VLOOKUP(A807,BD_ORDENES!A:BE,56,FALSE())</f>
        <v>#N/A</v>
      </c>
      <c r="G807" s="67" t="e">
        <f aca="false">VLOOKUP(A807,BD_ORDENES!A:BE,13,FALSE())</f>
        <v>#N/A</v>
      </c>
      <c r="H807" s="68" t="e">
        <f aca="false">VLOOKUP(A807,BD_ORDENES!A:BE,17,FALSE())</f>
        <v>#N/A</v>
      </c>
      <c r="I807" s="68" t="e">
        <f aca="false">VLOOKUP(A807,BD_ORDENES!A:BE,18,FALSE())</f>
        <v>#N/A</v>
      </c>
      <c r="J807" s="68" t="e">
        <f aca="false">VLOOKUP(A807,BD_ORDENES!A:BE,19,FALSE())</f>
        <v>#N/A</v>
      </c>
      <c r="K807" s="68" t="e">
        <f aca="false">VLOOKUP(A807,BD_ORDENES!A:BE,20,FALSE())</f>
        <v>#N/A</v>
      </c>
      <c r="L807" s="68" t="e">
        <f aca="false">VLOOKUP(A807,BD_ORDENES!A:BE,21,FALSE())</f>
        <v>#N/A</v>
      </c>
      <c r="M807" s="69" t="e">
        <f aca="false">VLOOKUP(A807,BD_ORDENES!A:BE,14,FALSE())</f>
        <v>#N/A</v>
      </c>
      <c r="N807" s="68" t="e">
        <f aca="false">VLOOKUP(A807,BD_ORDENES!A:BE,15,FALSE())</f>
        <v>#N/A</v>
      </c>
      <c r="O807" s="68" t="e">
        <f aca="false">VLOOKUP(A807,BD_ORDENES!A:BE,33,FALSE())</f>
        <v>#N/A</v>
      </c>
      <c r="P807" s="68" t="e">
        <f aca="false">VLOOKUP(A807,BD_ORDENES!A:BE,23,FALSE())</f>
        <v>#N/A</v>
      </c>
      <c r="Q807" s="68" t="e">
        <f aca="false">VLOOKUP(A807,BD_ORDENES!A:BE,52,FALSE())</f>
        <v>#N/A</v>
      </c>
      <c r="R807" s="68" t="e">
        <f aca="false">VLOOKUP(A807,BD_ORDENES!A:BE,25,FALSE())</f>
        <v>#N/A</v>
      </c>
      <c r="S807" s="68" t="e">
        <f aca="false">VLOOKUP(A807,BD_ORDENES!A:BE,22,FALSE())</f>
        <v>#N/A</v>
      </c>
      <c r="T807" s="65" t="e">
        <f aca="false">VLOOKUP(A807,BD_ORDENES!A:BE,55,FALSE())</f>
        <v>#N/A</v>
      </c>
      <c r="U807" s="68" t="e">
        <f aca="false">VLOOKUP(A807,BD_ORDENES!A:BE,57,FALSE())</f>
        <v>#N/A</v>
      </c>
      <c r="V807" s="70"/>
    </row>
    <row r="808" customFormat="false" ht="29.1" hidden="false" customHeight="false" outlineLevel="0" collapsed="false">
      <c r="A808" s="62" t="n">
        <f aca="false">A807+1</f>
        <v>801</v>
      </c>
      <c r="B808" s="63" t="e">
        <f aca="false">VLOOKUP(A808,BD_ORDENES!A:BG,12,FALSE())</f>
        <v>#N/A</v>
      </c>
      <c r="C808" s="64" t="n">
        <v>801</v>
      </c>
      <c r="D808" s="65" t="e">
        <f aca="false">VLOOKUP(A808,BD_ORDENES!A:BE,10,0)</f>
        <v>#N/A</v>
      </c>
      <c r="E808" s="66" t="e">
        <f aca="false">VLOOKUP(A808,BD_ORDENES!A:BG,4,FALSE())</f>
        <v>#N/A</v>
      </c>
      <c r="F808" s="66" t="e">
        <f aca="false">VLOOKUP(A808,BD_ORDENES!A:BE,56,FALSE())</f>
        <v>#N/A</v>
      </c>
      <c r="G808" s="67" t="e">
        <f aca="false">VLOOKUP(A808,BD_ORDENES!A:BE,13,FALSE())</f>
        <v>#N/A</v>
      </c>
      <c r="H808" s="68" t="e">
        <f aca="false">VLOOKUP(A808,BD_ORDENES!A:BE,17,FALSE())</f>
        <v>#N/A</v>
      </c>
      <c r="I808" s="68" t="e">
        <f aca="false">VLOOKUP(A808,BD_ORDENES!A:BE,18,FALSE())</f>
        <v>#N/A</v>
      </c>
      <c r="J808" s="68" t="e">
        <f aca="false">VLOOKUP(A808,BD_ORDENES!A:BE,19,FALSE())</f>
        <v>#N/A</v>
      </c>
      <c r="K808" s="68" t="e">
        <f aca="false">VLOOKUP(A808,BD_ORDENES!A:BE,20,FALSE())</f>
        <v>#N/A</v>
      </c>
      <c r="L808" s="68" t="e">
        <f aca="false">VLOOKUP(A808,BD_ORDENES!A:BE,21,FALSE())</f>
        <v>#N/A</v>
      </c>
      <c r="M808" s="69" t="e">
        <f aca="false">VLOOKUP(A808,BD_ORDENES!A:BE,14,FALSE())</f>
        <v>#N/A</v>
      </c>
      <c r="N808" s="68" t="e">
        <f aca="false">VLOOKUP(A808,BD_ORDENES!A:BE,15,FALSE())</f>
        <v>#N/A</v>
      </c>
      <c r="O808" s="68" t="e">
        <f aca="false">VLOOKUP(A808,BD_ORDENES!A:BE,33,FALSE())</f>
        <v>#N/A</v>
      </c>
      <c r="P808" s="68" t="e">
        <f aca="false">VLOOKUP(A808,BD_ORDENES!A:BE,23,FALSE())</f>
        <v>#N/A</v>
      </c>
      <c r="Q808" s="68" t="e">
        <f aca="false">VLOOKUP(A808,BD_ORDENES!A:BE,52,FALSE())</f>
        <v>#N/A</v>
      </c>
      <c r="R808" s="68" t="e">
        <f aca="false">VLOOKUP(A808,BD_ORDENES!A:BE,25,FALSE())</f>
        <v>#N/A</v>
      </c>
      <c r="S808" s="68" t="e">
        <f aca="false">VLOOKUP(A808,BD_ORDENES!A:BE,22,FALSE())</f>
        <v>#N/A</v>
      </c>
      <c r="T808" s="65" t="e">
        <f aca="false">VLOOKUP(A808,BD_ORDENES!A:BE,55,FALSE())</f>
        <v>#N/A</v>
      </c>
      <c r="U808" s="68" t="e">
        <f aca="false">VLOOKUP(A808,BD_ORDENES!A:BE,57,FALSE())</f>
        <v>#N/A</v>
      </c>
      <c r="V808" s="70"/>
    </row>
    <row r="809" customFormat="false" ht="29.1" hidden="false" customHeight="false" outlineLevel="0" collapsed="false">
      <c r="A809" s="62" t="n">
        <f aca="false">A808+1</f>
        <v>802</v>
      </c>
      <c r="B809" s="63" t="e">
        <f aca="false">VLOOKUP(A809,BD_ORDENES!A:BG,12,FALSE())</f>
        <v>#N/A</v>
      </c>
      <c r="C809" s="64" t="n">
        <v>802</v>
      </c>
      <c r="D809" s="65" t="e">
        <f aca="false">VLOOKUP(A809,BD_ORDENES!A:BE,10,0)</f>
        <v>#N/A</v>
      </c>
      <c r="E809" s="66" t="e">
        <f aca="false">VLOOKUP(A809,BD_ORDENES!A:BG,4,FALSE())</f>
        <v>#N/A</v>
      </c>
      <c r="F809" s="66" t="e">
        <f aca="false">VLOOKUP(A809,BD_ORDENES!A:BE,56,FALSE())</f>
        <v>#N/A</v>
      </c>
      <c r="G809" s="67" t="e">
        <f aca="false">VLOOKUP(A809,BD_ORDENES!A:BE,13,FALSE())</f>
        <v>#N/A</v>
      </c>
      <c r="H809" s="68" t="e">
        <f aca="false">VLOOKUP(A809,BD_ORDENES!A:BE,17,FALSE())</f>
        <v>#N/A</v>
      </c>
      <c r="I809" s="68" t="e">
        <f aca="false">VLOOKUP(A809,BD_ORDENES!A:BE,18,FALSE())</f>
        <v>#N/A</v>
      </c>
      <c r="J809" s="68" t="e">
        <f aca="false">VLOOKUP(A809,BD_ORDENES!A:BE,19,FALSE())</f>
        <v>#N/A</v>
      </c>
      <c r="K809" s="68" t="e">
        <f aca="false">VLOOKUP(A809,BD_ORDENES!A:BE,20,FALSE())</f>
        <v>#N/A</v>
      </c>
      <c r="L809" s="68" t="e">
        <f aca="false">VLOOKUP(A809,BD_ORDENES!A:BE,21,FALSE())</f>
        <v>#N/A</v>
      </c>
      <c r="M809" s="69" t="e">
        <f aca="false">VLOOKUP(A809,BD_ORDENES!A:BE,14,FALSE())</f>
        <v>#N/A</v>
      </c>
      <c r="N809" s="68" t="e">
        <f aca="false">VLOOKUP(A809,BD_ORDENES!A:BE,15,FALSE())</f>
        <v>#N/A</v>
      </c>
      <c r="O809" s="68" t="e">
        <f aca="false">VLOOKUP(A809,BD_ORDENES!A:BE,33,FALSE())</f>
        <v>#N/A</v>
      </c>
      <c r="P809" s="68" t="e">
        <f aca="false">VLOOKUP(A809,BD_ORDENES!A:BE,23,FALSE())</f>
        <v>#N/A</v>
      </c>
      <c r="Q809" s="68" t="e">
        <f aca="false">VLOOKUP(A809,BD_ORDENES!A:BE,52,FALSE())</f>
        <v>#N/A</v>
      </c>
      <c r="R809" s="68" t="e">
        <f aca="false">VLOOKUP(A809,BD_ORDENES!A:BE,25,FALSE())</f>
        <v>#N/A</v>
      </c>
      <c r="S809" s="68" t="e">
        <f aca="false">VLOOKUP(A809,BD_ORDENES!A:BE,22,FALSE())</f>
        <v>#N/A</v>
      </c>
      <c r="T809" s="65" t="e">
        <f aca="false">VLOOKUP(A809,BD_ORDENES!A:BE,55,FALSE())</f>
        <v>#N/A</v>
      </c>
      <c r="U809" s="68" t="e">
        <f aca="false">VLOOKUP(A809,BD_ORDENES!A:BE,57,FALSE())</f>
        <v>#N/A</v>
      </c>
      <c r="V809" s="70"/>
    </row>
    <row r="810" customFormat="false" ht="29.1" hidden="false" customHeight="false" outlineLevel="0" collapsed="false">
      <c r="A810" s="62" t="n">
        <f aca="false">A809+1</f>
        <v>803</v>
      </c>
      <c r="B810" s="63" t="e">
        <f aca="false">VLOOKUP(A810,BD_ORDENES!A:BG,12,FALSE())</f>
        <v>#N/A</v>
      </c>
      <c r="C810" s="64" t="n">
        <v>803</v>
      </c>
      <c r="D810" s="65" t="e">
        <f aca="false">VLOOKUP(A810,BD_ORDENES!A:BE,10,0)</f>
        <v>#N/A</v>
      </c>
      <c r="E810" s="66" t="e">
        <f aca="false">VLOOKUP(A810,BD_ORDENES!A:BG,4,FALSE())</f>
        <v>#N/A</v>
      </c>
      <c r="F810" s="66" t="e">
        <f aca="false">VLOOKUP(A810,BD_ORDENES!A:BE,56,FALSE())</f>
        <v>#N/A</v>
      </c>
      <c r="G810" s="67" t="e">
        <f aca="false">VLOOKUP(A810,BD_ORDENES!A:BE,13,FALSE())</f>
        <v>#N/A</v>
      </c>
      <c r="H810" s="68" t="e">
        <f aca="false">VLOOKUP(A810,BD_ORDENES!A:BE,17,FALSE())</f>
        <v>#N/A</v>
      </c>
      <c r="I810" s="68" t="e">
        <f aca="false">VLOOKUP(A810,BD_ORDENES!A:BE,18,FALSE())</f>
        <v>#N/A</v>
      </c>
      <c r="J810" s="68" t="e">
        <f aca="false">VLOOKUP(A810,BD_ORDENES!A:BE,19,FALSE())</f>
        <v>#N/A</v>
      </c>
      <c r="K810" s="68" t="e">
        <f aca="false">VLOOKUP(A810,BD_ORDENES!A:BE,20,FALSE())</f>
        <v>#N/A</v>
      </c>
      <c r="L810" s="68" t="e">
        <f aca="false">VLOOKUP(A810,BD_ORDENES!A:BE,21,FALSE())</f>
        <v>#N/A</v>
      </c>
      <c r="M810" s="69" t="e">
        <f aca="false">VLOOKUP(A810,BD_ORDENES!A:BE,14,FALSE())</f>
        <v>#N/A</v>
      </c>
      <c r="N810" s="68" t="e">
        <f aca="false">VLOOKUP(A810,BD_ORDENES!A:BE,15,FALSE())</f>
        <v>#N/A</v>
      </c>
      <c r="O810" s="68" t="e">
        <f aca="false">VLOOKUP(A810,BD_ORDENES!A:BE,33,FALSE())</f>
        <v>#N/A</v>
      </c>
      <c r="P810" s="68" t="e">
        <f aca="false">VLOOKUP(A810,BD_ORDENES!A:BE,23,FALSE())</f>
        <v>#N/A</v>
      </c>
      <c r="Q810" s="68" t="e">
        <f aca="false">VLOOKUP(A810,BD_ORDENES!A:BE,52,FALSE())</f>
        <v>#N/A</v>
      </c>
      <c r="R810" s="68" t="e">
        <f aca="false">VLOOKUP(A810,BD_ORDENES!A:BE,25,FALSE())</f>
        <v>#N/A</v>
      </c>
      <c r="S810" s="68" t="e">
        <f aca="false">VLOOKUP(A810,BD_ORDENES!A:BE,22,FALSE())</f>
        <v>#N/A</v>
      </c>
      <c r="T810" s="65" t="e">
        <f aca="false">VLOOKUP(A810,BD_ORDENES!A:BE,55,FALSE())</f>
        <v>#N/A</v>
      </c>
      <c r="U810" s="68" t="e">
        <f aca="false">VLOOKUP(A810,BD_ORDENES!A:BE,57,FALSE())</f>
        <v>#N/A</v>
      </c>
      <c r="V810" s="70"/>
    </row>
    <row r="811" customFormat="false" ht="29.1" hidden="false" customHeight="false" outlineLevel="0" collapsed="false">
      <c r="A811" s="62" t="n">
        <f aca="false">A810+1</f>
        <v>804</v>
      </c>
      <c r="B811" s="63" t="e">
        <f aca="false">VLOOKUP(A811,BD_ORDENES!A:BG,12,FALSE())</f>
        <v>#N/A</v>
      </c>
      <c r="C811" s="64" t="n">
        <v>804</v>
      </c>
      <c r="D811" s="65" t="e">
        <f aca="false">VLOOKUP(A811,BD_ORDENES!A:BE,10,0)</f>
        <v>#N/A</v>
      </c>
      <c r="E811" s="66" t="e">
        <f aca="false">VLOOKUP(A811,BD_ORDENES!A:BG,4,FALSE())</f>
        <v>#N/A</v>
      </c>
      <c r="F811" s="66" t="e">
        <f aca="false">VLOOKUP(A811,BD_ORDENES!A:BE,56,FALSE())</f>
        <v>#N/A</v>
      </c>
      <c r="G811" s="67" t="e">
        <f aca="false">VLOOKUP(A811,BD_ORDENES!A:BE,13,FALSE())</f>
        <v>#N/A</v>
      </c>
      <c r="H811" s="68" t="e">
        <f aca="false">VLOOKUP(A811,BD_ORDENES!A:BE,17,FALSE())</f>
        <v>#N/A</v>
      </c>
      <c r="I811" s="68" t="e">
        <f aca="false">VLOOKUP(A811,BD_ORDENES!A:BE,18,FALSE())</f>
        <v>#N/A</v>
      </c>
      <c r="J811" s="68" t="e">
        <f aca="false">VLOOKUP(A811,BD_ORDENES!A:BE,19,FALSE())</f>
        <v>#N/A</v>
      </c>
      <c r="K811" s="68" t="e">
        <f aca="false">VLOOKUP(A811,BD_ORDENES!A:BE,20,FALSE())</f>
        <v>#N/A</v>
      </c>
      <c r="L811" s="68" t="e">
        <f aca="false">VLOOKUP(A811,BD_ORDENES!A:BE,21,FALSE())</f>
        <v>#N/A</v>
      </c>
      <c r="M811" s="69" t="e">
        <f aca="false">VLOOKUP(A811,BD_ORDENES!A:BE,14,FALSE())</f>
        <v>#N/A</v>
      </c>
      <c r="N811" s="68" t="e">
        <f aca="false">VLOOKUP(A811,BD_ORDENES!A:BE,15,FALSE())</f>
        <v>#N/A</v>
      </c>
      <c r="O811" s="68" t="e">
        <f aca="false">VLOOKUP(A811,BD_ORDENES!A:BE,33,FALSE())</f>
        <v>#N/A</v>
      </c>
      <c r="P811" s="68" t="e">
        <f aca="false">VLOOKUP(A811,BD_ORDENES!A:BE,23,FALSE())</f>
        <v>#N/A</v>
      </c>
      <c r="Q811" s="68" t="e">
        <f aca="false">VLOOKUP(A811,BD_ORDENES!A:BE,52,FALSE())</f>
        <v>#N/A</v>
      </c>
      <c r="R811" s="68" t="e">
        <f aca="false">VLOOKUP(A811,BD_ORDENES!A:BE,25,FALSE())</f>
        <v>#N/A</v>
      </c>
      <c r="S811" s="68" t="e">
        <f aca="false">VLOOKUP(A811,BD_ORDENES!A:BE,22,FALSE())</f>
        <v>#N/A</v>
      </c>
      <c r="T811" s="65" t="e">
        <f aca="false">VLOOKUP(A811,BD_ORDENES!A:BE,55,FALSE())</f>
        <v>#N/A</v>
      </c>
      <c r="U811" s="68" t="e">
        <f aca="false">VLOOKUP(A811,BD_ORDENES!A:BE,57,FALSE())</f>
        <v>#N/A</v>
      </c>
      <c r="V811" s="70"/>
    </row>
    <row r="812" customFormat="false" ht="29.1" hidden="false" customHeight="false" outlineLevel="0" collapsed="false">
      <c r="A812" s="62" t="n">
        <f aca="false">A811+1</f>
        <v>805</v>
      </c>
      <c r="B812" s="63" t="e">
        <f aca="false">VLOOKUP(A812,BD_ORDENES!A:BG,12,FALSE())</f>
        <v>#N/A</v>
      </c>
      <c r="C812" s="64" t="n">
        <v>805</v>
      </c>
      <c r="D812" s="65" t="e">
        <f aca="false">VLOOKUP(A812,BD_ORDENES!A:BE,10,0)</f>
        <v>#N/A</v>
      </c>
      <c r="E812" s="66" t="e">
        <f aca="false">VLOOKUP(A812,BD_ORDENES!A:BG,4,FALSE())</f>
        <v>#N/A</v>
      </c>
      <c r="F812" s="66" t="e">
        <f aca="false">VLOOKUP(A812,BD_ORDENES!A:BE,56,FALSE())</f>
        <v>#N/A</v>
      </c>
      <c r="G812" s="67" t="e">
        <f aca="false">VLOOKUP(A812,BD_ORDENES!A:BE,13,FALSE())</f>
        <v>#N/A</v>
      </c>
      <c r="H812" s="68" t="e">
        <f aca="false">VLOOKUP(A812,BD_ORDENES!A:BE,17,FALSE())</f>
        <v>#N/A</v>
      </c>
      <c r="I812" s="68" t="e">
        <f aca="false">VLOOKUP(A812,BD_ORDENES!A:BE,18,FALSE())</f>
        <v>#N/A</v>
      </c>
      <c r="J812" s="68" t="e">
        <f aca="false">VLOOKUP(A812,BD_ORDENES!A:BE,19,FALSE())</f>
        <v>#N/A</v>
      </c>
      <c r="K812" s="68" t="e">
        <f aca="false">VLOOKUP(A812,BD_ORDENES!A:BE,20,FALSE())</f>
        <v>#N/A</v>
      </c>
      <c r="L812" s="68" t="e">
        <f aca="false">VLOOKUP(A812,BD_ORDENES!A:BE,21,FALSE())</f>
        <v>#N/A</v>
      </c>
      <c r="M812" s="69" t="e">
        <f aca="false">VLOOKUP(A812,BD_ORDENES!A:BE,14,FALSE())</f>
        <v>#N/A</v>
      </c>
      <c r="N812" s="68" t="e">
        <f aca="false">VLOOKUP(A812,BD_ORDENES!A:BE,15,FALSE())</f>
        <v>#N/A</v>
      </c>
      <c r="O812" s="68" t="e">
        <f aca="false">VLOOKUP(A812,BD_ORDENES!A:BE,33,FALSE())</f>
        <v>#N/A</v>
      </c>
      <c r="P812" s="68" t="e">
        <f aca="false">VLOOKUP(A812,BD_ORDENES!A:BE,23,FALSE())</f>
        <v>#N/A</v>
      </c>
      <c r="Q812" s="68" t="e">
        <f aca="false">VLOOKUP(A812,BD_ORDENES!A:BE,52,FALSE())</f>
        <v>#N/A</v>
      </c>
      <c r="R812" s="68" t="e">
        <f aca="false">VLOOKUP(A812,BD_ORDENES!A:BE,25,FALSE())</f>
        <v>#N/A</v>
      </c>
      <c r="S812" s="68" t="e">
        <f aca="false">VLOOKUP(A812,BD_ORDENES!A:BE,22,FALSE())</f>
        <v>#N/A</v>
      </c>
      <c r="T812" s="65" t="e">
        <f aca="false">VLOOKUP(A812,BD_ORDENES!A:BE,55,FALSE())</f>
        <v>#N/A</v>
      </c>
      <c r="U812" s="68" t="e">
        <f aca="false">VLOOKUP(A812,BD_ORDENES!A:BE,57,FALSE())</f>
        <v>#N/A</v>
      </c>
      <c r="V812" s="70"/>
    </row>
    <row r="813" customFormat="false" ht="29.1" hidden="false" customHeight="false" outlineLevel="0" collapsed="false">
      <c r="A813" s="62" t="n">
        <f aca="false">A812+1</f>
        <v>806</v>
      </c>
      <c r="B813" s="63" t="e">
        <f aca="false">VLOOKUP(A813,BD_ORDENES!A:BG,12,FALSE())</f>
        <v>#N/A</v>
      </c>
      <c r="C813" s="64" t="n">
        <v>806</v>
      </c>
      <c r="D813" s="65" t="e">
        <f aca="false">VLOOKUP(A813,BD_ORDENES!A:BE,10,0)</f>
        <v>#N/A</v>
      </c>
      <c r="E813" s="66" t="e">
        <f aca="false">VLOOKUP(A813,BD_ORDENES!A:BG,4,FALSE())</f>
        <v>#N/A</v>
      </c>
      <c r="F813" s="66" t="e">
        <f aca="false">VLOOKUP(A813,BD_ORDENES!A:BE,56,FALSE())</f>
        <v>#N/A</v>
      </c>
      <c r="G813" s="67" t="e">
        <f aca="false">VLOOKUP(A813,BD_ORDENES!A:BE,13,FALSE())</f>
        <v>#N/A</v>
      </c>
      <c r="H813" s="68" t="e">
        <f aca="false">VLOOKUP(A813,BD_ORDENES!A:BE,17,FALSE())</f>
        <v>#N/A</v>
      </c>
      <c r="I813" s="68" t="e">
        <f aca="false">VLOOKUP(A813,BD_ORDENES!A:BE,18,FALSE())</f>
        <v>#N/A</v>
      </c>
      <c r="J813" s="68" t="e">
        <f aca="false">VLOOKUP(A813,BD_ORDENES!A:BE,19,FALSE())</f>
        <v>#N/A</v>
      </c>
      <c r="K813" s="68" t="e">
        <f aca="false">VLOOKUP(A813,BD_ORDENES!A:BE,20,FALSE())</f>
        <v>#N/A</v>
      </c>
      <c r="L813" s="68" t="e">
        <f aca="false">VLOOKUP(A813,BD_ORDENES!A:BE,21,FALSE())</f>
        <v>#N/A</v>
      </c>
      <c r="M813" s="69" t="e">
        <f aca="false">VLOOKUP(A813,BD_ORDENES!A:BE,14,FALSE())</f>
        <v>#N/A</v>
      </c>
      <c r="N813" s="68" t="e">
        <f aca="false">VLOOKUP(A813,BD_ORDENES!A:BE,15,FALSE())</f>
        <v>#N/A</v>
      </c>
      <c r="O813" s="68" t="e">
        <f aca="false">VLOOKUP(A813,BD_ORDENES!A:BE,33,FALSE())</f>
        <v>#N/A</v>
      </c>
      <c r="P813" s="68" t="e">
        <f aca="false">VLOOKUP(A813,BD_ORDENES!A:BE,23,FALSE())</f>
        <v>#N/A</v>
      </c>
      <c r="Q813" s="68" t="e">
        <f aca="false">VLOOKUP(A813,BD_ORDENES!A:BE,52,FALSE())</f>
        <v>#N/A</v>
      </c>
      <c r="R813" s="68" t="e">
        <f aca="false">VLOOKUP(A813,BD_ORDENES!A:BE,25,FALSE())</f>
        <v>#N/A</v>
      </c>
      <c r="S813" s="68" t="e">
        <f aca="false">VLOOKUP(A813,BD_ORDENES!A:BE,22,FALSE())</f>
        <v>#N/A</v>
      </c>
      <c r="T813" s="65" t="e">
        <f aca="false">VLOOKUP(A813,BD_ORDENES!A:BE,55,FALSE())</f>
        <v>#N/A</v>
      </c>
      <c r="U813" s="68" t="e">
        <f aca="false">VLOOKUP(A813,BD_ORDENES!A:BE,57,FALSE())</f>
        <v>#N/A</v>
      </c>
      <c r="V813" s="70"/>
    </row>
    <row r="814" customFormat="false" ht="29.1" hidden="false" customHeight="false" outlineLevel="0" collapsed="false">
      <c r="A814" s="62" t="n">
        <f aca="false">A813+1</f>
        <v>807</v>
      </c>
      <c r="B814" s="63" t="e">
        <f aca="false">VLOOKUP(A814,BD_ORDENES!A:BG,12,FALSE())</f>
        <v>#N/A</v>
      </c>
      <c r="C814" s="64" t="n">
        <v>807</v>
      </c>
      <c r="D814" s="65" t="e">
        <f aca="false">VLOOKUP(A814,BD_ORDENES!A:BE,10,0)</f>
        <v>#N/A</v>
      </c>
      <c r="E814" s="66" t="e">
        <f aca="false">VLOOKUP(A814,BD_ORDENES!A:BG,4,FALSE())</f>
        <v>#N/A</v>
      </c>
      <c r="F814" s="66" t="e">
        <f aca="false">VLOOKUP(A814,BD_ORDENES!A:BE,56,FALSE())</f>
        <v>#N/A</v>
      </c>
      <c r="G814" s="67" t="e">
        <f aca="false">VLOOKUP(A814,BD_ORDENES!A:BE,13,FALSE())</f>
        <v>#N/A</v>
      </c>
      <c r="H814" s="68" t="e">
        <f aca="false">VLOOKUP(A814,BD_ORDENES!A:BE,17,FALSE())</f>
        <v>#N/A</v>
      </c>
      <c r="I814" s="68" t="e">
        <f aca="false">VLOOKUP(A814,BD_ORDENES!A:BE,18,FALSE())</f>
        <v>#N/A</v>
      </c>
      <c r="J814" s="68" t="e">
        <f aca="false">VLOOKUP(A814,BD_ORDENES!A:BE,19,FALSE())</f>
        <v>#N/A</v>
      </c>
      <c r="K814" s="68" t="e">
        <f aca="false">VLOOKUP(A814,BD_ORDENES!A:BE,20,FALSE())</f>
        <v>#N/A</v>
      </c>
      <c r="L814" s="68" t="e">
        <f aca="false">VLOOKUP(A814,BD_ORDENES!A:BE,21,FALSE())</f>
        <v>#N/A</v>
      </c>
      <c r="M814" s="69" t="e">
        <f aca="false">VLOOKUP(A814,BD_ORDENES!A:BE,14,FALSE())</f>
        <v>#N/A</v>
      </c>
      <c r="N814" s="68" t="e">
        <f aca="false">VLOOKUP(A814,BD_ORDENES!A:BE,15,FALSE())</f>
        <v>#N/A</v>
      </c>
      <c r="O814" s="68" t="e">
        <f aca="false">VLOOKUP(A814,BD_ORDENES!A:BE,33,FALSE())</f>
        <v>#N/A</v>
      </c>
      <c r="P814" s="68" t="e">
        <f aca="false">VLOOKUP(A814,BD_ORDENES!A:BE,23,FALSE())</f>
        <v>#N/A</v>
      </c>
      <c r="Q814" s="68" t="e">
        <f aca="false">VLOOKUP(A814,BD_ORDENES!A:BE,52,FALSE())</f>
        <v>#N/A</v>
      </c>
      <c r="R814" s="68" t="e">
        <f aca="false">VLOOKUP(A814,BD_ORDENES!A:BE,25,FALSE())</f>
        <v>#N/A</v>
      </c>
      <c r="S814" s="68" t="e">
        <f aca="false">VLOOKUP(A814,BD_ORDENES!A:BE,22,FALSE())</f>
        <v>#N/A</v>
      </c>
      <c r="T814" s="65" t="e">
        <f aca="false">VLOOKUP(A814,BD_ORDENES!A:BE,55,FALSE())</f>
        <v>#N/A</v>
      </c>
      <c r="U814" s="68" t="e">
        <f aca="false">VLOOKUP(A814,BD_ORDENES!A:BE,57,FALSE())</f>
        <v>#N/A</v>
      </c>
      <c r="V814" s="70"/>
    </row>
    <row r="815" customFormat="false" ht="29.1" hidden="false" customHeight="false" outlineLevel="0" collapsed="false">
      <c r="A815" s="62" t="n">
        <f aca="false">A814+1</f>
        <v>808</v>
      </c>
      <c r="B815" s="63" t="e">
        <f aca="false">VLOOKUP(A815,BD_ORDENES!A:BG,12,FALSE())</f>
        <v>#N/A</v>
      </c>
      <c r="C815" s="64" t="n">
        <v>808</v>
      </c>
      <c r="D815" s="65" t="e">
        <f aca="false">VLOOKUP(A815,BD_ORDENES!A:BE,10,0)</f>
        <v>#N/A</v>
      </c>
      <c r="E815" s="66" t="e">
        <f aca="false">VLOOKUP(A815,BD_ORDENES!A:BG,4,FALSE())</f>
        <v>#N/A</v>
      </c>
      <c r="F815" s="66" t="e">
        <f aca="false">VLOOKUP(A815,BD_ORDENES!A:BE,56,FALSE())</f>
        <v>#N/A</v>
      </c>
      <c r="G815" s="67" t="e">
        <f aca="false">VLOOKUP(A815,BD_ORDENES!A:BE,13,FALSE())</f>
        <v>#N/A</v>
      </c>
      <c r="H815" s="68" t="e">
        <f aca="false">VLOOKUP(A815,BD_ORDENES!A:BE,17,FALSE())</f>
        <v>#N/A</v>
      </c>
      <c r="I815" s="68" t="e">
        <f aca="false">VLOOKUP(A815,BD_ORDENES!A:BE,18,FALSE())</f>
        <v>#N/A</v>
      </c>
      <c r="J815" s="68" t="e">
        <f aca="false">VLOOKUP(A815,BD_ORDENES!A:BE,19,FALSE())</f>
        <v>#N/A</v>
      </c>
      <c r="K815" s="68" t="e">
        <f aca="false">VLOOKUP(A815,BD_ORDENES!A:BE,20,FALSE())</f>
        <v>#N/A</v>
      </c>
      <c r="L815" s="68" t="e">
        <f aca="false">VLOOKUP(A815,BD_ORDENES!A:BE,21,FALSE())</f>
        <v>#N/A</v>
      </c>
      <c r="M815" s="69" t="e">
        <f aca="false">VLOOKUP(A815,BD_ORDENES!A:BE,14,FALSE())</f>
        <v>#N/A</v>
      </c>
      <c r="N815" s="68" t="e">
        <f aca="false">VLOOKUP(A815,BD_ORDENES!A:BE,15,FALSE())</f>
        <v>#N/A</v>
      </c>
      <c r="O815" s="68" t="e">
        <f aca="false">VLOOKUP(A815,BD_ORDENES!A:BE,33,FALSE())</f>
        <v>#N/A</v>
      </c>
      <c r="P815" s="68" t="e">
        <f aca="false">VLOOKUP(A815,BD_ORDENES!A:BE,23,FALSE())</f>
        <v>#N/A</v>
      </c>
      <c r="Q815" s="68" t="e">
        <f aca="false">VLOOKUP(A815,BD_ORDENES!A:BE,52,FALSE())</f>
        <v>#N/A</v>
      </c>
      <c r="R815" s="68" t="e">
        <f aca="false">VLOOKUP(A815,BD_ORDENES!A:BE,25,FALSE())</f>
        <v>#N/A</v>
      </c>
      <c r="S815" s="68" t="e">
        <f aca="false">VLOOKUP(A815,BD_ORDENES!A:BE,22,FALSE())</f>
        <v>#N/A</v>
      </c>
      <c r="T815" s="65" t="e">
        <f aca="false">VLOOKUP(A815,BD_ORDENES!A:BE,55,FALSE())</f>
        <v>#N/A</v>
      </c>
      <c r="U815" s="68" t="e">
        <f aca="false">VLOOKUP(A815,BD_ORDENES!A:BE,57,FALSE())</f>
        <v>#N/A</v>
      </c>
      <c r="V815" s="70"/>
    </row>
    <row r="816" customFormat="false" ht="29.1" hidden="false" customHeight="false" outlineLevel="0" collapsed="false">
      <c r="A816" s="62" t="n">
        <f aca="false">A815+1</f>
        <v>809</v>
      </c>
      <c r="B816" s="63" t="e">
        <f aca="false">VLOOKUP(A816,BD_ORDENES!A:BG,12,FALSE())</f>
        <v>#N/A</v>
      </c>
      <c r="C816" s="64" t="n">
        <v>809</v>
      </c>
      <c r="D816" s="65" t="e">
        <f aca="false">VLOOKUP(A816,BD_ORDENES!A:BE,10,0)</f>
        <v>#N/A</v>
      </c>
      <c r="E816" s="66" t="e">
        <f aca="false">VLOOKUP(A816,BD_ORDENES!A:BG,4,FALSE())</f>
        <v>#N/A</v>
      </c>
      <c r="F816" s="66" t="e">
        <f aca="false">VLOOKUP(A816,BD_ORDENES!A:BE,56,FALSE())</f>
        <v>#N/A</v>
      </c>
      <c r="G816" s="67" t="e">
        <f aca="false">VLOOKUP(A816,BD_ORDENES!A:BE,13,FALSE())</f>
        <v>#N/A</v>
      </c>
      <c r="H816" s="68" t="e">
        <f aca="false">VLOOKUP(A816,BD_ORDENES!A:BE,17,FALSE())</f>
        <v>#N/A</v>
      </c>
      <c r="I816" s="68" t="e">
        <f aca="false">VLOOKUP(A816,BD_ORDENES!A:BE,18,FALSE())</f>
        <v>#N/A</v>
      </c>
      <c r="J816" s="68" t="e">
        <f aca="false">VLOOKUP(A816,BD_ORDENES!A:BE,19,FALSE())</f>
        <v>#N/A</v>
      </c>
      <c r="K816" s="68" t="e">
        <f aca="false">VLOOKUP(A816,BD_ORDENES!A:BE,20,FALSE())</f>
        <v>#N/A</v>
      </c>
      <c r="L816" s="68" t="e">
        <f aca="false">VLOOKUP(A816,BD_ORDENES!A:BE,21,FALSE())</f>
        <v>#N/A</v>
      </c>
      <c r="M816" s="69" t="e">
        <f aca="false">VLOOKUP(A816,BD_ORDENES!A:BE,14,FALSE())</f>
        <v>#N/A</v>
      </c>
      <c r="N816" s="68" t="e">
        <f aca="false">VLOOKUP(A816,BD_ORDENES!A:BE,15,FALSE())</f>
        <v>#N/A</v>
      </c>
      <c r="O816" s="68" t="e">
        <f aca="false">VLOOKUP(A816,BD_ORDENES!A:BE,33,FALSE())</f>
        <v>#N/A</v>
      </c>
      <c r="P816" s="68" t="e">
        <f aca="false">VLOOKUP(A816,BD_ORDENES!A:BE,23,FALSE())</f>
        <v>#N/A</v>
      </c>
      <c r="Q816" s="68" t="e">
        <f aca="false">VLOOKUP(A816,BD_ORDENES!A:BE,52,FALSE())</f>
        <v>#N/A</v>
      </c>
      <c r="R816" s="68" t="e">
        <f aca="false">VLOOKUP(A816,BD_ORDENES!A:BE,25,FALSE())</f>
        <v>#N/A</v>
      </c>
      <c r="S816" s="68" t="e">
        <f aca="false">VLOOKUP(A816,BD_ORDENES!A:BE,22,FALSE())</f>
        <v>#N/A</v>
      </c>
      <c r="T816" s="65" t="e">
        <f aca="false">VLOOKUP(A816,BD_ORDENES!A:BE,55,FALSE())</f>
        <v>#N/A</v>
      </c>
      <c r="U816" s="68" t="e">
        <f aca="false">VLOOKUP(A816,BD_ORDENES!A:BE,57,FALSE())</f>
        <v>#N/A</v>
      </c>
      <c r="V816" s="70"/>
    </row>
    <row r="817" customFormat="false" ht="29.1" hidden="false" customHeight="false" outlineLevel="0" collapsed="false">
      <c r="A817" s="62" t="n">
        <f aca="false">A816+1</f>
        <v>810</v>
      </c>
      <c r="B817" s="63" t="e">
        <f aca="false">VLOOKUP(A817,BD_ORDENES!A:BG,12,FALSE())</f>
        <v>#N/A</v>
      </c>
      <c r="C817" s="64" t="n">
        <v>810</v>
      </c>
      <c r="D817" s="65" t="e">
        <f aca="false">VLOOKUP(A817,BD_ORDENES!A:BE,10,0)</f>
        <v>#N/A</v>
      </c>
      <c r="E817" s="66" t="e">
        <f aca="false">VLOOKUP(A817,BD_ORDENES!A:BG,4,FALSE())</f>
        <v>#N/A</v>
      </c>
      <c r="F817" s="66" t="e">
        <f aca="false">VLOOKUP(A817,BD_ORDENES!A:BE,56,FALSE())</f>
        <v>#N/A</v>
      </c>
      <c r="G817" s="67" t="e">
        <f aca="false">VLOOKUP(A817,BD_ORDENES!A:BE,13,FALSE())</f>
        <v>#N/A</v>
      </c>
      <c r="H817" s="68" t="e">
        <f aca="false">VLOOKUP(A817,BD_ORDENES!A:BE,17,FALSE())</f>
        <v>#N/A</v>
      </c>
      <c r="I817" s="68" t="e">
        <f aca="false">VLOOKUP(A817,BD_ORDENES!A:BE,18,FALSE())</f>
        <v>#N/A</v>
      </c>
      <c r="J817" s="68" t="e">
        <f aca="false">VLOOKUP(A817,BD_ORDENES!A:BE,19,FALSE())</f>
        <v>#N/A</v>
      </c>
      <c r="K817" s="68" t="e">
        <f aca="false">VLOOKUP(A817,BD_ORDENES!A:BE,20,FALSE())</f>
        <v>#N/A</v>
      </c>
      <c r="L817" s="68" t="e">
        <f aca="false">VLOOKUP(A817,BD_ORDENES!A:BE,21,FALSE())</f>
        <v>#N/A</v>
      </c>
      <c r="M817" s="69" t="e">
        <f aca="false">VLOOKUP(A817,BD_ORDENES!A:BE,14,FALSE())</f>
        <v>#N/A</v>
      </c>
      <c r="N817" s="68" t="e">
        <f aca="false">VLOOKUP(A817,BD_ORDENES!A:BE,15,FALSE())</f>
        <v>#N/A</v>
      </c>
      <c r="O817" s="68" t="e">
        <f aca="false">VLOOKUP(A817,BD_ORDENES!A:BE,33,FALSE())</f>
        <v>#N/A</v>
      </c>
      <c r="P817" s="68" t="e">
        <f aca="false">VLOOKUP(A817,BD_ORDENES!A:BE,23,FALSE())</f>
        <v>#N/A</v>
      </c>
      <c r="Q817" s="68" t="e">
        <f aca="false">VLOOKUP(A817,BD_ORDENES!A:BE,52,FALSE())</f>
        <v>#N/A</v>
      </c>
      <c r="R817" s="68" t="e">
        <f aca="false">VLOOKUP(A817,BD_ORDENES!A:BE,25,FALSE())</f>
        <v>#N/A</v>
      </c>
      <c r="S817" s="68" t="e">
        <f aca="false">VLOOKUP(A817,BD_ORDENES!A:BE,22,FALSE())</f>
        <v>#N/A</v>
      </c>
      <c r="T817" s="65" t="e">
        <f aca="false">VLOOKUP(A817,BD_ORDENES!A:BE,55,FALSE())</f>
        <v>#N/A</v>
      </c>
      <c r="U817" s="68" t="e">
        <f aca="false">VLOOKUP(A817,BD_ORDENES!A:BE,57,FALSE())</f>
        <v>#N/A</v>
      </c>
      <c r="V817" s="70"/>
    </row>
    <row r="818" customFormat="false" ht="29.1" hidden="false" customHeight="false" outlineLevel="0" collapsed="false">
      <c r="A818" s="62" t="n">
        <f aca="false">A817+1</f>
        <v>811</v>
      </c>
      <c r="B818" s="63" t="e">
        <f aca="false">VLOOKUP(A818,BD_ORDENES!A:BG,12,FALSE())</f>
        <v>#N/A</v>
      </c>
      <c r="C818" s="64" t="n">
        <v>811</v>
      </c>
      <c r="D818" s="65" t="e">
        <f aca="false">VLOOKUP(A818,BD_ORDENES!A:BE,10,0)</f>
        <v>#N/A</v>
      </c>
      <c r="E818" s="66" t="e">
        <f aca="false">VLOOKUP(A818,BD_ORDENES!A:BG,4,FALSE())</f>
        <v>#N/A</v>
      </c>
      <c r="F818" s="66" t="e">
        <f aca="false">VLOOKUP(A818,BD_ORDENES!A:BE,56,FALSE())</f>
        <v>#N/A</v>
      </c>
      <c r="G818" s="67" t="e">
        <f aca="false">VLOOKUP(A818,BD_ORDENES!A:BE,13,FALSE())</f>
        <v>#N/A</v>
      </c>
      <c r="H818" s="68" t="e">
        <f aca="false">VLOOKUP(A818,BD_ORDENES!A:BE,17,FALSE())</f>
        <v>#N/A</v>
      </c>
      <c r="I818" s="68" t="e">
        <f aca="false">VLOOKUP(A818,BD_ORDENES!A:BE,18,FALSE())</f>
        <v>#N/A</v>
      </c>
      <c r="J818" s="68" t="e">
        <f aca="false">VLOOKUP(A818,BD_ORDENES!A:BE,19,FALSE())</f>
        <v>#N/A</v>
      </c>
      <c r="K818" s="68" t="e">
        <f aca="false">VLOOKUP(A818,BD_ORDENES!A:BE,20,FALSE())</f>
        <v>#N/A</v>
      </c>
      <c r="L818" s="68" t="e">
        <f aca="false">VLOOKUP(A818,BD_ORDENES!A:BE,21,FALSE())</f>
        <v>#N/A</v>
      </c>
      <c r="M818" s="69" t="e">
        <f aca="false">VLOOKUP(A818,BD_ORDENES!A:BE,14,FALSE())</f>
        <v>#N/A</v>
      </c>
      <c r="N818" s="68" t="e">
        <f aca="false">VLOOKUP(A818,BD_ORDENES!A:BE,15,FALSE())</f>
        <v>#N/A</v>
      </c>
      <c r="O818" s="68" t="e">
        <f aca="false">VLOOKUP(A818,BD_ORDENES!A:BE,33,FALSE())</f>
        <v>#N/A</v>
      </c>
      <c r="P818" s="68" t="e">
        <f aca="false">VLOOKUP(A818,BD_ORDENES!A:BE,23,FALSE())</f>
        <v>#N/A</v>
      </c>
      <c r="Q818" s="68" t="e">
        <f aca="false">VLOOKUP(A818,BD_ORDENES!A:BE,52,FALSE())</f>
        <v>#N/A</v>
      </c>
      <c r="R818" s="68" t="e">
        <f aca="false">VLOOKUP(A818,BD_ORDENES!A:BE,25,FALSE())</f>
        <v>#N/A</v>
      </c>
      <c r="S818" s="68" t="e">
        <f aca="false">VLOOKUP(A818,BD_ORDENES!A:BE,22,FALSE())</f>
        <v>#N/A</v>
      </c>
      <c r="T818" s="65" t="e">
        <f aca="false">VLOOKUP(A818,BD_ORDENES!A:BE,55,FALSE())</f>
        <v>#N/A</v>
      </c>
      <c r="U818" s="68" t="e">
        <f aca="false">VLOOKUP(A818,BD_ORDENES!A:BE,57,FALSE())</f>
        <v>#N/A</v>
      </c>
      <c r="V818" s="70"/>
    </row>
    <row r="819" customFormat="false" ht="29.1" hidden="false" customHeight="false" outlineLevel="0" collapsed="false">
      <c r="A819" s="62" t="n">
        <f aca="false">A818+1</f>
        <v>812</v>
      </c>
      <c r="B819" s="63" t="e">
        <f aca="false">VLOOKUP(A819,BD_ORDENES!A:BG,12,FALSE())</f>
        <v>#N/A</v>
      </c>
      <c r="C819" s="64" t="n">
        <v>812</v>
      </c>
      <c r="D819" s="65" t="e">
        <f aca="false">VLOOKUP(A819,BD_ORDENES!A:BE,10,0)</f>
        <v>#N/A</v>
      </c>
      <c r="E819" s="66" t="e">
        <f aca="false">VLOOKUP(A819,BD_ORDENES!A:BG,4,FALSE())</f>
        <v>#N/A</v>
      </c>
      <c r="F819" s="66" t="e">
        <f aca="false">VLOOKUP(A819,BD_ORDENES!A:BE,56,FALSE())</f>
        <v>#N/A</v>
      </c>
      <c r="G819" s="67" t="e">
        <f aca="false">VLOOKUP(A819,BD_ORDENES!A:BE,13,FALSE())</f>
        <v>#N/A</v>
      </c>
      <c r="H819" s="68" t="e">
        <f aca="false">VLOOKUP(A819,BD_ORDENES!A:BE,17,FALSE())</f>
        <v>#N/A</v>
      </c>
      <c r="I819" s="68" t="e">
        <f aca="false">VLOOKUP(A819,BD_ORDENES!A:BE,18,FALSE())</f>
        <v>#N/A</v>
      </c>
      <c r="J819" s="68" t="e">
        <f aca="false">VLOOKUP(A819,BD_ORDENES!A:BE,19,FALSE())</f>
        <v>#N/A</v>
      </c>
      <c r="K819" s="68" t="e">
        <f aca="false">VLOOKUP(A819,BD_ORDENES!A:BE,20,FALSE())</f>
        <v>#N/A</v>
      </c>
      <c r="L819" s="68" t="e">
        <f aca="false">VLOOKUP(A819,BD_ORDENES!A:BE,21,FALSE())</f>
        <v>#N/A</v>
      </c>
      <c r="M819" s="69" t="e">
        <f aca="false">VLOOKUP(A819,BD_ORDENES!A:BE,14,FALSE())</f>
        <v>#N/A</v>
      </c>
      <c r="N819" s="68" t="e">
        <f aca="false">VLOOKUP(A819,BD_ORDENES!A:BE,15,FALSE())</f>
        <v>#N/A</v>
      </c>
      <c r="O819" s="68" t="e">
        <f aca="false">VLOOKUP(A819,BD_ORDENES!A:BE,33,FALSE())</f>
        <v>#N/A</v>
      </c>
      <c r="P819" s="68" t="e">
        <f aca="false">VLOOKUP(A819,BD_ORDENES!A:BE,23,FALSE())</f>
        <v>#N/A</v>
      </c>
      <c r="Q819" s="68" t="e">
        <f aca="false">VLOOKUP(A819,BD_ORDENES!A:BE,52,FALSE())</f>
        <v>#N/A</v>
      </c>
      <c r="R819" s="68" t="e">
        <f aca="false">VLOOKUP(A819,BD_ORDENES!A:BE,25,FALSE())</f>
        <v>#N/A</v>
      </c>
      <c r="S819" s="68" t="e">
        <f aca="false">VLOOKUP(A819,BD_ORDENES!A:BE,22,FALSE())</f>
        <v>#N/A</v>
      </c>
      <c r="T819" s="65" t="e">
        <f aca="false">VLOOKUP(A819,BD_ORDENES!A:BE,55,FALSE())</f>
        <v>#N/A</v>
      </c>
      <c r="U819" s="68" t="e">
        <f aca="false">VLOOKUP(A819,BD_ORDENES!A:BE,57,FALSE())</f>
        <v>#N/A</v>
      </c>
      <c r="V819" s="70"/>
    </row>
    <row r="820" customFormat="false" ht="29.1" hidden="false" customHeight="false" outlineLevel="0" collapsed="false">
      <c r="A820" s="62" t="n">
        <f aca="false">A819+1</f>
        <v>813</v>
      </c>
      <c r="B820" s="63" t="e">
        <f aca="false">VLOOKUP(A820,BD_ORDENES!A:BG,12,FALSE())</f>
        <v>#N/A</v>
      </c>
      <c r="C820" s="64" t="n">
        <v>813</v>
      </c>
      <c r="D820" s="65" t="e">
        <f aca="false">VLOOKUP(A820,BD_ORDENES!A:BE,10,0)</f>
        <v>#N/A</v>
      </c>
      <c r="E820" s="66" t="e">
        <f aca="false">VLOOKUP(A820,BD_ORDENES!A:BG,4,FALSE())</f>
        <v>#N/A</v>
      </c>
      <c r="F820" s="66" t="e">
        <f aca="false">VLOOKUP(A820,BD_ORDENES!A:BE,56,FALSE())</f>
        <v>#N/A</v>
      </c>
      <c r="G820" s="67" t="e">
        <f aca="false">VLOOKUP(A820,BD_ORDENES!A:BE,13,FALSE())</f>
        <v>#N/A</v>
      </c>
      <c r="H820" s="68" t="e">
        <f aca="false">VLOOKUP(A820,BD_ORDENES!A:BE,17,FALSE())</f>
        <v>#N/A</v>
      </c>
      <c r="I820" s="68" t="e">
        <f aca="false">VLOOKUP(A820,BD_ORDENES!A:BE,18,FALSE())</f>
        <v>#N/A</v>
      </c>
      <c r="J820" s="68" t="e">
        <f aca="false">VLOOKUP(A820,BD_ORDENES!A:BE,19,FALSE())</f>
        <v>#N/A</v>
      </c>
      <c r="K820" s="68" t="e">
        <f aca="false">VLOOKUP(A820,BD_ORDENES!A:BE,20,FALSE())</f>
        <v>#N/A</v>
      </c>
      <c r="L820" s="68" t="e">
        <f aca="false">VLOOKUP(A820,BD_ORDENES!A:BE,21,FALSE())</f>
        <v>#N/A</v>
      </c>
      <c r="M820" s="69" t="e">
        <f aca="false">VLOOKUP(A820,BD_ORDENES!A:BE,14,FALSE())</f>
        <v>#N/A</v>
      </c>
      <c r="N820" s="68" t="e">
        <f aca="false">VLOOKUP(A820,BD_ORDENES!A:BE,15,FALSE())</f>
        <v>#N/A</v>
      </c>
      <c r="O820" s="68" t="e">
        <f aca="false">VLOOKUP(A820,BD_ORDENES!A:BE,33,FALSE())</f>
        <v>#N/A</v>
      </c>
      <c r="P820" s="68" t="e">
        <f aca="false">VLOOKUP(A820,BD_ORDENES!A:BE,23,FALSE())</f>
        <v>#N/A</v>
      </c>
      <c r="Q820" s="68" t="e">
        <f aca="false">VLOOKUP(A820,BD_ORDENES!A:BE,52,FALSE())</f>
        <v>#N/A</v>
      </c>
      <c r="R820" s="68" t="e">
        <f aca="false">VLOOKUP(A820,BD_ORDENES!A:BE,25,FALSE())</f>
        <v>#N/A</v>
      </c>
      <c r="S820" s="68" t="e">
        <f aca="false">VLOOKUP(A820,BD_ORDENES!A:BE,22,FALSE())</f>
        <v>#N/A</v>
      </c>
      <c r="T820" s="65" t="e">
        <f aca="false">VLOOKUP(A820,BD_ORDENES!A:BE,55,FALSE())</f>
        <v>#N/A</v>
      </c>
      <c r="U820" s="68" t="e">
        <f aca="false">VLOOKUP(A820,BD_ORDENES!A:BE,57,FALSE())</f>
        <v>#N/A</v>
      </c>
      <c r="V820" s="70"/>
    </row>
    <row r="821" customFormat="false" ht="29.1" hidden="false" customHeight="false" outlineLevel="0" collapsed="false">
      <c r="A821" s="62" t="n">
        <f aca="false">A820+1</f>
        <v>814</v>
      </c>
      <c r="B821" s="63" t="e">
        <f aca="false">VLOOKUP(A821,BD_ORDENES!A:BG,12,FALSE())</f>
        <v>#N/A</v>
      </c>
      <c r="C821" s="64" t="n">
        <v>814</v>
      </c>
      <c r="D821" s="65" t="e">
        <f aca="false">VLOOKUP(A821,BD_ORDENES!A:BE,10,0)</f>
        <v>#N/A</v>
      </c>
      <c r="E821" s="66" t="e">
        <f aca="false">VLOOKUP(A821,BD_ORDENES!A:BG,4,FALSE())</f>
        <v>#N/A</v>
      </c>
      <c r="F821" s="66" t="e">
        <f aca="false">VLOOKUP(A821,BD_ORDENES!A:BE,56,FALSE())</f>
        <v>#N/A</v>
      </c>
      <c r="G821" s="67" t="e">
        <f aca="false">VLOOKUP(A821,BD_ORDENES!A:BE,13,FALSE())</f>
        <v>#N/A</v>
      </c>
      <c r="H821" s="68" t="e">
        <f aca="false">VLOOKUP(A821,BD_ORDENES!A:BE,17,FALSE())</f>
        <v>#N/A</v>
      </c>
      <c r="I821" s="68" t="e">
        <f aca="false">VLOOKUP(A821,BD_ORDENES!A:BE,18,FALSE())</f>
        <v>#N/A</v>
      </c>
      <c r="J821" s="68" t="e">
        <f aca="false">VLOOKUP(A821,BD_ORDENES!A:BE,19,FALSE())</f>
        <v>#N/A</v>
      </c>
      <c r="K821" s="68" t="e">
        <f aca="false">VLOOKUP(A821,BD_ORDENES!A:BE,20,FALSE())</f>
        <v>#N/A</v>
      </c>
      <c r="L821" s="68" t="e">
        <f aca="false">VLOOKUP(A821,BD_ORDENES!A:BE,21,FALSE())</f>
        <v>#N/A</v>
      </c>
      <c r="M821" s="69" t="e">
        <f aca="false">VLOOKUP(A821,BD_ORDENES!A:BE,14,FALSE())</f>
        <v>#N/A</v>
      </c>
      <c r="N821" s="68" t="e">
        <f aca="false">VLOOKUP(A821,BD_ORDENES!A:BE,15,FALSE())</f>
        <v>#N/A</v>
      </c>
      <c r="O821" s="68" t="e">
        <f aca="false">VLOOKUP(A821,BD_ORDENES!A:BE,33,FALSE())</f>
        <v>#N/A</v>
      </c>
      <c r="P821" s="68" t="e">
        <f aca="false">VLOOKUP(A821,BD_ORDENES!A:BE,23,FALSE())</f>
        <v>#N/A</v>
      </c>
      <c r="Q821" s="68" t="e">
        <f aca="false">VLOOKUP(A821,BD_ORDENES!A:BE,52,FALSE())</f>
        <v>#N/A</v>
      </c>
      <c r="R821" s="68" t="e">
        <f aca="false">VLOOKUP(A821,BD_ORDENES!A:BE,25,FALSE())</f>
        <v>#N/A</v>
      </c>
      <c r="S821" s="68" t="e">
        <f aca="false">VLOOKUP(A821,BD_ORDENES!A:BE,22,FALSE())</f>
        <v>#N/A</v>
      </c>
      <c r="T821" s="65" t="e">
        <f aca="false">VLOOKUP(A821,BD_ORDENES!A:BE,55,FALSE())</f>
        <v>#N/A</v>
      </c>
      <c r="U821" s="68" t="e">
        <f aca="false">VLOOKUP(A821,BD_ORDENES!A:BE,57,FALSE())</f>
        <v>#N/A</v>
      </c>
      <c r="V821" s="70"/>
    </row>
    <row r="822" customFormat="false" ht="29.1" hidden="false" customHeight="false" outlineLevel="0" collapsed="false">
      <c r="A822" s="62" t="n">
        <f aca="false">A821+1</f>
        <v>815</v>
      </c>
      <c r="B822" s="63" t="e">
        <f aca="false">VLOOKUP(A822,BD_ORDENES!A:BG,12,FALSE())</f>
        <v>#N/A</v>
      </c>
      <c r="C822" s="64" t="n">
        <v>815</v>
      </c>
      <c r="D822" s="65" t="e">
        <f aca="false">VLOOKUP(A822,BD_ORDENES!A:BE,10,0)</f>
        <v>#N/A</v>
      </c>
      <c r="E822" s="66" t="e">
        <f aca="false">VLOOKUP(A822,BD_ORDENES!A:BG,4,FALSE())</f>
        <v>#N/A</v>
      </c>
      <c r="F822" s="66" t="e">
        <f aca="false">VLOOKUP(A822,BD_ORDENES!A:BE,56,FALSE())</f>
        <v>#N/A</v>
      </c>
      <c r="G822" s="67" t="e">
        <f aca="false">VLOOKUP(A822,BD_ORDENES!A:BE,13,FALSE())</f>
        <v>#N/A</v>
      </c>
      <c r="H822" s="68" t="e">
        <f aca="false">VLOOKUP(A822,BD_ORDENES!A:BE,17,FALSE())</f>
        <v>#N/A</v>
      </c>
      <c r="I822" s="68" t="e">
        <f aca="false">VLOOKUP(A822,BD_ORDENES!A:BE,18,FALSE())</f>
        <v>#N/A</v>
      </c>
      <c r="J822" s="68" t="e">
        <f aca="false">VLOOKUP(A822,BD_ORDENES!A:BE,19,FALSE())</f>
        <v>#N/A</v>
      </c>
      <c r="K822" s="68" t="e">
        <f aca="false">VLOOKUP(A822,BD_ORDENES!A:BE,20,FALSE())</f>
        <v>#N/A</v>
      </c>
      <c r="L822" s="68" t="e">
        <f aca="false">VLOOKUP(A822,BD_ORDENES!A:BE,21,FALSE())</f>
        <v>#N/A</v>
      </c>
      <c r="M822" s="69" t="e">
        <f aca="false">VLOOKUP(A822,BD_ORDENES!A:BE,14,FALSE())</f>
        <v>#N/A</v>
      </c>
      <c r="N822" s="68" t="e">
        <f aca="false">VLOOKUP(A822,BD_ORDENES!A:BE,15,FALSE())</f>
        <v>#N/A</v>
      </c>
      <c r="O822" s="68" t="e">
        <f aca="false">VLOOKUP(A822,BD_ORDENES!A:BE,33,FALSE())</f>
        <v>#N/A</v>
      </c>
      <c r="P822" s="68" t="e">
        <f aca="false">VLOOKUP(A822,BD_ORDENES!A:BE,23,FALSE())</f>
        <v>#N/A</v>
      </c>
      <c r="Q822" s="68" t="e">
        <f aca="false">VLOOKUP(A822,BD_ORDENES!A:BE,52,FALSE())</f>
        <v>#N/A</v>
      </c>
      <c r="R822" s="68" t="e">
        <f aca="false">VLOOKUP(A822,BD_ORDENES!A:BE,25,FALSE())</f>
        <v>#N/A</v>
      </c>
      <c r="S822" s="68" t="e">
        <f aca="false">VLOOKUP(A822,BD_ORDENES!A:BE,22,FALSE())</f>
        <v>#N/A</v>
      </c>
      <c r="T822" s="65" t="e">
        <f aca="false">VLOOKUP(A822,BD_ORDENES!A:BE,55,FALSE())</f>
        <v>#N/A</v>
      </c>
      <c r="U822" s="68" t="e">
        <f aca="false">VLOOKUP(A822,BD_ORDENES!A:BE,57,FALSE())</f>
        <v>#N/A</v>
      </c>
      <c r="V822" s="70"/>
    </row>
    <row r="823" customFormat="false" ht="29.1" hidden="false" customHeight="false" outlineLevel="0" collapsed="false">
      <c r="A823" s="62" t="n">
        <f aca="false">A822+1</f>
        <v>816</v>
      </c>
      <c r="B823" s="63" t="e">
        <f aca="false">VLOOKUP(A823,BD_ORDENES!A:BG,12,FALSE())</f>
        <v>#N/A</v>
      </c>
      <c r="C823" s="64" t="n">
        <v>816</v>
      </c>
      <c r="D823" s="65" t="e">
        <f aca="false">VLOOKUP(A823,BD_ORDENES!A:BE,10,0)</f>
        <v>#N/A</v>
      </c>
      <c r="E823" s="66" t="e">
        <f aca="false">VLOOKUP(A823,BD_ORDENES!A:BG,4,FALSE())</f>
        <v>#N/A</v>
      </c>
      <c r="F823" s="66" t="e">
        <f aca="false">VLOOKUP(A823,BD_ORDENES!A:BE,56,FALSE())</f>
        <v>#N/A</v>
      </c>
      <c r="G823" s="67" t="e">
        <f aca="false">VLOOKUP(A823,BD_ORDENES!A:BE,13,FALSE())</f>
        <v>#N/A</v>
      </c>
      <c r="H823" s="68" t="e">
        <f aca="false">VLOOKUP(A823,BD_ORDENES!A:BE,17,FALSE())</f>
        <v>#N/A</v>
      </c>
      <c r="I823" s="68" t="e">
        <f aca="false">VLOOKUP(A823,BD_ORDENES!A:BE,18,FALSE())</f>
        <v>#N/A</v>
      </c>
      <c r="J823" s="68" t="e">
        <f aca="false">VLOOKUP(A823,BD_ORDENES!A:BE,19,FALSE())</f>
        <v>#N/A</v>
      </c>
      <c r="K823" s="68" t="e">
        <f aca="false">VLOOKUP(A823,BD_ORDENES!A:BE,20,FALSE())</f>
        <v>#N/A</v>
      </c>
      <c r="L823" s="68" t="e">
        <f aca="false">VLOOKUP(A823,BD_ORDENES!A:BE,21,FALSE())</f>
        <v>#N/A</v>
      </c>
      <c r="M823" s="69" t="e">
        <f aca="false">VLOOKUP(A823,BD_ORDENES!A:BE,14,FALSE())</f>
        <v>#N/A</v>
      </c>
      <c r="N823" s="68" t="e">
        <f aca="false">VLOOKUP(A823,BD_ORDENES!A:BE,15,FALSE())</f>
        <v>#N/A</v>
      </c>
      <c r="O823" s="68" t="e">
        <f aca="false">VLOOKUP(A823,BD_ORDENES!A:BE,33,FALSE())</f>
        <v>#N/A</v>
      </c>
      <c r="P823" s="68" t="e">
        <f aca="false">VLOOKUP(A823,BD_ORDENES!A:BE,23,FALSE())</f>
        <v>#N/A</v>
      </c>
      <c r="Q823" s="68" t="e">
        <f aca="false">VLOOKUP(A823,BD_ORDENES!A:BE,52,FALSE())</f>
        <v>#N/A</v>
      </c>
      <c r="R823" s="68" t="e">
        <f aca="false">VLOOKUP(A823,BD_ORDENES!A:BE,25,FALSE())</f>
        <v>#N/A</v>
      </c>
      <c r="S823" s="68" t="e">
        <f aca="false">VLOOKUP(A823,BD_ORDENES!A:BE,22,FALSE())</f>
        <v>#N/A</v>
      </c>
      <c r="T823" s="65" t="e">
        <f aca="false">VLOOKUP(A823,BD_ORDENES!A:BE,55,FALSE())</f>
        <v>#N/A</v>
      </c>
      <c r="U823" s="68" t="e">
        <f aca="false">VLOOKUP(A823,BD_ORDENES!A:BE,57,FALSE())</f>
        <v>#N/A</v>
      </c>
      <c r="V823" s="70"/>
    </row>
    <row r="824" customFormat="false" ht="29.1" hidden="false" customHeight="false" outlineLevel="0" collapsed="false">
      <c r="A824" s="62" t="n">
        <f aca="false">A823+1</f>
        <v>817</v>
      </c>
      <c r="B824" s="63" t="e">
        <f aca="false">VLOOKUP(A824,BD_ORDENES!A:BG,12,FALSE())</f>
        <v>#N/A</v>
      </c>
      <c r="C824" s="64" t="n">
        <v>817</v>
      </c>
      <c r="D824" s="65" t="e">
        <f aca="false">VLOOKUP(A824,BD_ORDENES!A:BE,10,0)</f>
        <v>#N/A</v>
      </c>
      <c r="E824" s="66" t="e">
        <f aca="false">VLOOKUP(A824,BD_ORDENES!A:BG,4,FALSE())</f>
        <v>#N/A</v>
      </c>
      <c r="F824" s="66" t="e">
        <f aca="false">VLOOKUP(A824,BD_ORDENES!A:BE,56,FALSE())</f>
        <v>#N/A</v>
      </c>
      <c r="G824" s="67" t="e">
        <f aca="false">VLOOKUP(A824,BD_ORDENES!A:BE,13,FALSE())</f>
        <v>#N/A</v>
      </c>
      <c r="H824" s="68" t="e">
        <f aca="false">VLOOKUP(A824,BD_ORDENES!A:BE,17,FALSE())</f>
        <v>#N/A</v>
      </c>
      <c r="I824" s="68" t="e">
        <f aca="false">VLOOKUP(A824,BD_ORDENES!A:BE,18,FALSE())</f>
        <v>#N/A</v>
      </c>
      <c r="J824" s="68" t="e">
        <f aca="false">VLOOKUP(A824,BD_ORDENES!A:BE,19,FALSE())</f>
        <v>#N/A</v>
      </c>
      <c r="K824" s="68" t="e">
        <f aca="false">VLOOKUP(A824,BD_ORDENES!A:BE,20,FALSE())</f>
        <v>#N/A</v>
      </c>
      <c r="L824" s="68" t="e">
        <f aca="false">VLOOKUP(A824,BD_ORDENES!A:BE,21,FALSE())</f>
        <v>#N/A</v>
      </c>
      <c r="M824" s="69" t="e">
        <f aca="false">VLOOKUP(A824,BD_ORDENES!A:BE,14,FALSE())</f>
        <v>#N/A</v>
      </c>
      <c r="N824" s="68" t="e">
        <f aca="false">VLOOKUP(A824,BD_ORDENES!A:BE,15,FALSE())</f>
        <v>#N/A</v>
      </c>
      <c r="O824" s="68" t="e">
        <f aca="false">VLOOKUP(A824,BD_ORDENES!A:BE,33,FALSE())</f>
        <v>#N/A</v>
      </c>
      <c r="P824" s="68" t="e">
        <f aca="false">VLOOKUP(A824,BD_ORDENES!A:BE,23,FALSE())</f>
        <v>#N/A</v>
      </c>
      <c r="Q824" s="68" t="e">
        <f aca="false">VLOOKUP(A824,BD_ORDENES!A:BE,52,FALSE())</f>
        <v>#N/A</v>
      </c>
      <c r="R824" s="68" t="e">
        <f aca="false">VLOOKUP(A824,BD_ORDENES!A:BE,25,FALSE())</f>
        <v>#N/A</v>
      </c>
      <c r="S824" s="68" t="e">
        <f aca="false">VLOOKUP(A824,BD_ORDENES!A:BE,22,FALSE())</f>
        <v>#N/A</v>
      </c>
      <c r="T824" s="65" t="e">
        <f aca="false">VLOOKUP(A824,BD_ORDENES!A:BE,55,FALSE())</f>
        <v>#N/A</v>
      </c>
      <c r="U824" s="68" t="e">
        <f aca="false">VLOOKUP(A824,BD_ORDENES!A:BE,57,FALSE())</f>
        <v>#N/A</v>
      </c>
      <c r="V824" s="70"/>
    </row>
    <row r="825" customFormat="false" ht="29.1" hidden="false" customHeight="false" outlineLevel="0" collapsed="false">
      <c r="A825" s="62" t="n">
        <f aca="false">A824+1</f>
        <v>818</v>
      </c>
      <c r="B825" s="63" t="e">
        <f aca="false">VLOOKUP(A825,BD_ORDENES!A:BG,12,FALSE())</f>
        <v>#N/A</v>
      </c>
      <c r="C825" s="64" t="n">
        <v>818</v>
      </c>
      <c r="D825" s="65" t="e">
        <f aca="false">VLOOKUP(A825,BD_ORDENES!A:BE,10,0)</f>
        <v>#N/A</v>
      </c>
      <c r="E825" s="66" t="e">
        <f aca="false">VLOOKUP(A825,BD_ORDENES!A:BG,4,FALSE())</f>
        <v>#N/A</v>
      </c>
      <c r="F825" s="66" t="e">
        <f aca="false">VLOOKUP(A825,BD_ORDENES!A:BE,56,FALSE())</f>
        <v>#N/A</v>
      </c>
      <c r="G825" s="67" t="e">
        <f aca="false">VLOOKUP(A825,BD_ORDENES!A:BE,13,FALSE())</f>
        <v>#N/A</v>
      </c>
      <c r="H825" s="68" t="e">
        <f aca="false">VLOOKUP(A825,BD_ORDENES!A:BE,17,FALSE())</f>
        <v>#N/A</v>
      </c>
      <c r="I825" s="68" t="e">
        <f aca="false">VLOOKUP(A825,BD_ORDENES!A:BE,18,FALSE())</f>
        <v>#N/A</v>
      </c>
      <c r="J825" s="68" t="e">
        <f aca="false">VLOOKUP(A825,BD_ORDENES!A:BE,19,FALSE())</f>
        <v>#N/A</v>
      </c>
      <c r="K825" s="68" t="e">
        <f aca="false">VLOOKUP(A825,BD_ORDENES!A:BE,20,FALSE())</f>
        <v>#N/A</v>
      </c>
      <c r="L825" s="68" t="e">
        <f aca="false">VLOOKUP(A825,BD_ORDENES!A:BE,21,FALSE())</f>
        <v>#N/A</v>
      </c>
      <c r="M825" s="69" t="e">
        <f aca="false">VLOOKUP(A825,BD_ORDENES!A:BE,14,FALSE())</f>
        <v>#N/A</v>
      </c>
      <c r="N825" s="68" t="e">
        <f aca="false">VLOOKUP(A825,BD_ORDENES!A:BE,15,FALSE())</f>
        <v>#N/A</v>
      </c>
      <c r="O825" s="68" t="e">
        <f aca="false">VLOOKUP(A825,BD_ORDENES!A:BE,33,FALSE())</f>
        <v>#N/A</v>
      </c>
      <c r="P825" s="68" t="e">
        <f aca="false">VLOOKUP(A825,BD_ORDENES!A:BE,23,FALSE())</f>
        <v>#N/A</v>
      </c>
      <c r="Q825" s="68" t="e">
        <f aca="false">VLOOKUP(A825,BD_ORDENES!A:BE,52,FALSE())</f>
        <v>#N/A</v>
      </c>
      <c r="R825" s="68" t="e">
        <f aca="false">VLOOKUP(A825,BD_ORDENES!A:BE,25,FALSE())</f>
        <v>#N/A</v>
      </c>
      <c r="S825" s="68" t="e">
        <f aca="false">VLOOKUP(A825,BD_ORDENES!A:BE,22,FALSE())</f>
        <v>#N/A</v>
      </c>
      <c r="T825" s="65" t="e">
        <f aca="false">VLOOKUP(A825,BD_ORDENES!A:BE,55,FALSE())</f>
        <v>#N/A</v>
      </c>
      <c r="U825" s="68" t="e">
        <f aca="false">VLOOKUP(A825,BD_ORDENES!A:BE,57,FALSE())</f>
        <v>#N/A</v>
      </c>
      <c r="V825" s="70"/>
    </row>
    <row r="826" customFormat="false" ht="29.1" hidden="false" customHeight="false" outlineLevel="0" collapsed="false">
      <c r="A826" s="62" t="n">
        <f aca="false">A825+1</f>
        <v>819</v>
      </c>
      <c r="B826" s="63" t="e">
        <f aca="false">VLOOKUP(A826,BD_ORDENES!A:BG,12,FALSE())</f>
        <v>#N/A</v>
      </c>
      <c r="C826" s="64" t="n">
        <v>819</v>
      </c>
      <c r="D826" s="65" t="e">
        <f aca="false">VLOOKUP(A826,BD_ORDENES!A:BE,10,0)</f>
        <v>#N/A</v>
      </c>
      <c r="E826" s="66" t="e">
        <f aca="false">VLOOKUP(A826,BD_ORDENES!A:BG,4,FALSE())</f>
        <v>#N/A</v>
      </c>
      <c r="F826" s="66" t="e">
        <f aca="false">VLOOKUP(A826,BD_ORDENES!A:BE,56,FALSE())</f>
        <v>#N/A</v>
      </c>
      <c r="G826" s="67" t="e">
        <f aca="false">VLOOKUP(A826,BD_ORDENES!A:BE,13,FALSE())</f>
        <v>#N/A</v>
      </c>
      <c r="H826" s="68" t="e">
        <f aca="false">VLOOKUP(A826,BD_ORDENES!A:BE,17,FALSE())</f>
        <v>#N/A</v>
      </c>
      <c r="I826" s="68" t="e">
        <f aca="false">VLOOKUP(A826,BD_ORDENES!A:BE,18,FALSE())</f>
        <v>#N/A</v>
      </c>
      <c r="J826" s="68" t="e">
        <f aca="false">VLOOKUP(A826,BD_ORDENES!A:BE,19,FALSE())</f>
        <v>#N/A</v>
      </c>
      <c r="K826" s="68" t="e">
        <f aca="false">VLOOKUP(A826,BD_ORDENES!A:BE,20,FALSE())</f>
        <v>#N/A</v>
      </c>
      <c r="L826" s="68" t="e">
        <f aca="false">VLOOKUP(A826,BD_ORDENES!A:BE,21,FALSE())</f>
        <v>#N/A</v>
      </c>
      <c r="M826" s="69" t="e">
        <f aca="false">VLOOKUP(A826,BD_ORDENES!A:BE,14,FALSE())</f>
        <v>#N/A</v>
      </c>
      <c r="N826" s="68" t="e">
        <f aca="false">VLOOKUP(A826,BD_ORDENES!A:BE,15,FALSE())</f>
        <v>#N/A</v>
      </c>
      <c r="O826" s="68" t="e">
        <f aca="false">VLOOKUP(A826,BD_ORDENES!A:BE,33,FALSE())</f>
        <v>#N/A</v>
      </c>
      <c r="P826" s="68" t="e">
        <f aca="false">VLOOKUP(A826,BD_ORDENES!A:BE,23,FALSE())</f>
        <v>#N/A</v>
      </c>
      <c r="Q826" s="68" t="e">
        <f aca="false">VLOOKUP(A826,BD_ORDENES!A:BE,52,FALSE())</f>
        <v>#N/A</v>
      </c>
      <c r="R826" s="68" t="e">
        <f aca="false">VLOOKUP(A826,BD_ORDENES!A:BE,25,FALSE())</f>
        <v>#N/A</v>
      </c>
      <c r="S826" s="68" t="e">
        <f aca="false">VLOOKUP(A826,BD_ORDENES!A:BE,22,FALSE())</f>
        <v>#N/A</v>
      </c>
      <c r="T826" s="65" t="e">
        <f aca="false">VLOOKUP(A826,BD_ORDENES!A:BE,55,FALSE())</f>
        <v>#N/A</v>
      </c>
      <c r="U826" s="68" t="e">
        <f aca="false">VLOOKUP(A826,BD_ORDENES!A:BE,57,FALSE())</f>
        <v>#N/A</v>
      </c>
      <c r="V826" s="70"/>
    </row>
    <row r="827" customFormat="false" ht="29.1" hidden="false" customHeight="false" outlineLevel="0" collapsed="false">
      <c r="A827" s="62" t="n">
        <f aca="false">A826+1</f>
        <v>820</v>
      </c>
      <c r="B827" s="63" t="e">
        <f aca="false">VLOOKUP(A827,BD_ORDENES!A:BG,12,FALSE())</f>
        <v>#N/A</v>
      </c>
      <c r="C827" s="64" t="n">
        <v>820</v>
      </c>
      <c r="D827" s="65" t="e">
        <f aca="false">VLOOKUP(A827,BD_ORDENES!A:BE,10,0)</f>
        <v>#N/A</v>
      </c>
      <c r="E827" s="66" t="e">
        <f aca="false">VLOOKUP(A827,BD_ORDENES!A:BG,4,FALSE())</f>
        <v>#N/A</v>
      </c>
      <c r="F827" s="66" t="e">
        <f aca="false">VLOOKUP(A827,BD_ORDENES!A:BE,56,FALSE())</f>
        <v>#N/A</v>
      </c>
      <c r="G827" s="67" t="e">
        <f aca="false">VLOOKUP(A827,BD_ORDENES!A:BE,13,FALSE())</f>
        <v>#N/A</v>
      </c>
      <c r="H827" s="68" t="e">
        <f aca="false">VLOOKUP(A827,BD_ORDENES!A:BE,17,FALSE())</f>
        <v>#N/A</v>
      </c>
      <c r="I827" s="68" t="e">
        <f aca="false">VLOOKUP(A827,BD_ORDENES!A:BE,18,FALSE())</f>
        <v>#N/A</v>
      </c>
      <c r="J827" s="68" t="e">
        <f aca="false">VLOOKUP(A827,BD_ORDENES!A:BE,19,FALSE())</f>
        <v>#N/A</v>
      </c>
      <c r="K827" s="68" t="e">
        <f aca="false">VLOOKUP(A827,BD_ORDENES!A:BE,20,FALSE())</f>
        <v>#N/A</v>
      </c>
      <c r="L827" s="68" t="e">
        <f aca="false">VLOOKUP(A827,BD_ORDENES!A:BE,21,FALSE())</f>
        <v>#N/A</v>
      </c>
      <c r="M827" s="69" t="e">
        <f aca="false">VLOOKUP(A827,BD_ORDENES!A:BE,14,FALSE())</f>
        <v>#N/A</v>
      </c>
      <c r="N827" s="68" t="e">
        <f aca="false">VLOOKUP(A827,BD_ORDENES!A:BE,15,FALSE())</f>
        <v>#N/A</v>
      </c>
      <c r="O827" s="68" t="e">
        <f aca="false">VLOOKUP(A827,BD_ORDENES!A:BE,33,FALSE())</f>
        <v>#N/A</v>
      </c>
      <c r="P827" s="68" t="e">
        <f aca="false">VLOOKUP(A827,BD_ORDENES!A:BE,23,FALSE())</f>
        <v>#N/A</v>
      </c>
      <c r="Q827" s="68" t="e">
        <f aca="false">VLOOKUP(A827,BD_ORDENES!A:BE,52,FALSE())</f>
        <v>#N/A</v>
      </c>
      <c r="R827" s="68" t="e">
        <f aca="false">VLOOKUP(A827,BD_ORDENES!A:BE,25,FALSE())</f>
        <v>#N/A</v>
      </c>
      <c r="S827" s="68" t="e">
        <f aca="false">VLOOKUP(A827,BD_ORDENES!A:BE,22,FALSE())</f>
        <v>#N/A</v>
      </c>
      <c r="T827" s="65" t="e">
        <f aca="false">VLOOKUP(A827,BD_ORDENES!A:BE,55,FALSE())</f>
        <v>#N/A</v>
      </c>
      <c r="U827" s="68" t="e">
        <f aca="false">VLOOKUP(A827,BD_ORDENES!A:BE,57,FALSE())</f>
        <v>#N/A</v>
      </c>
      <c r="V827" s="70"/>
    </row>
    <row r="828" customFormat="false" ht="29.1" hidden="false" customHeight="false" outlineLevel="0" collapsed="false">
      <c r="A828" s="62" t="n">
        <f aca="false">A827+1</f>
        <v>821</v>
      </c>
      <c r="B828" s="63" t="e">
        <f aca="false">VLOOKUP(A828,BD_ORDENES!A:BG,12,FALSE())</f>
        <v>#N/A</v>
      </c>
      <c r="C828" s="64" t="n">
        <v>821</v>
      </c>
      <c r="D828" s="65" t="e">
        <f aca="false">VLOOKUP(A828,BD_ORDENES!A:BE,10,0)</f>
        <v>#N/A</v>
      </c>
      <c r="E828" s="66" t="e">
        <f aca="false">VLOOKUP(A828,BD_ORDENES!A:BG,4,FALSE())</f>
        <v>#N/A</v>
      </c>
      <c r="F828" s="66" t="e">
        <f aca="false">VLOOKUP(A828,BD_ORDENES!A:BE,56,FALSE())</f>
        <v>#N/A</v>
      </c>
      <c r="G828" s="67" t="e">
        <f aca="false">VLOOKUP(A828,BD_ORDENES!A:BE,13,FALSE())</f>
        <v>#N/A</v>
      </c>
      <c r="H828" s="68" t="e">
        <f aca="false">VLOOKUP(A828,BD_ORDENES!A:BE,17,FALSE())</f>
        <v>#N/A</v>
      </c>
      <c r="I828" s="68" t="e">
        <f aca="false">VLOOKUP(A828,BD_ORDENES!A:BE,18,FALSE())</f>
        <v>#N/A</v>
      </c>
      <c r="J828" s="68" t="e">
        <f aca="false">VLOOKUP(A828,BD_ORDENES!A:BE,19,FALSE())</f>
        <v>#N/A</v>
      </c>
      <c r="K828" s="68" t="e">
        <f aca="false">VLOOKUP(A828,BD_ORDENES!A:BE,20,FALSE())</f>
        <v>#N/A</v>
      </c>
      <c r="L828" s="68" t="e">
        <f aca="false">VLOOKUP(A828,BD_ORDENES!A:BE,21,FALSE())</f>
        <v>#N/A</v>
      </c>
      <c r="M828" s="69" t="e">
        <f aca="false">VLOOKUP(A828,BD_ORDENES!A:BE,14,FALSE())</f>
        <v>#N/A</v>
      </c>
      <c r="N828" s="68" t="e">
        <f aca="false">VLOOKUP(A828,BD_ORDENES!A:BE,15,FALSE())</f>
        <v>#N/A</v>
      </c>
      <c r="O828" s="68" t="e">
        <f aca="false">VLOOKUP(A828,BD_ORDENES!A:BE,33,FALSE())</f>
        <v>#N/A</v>
      </c>
      <c r="P828" s="68" t="e">
        <f aca="false">VLOOKUP(A828,BD_ORDENES!A:BE,23,FALSE())</f>
        <v>#N/A</v>
      </c>
      <c r="Q828" s="68" t="e">
        <f aca="false">VLOOKUP(A828,BD_ORDENES!A:BE,52,FALSE())</f>
        <v>#N/A</v>
      </c>
      <c r="R828" s="68" t="e">
        <f aca="false">VLOOKUP(A828,BD_ORDENES!A:BE,25,FALSE())</f>
        <v>#N/A</v>
      </c>
      <c r="S828" s="68" t="e">
        <f aca="false">VLOOKUP(A828,BD_ORDENES!A:BE,22,FALSE())</f>
        <v>#N/A</v>
      </c>
      <c r="T828" s="65" t="e">
        <f aca="false">VLOOKUP(A828,BD_ORDENES!A:BE,55,FALSE())</f>
        <v>#N/A</v>
      </c>
      <c r="U828" s="68" t="e">
        <f aca="false">VLOOKUP(A828,BD_ORDENES!A:BE,57,FALSE())</f>
        <v>#N/A</v>
      </c>
      <c r="V828" s="70"/>
    </row>
    <row r="829" customFormat="false" ht="29.1" hidden="false" customHeight="false" outlineLevel="0" collapsed="false">
      <c r="A829" s="62" t="n">
        <f aca="false">A828+1</f>
        <v>822</v>
      </c>
      <c r="B829" s="63" t="e">
        <f aca="false">VLOOKUP(A829,BD_ORDENES!A:BG,12,FALSE())</f>
        <v>#N/A</v>
      </c>
      <c r="C829" s="64" t="n">
        <v>822</v>
      </c>
      <c r="D829" s="65" t="e">
        <f aca="false">VLOOKUP(A829,BD_ORDENES!A:BE,10,0)</f>
        <v>#N/A</v>
      </c>
      <c r="E829" s="66" t="e">
        <f aca="false">VLOOKUP(A829,BD_ORDENES!A:BG,4,FALSE())</f>
        <v>#N/A</v>
      </c>
      <c r="F829" s="66" t="e">
        <f aca="false">VLOOKUP(A829,BD_ORDENES!A:BE,56,FALSE())</f>
        <v>#N/A</v>
      </c>
      <c r="G829" s="67" t="e">
        <f aca="false">VLOOKUP(A829,BD_ORDENES!A:BE,13,FALSE())</f>
        <v>#N/A</v>
      </c>
      <c r="H829" s="68" t="e">
        <f aca="false">VLOOKUP(A829,BD_ORDENES!A:BE,17,FALSE())</f>
        <v>#N/A</v>
      </c>
      <c r="I829" s="68" t="e">
        <f aca="false">VLOOKUP(A829,BD_ORDENES!A:BE,18,FALSE())</f>
        <v>#N/A</v>
      </c>
      <c r="J829" s="68" t="e">
        <f aca="false">VLOOKUP(A829,BD_ORDENES!A:BE,19,FALSE())</f>
        <v>#N/A</v>
      </c>
      <c r="K829" s="68" t="e">
        <f aca="false">VLOOKUP(A829,BD_ORDENES!A:BE,20,FALSE())</f>
        <v>#N/A</v>
      </c>
      <c r="L829" s="68" t="e">
        <f aca="false">VLOOKUP(A829,BD_ORDENES!A:BE,21,FALSE())</f>
        <v>#N/A</v>
      </c>
      <c r="M829" s="69" t="e">
        <f aca="false">VLOOKUP(A829,BD_ORDENES!A:BE,14,FALSE())</f>
        <v>#N/A</v>
      </c>
      <c r="N829" s="68" t="e">
        <f aca="false">VLOOKUP(A829,BD_ORDENES!A:BE,15,FALSE())</f>
        <v>#N/A</v>
      </c>
      <c r="O829" s="68" t="e">
        <f aca="false">VLOOKUP(A829,BD_ORDENES!A:BE,33,FALSE())</f>
        <v>#N/A</v>
      </c>
      <c r="P829" s="68" t="e">
        <f aca="false">VLOOKUP(A829,BD_ORDENES!A:BE,23,FALSE())</f>
        <v>#N/A</v>
      </c>
      <c r="Q829" s="68" t="e">
        <f aca="false">VLOOKUP(A829,BD_ORDENES!A:BE,52,FALSE())</f>
        <v>#N/A</v>
      </c>
      <c r="R829" s="68" t="e">
        <f aca="false">VLOOKUP(A829,BD_ORDENES!A:BE,25,FALSE())</f>
        <v>#N/A</v>
      </c>
      <c r="S829" s="68" t="e">
        <f aca="false">VLOOKUP(A829,BD_ORDENES!A:BE,22,FALSE())</f>
        <v>#N/A</v>
      </c>
      <c r="T829" s="65" t="e">
        <f aca="false">VLOOKUP(A829,BD_ORDENES!A:BE,55,FALSE())</f>
        <v>#N/A</v>
      </c>
      <c r="U829" s="68" t="e">
        <f aca="false">VLOOKUP(A829,BD_ORDENES!A:BE,57,FALSE())</f>
        <v>#N/A</v>
      </c>
      <c r="V829" s="70"/>
    </row>
    <row r="830" customFormat="false" ht="29.1" hidden="false" customHeight="false" outlineLevel="0" collapsed="false">
      <c r="A830" s="62" t="n">
        <f aca="false">A829+1</f>
        <v>823</v>
      </c>
      <c r="B830" s="63" t="e">
        <f aca="false">VLOOKUP(A830,BD_ORDENES!A:BG,12,FALSE())</f>
        <v>#N/A</v>
      </c>
      <c r="C830" s="64" t="n">
        <v>823</v>
      </c>
      <c r="D830" s="65" t="e">
        <f aca="false">VLOOKUP(A830,BD_ORDENES!A:BE,10,0)</f>
        <v>#N/A</v>
      </c>
      <c r="E830" s="66" t="e">
        <f aca="false">VLOOKUP(A830,BD_ORDENES!A:BG,4,FALSE())</f>
        <v>#N/A</v>
      </c>
      <c r="F830" s="66" t="e">
        <f aca="false">VLOOKUP(A830,BD_ORDENES!A:BE,56,FALSE())</f>
        <v>#N/A</v>
      </c>
      <c r="G830" s="67" t="e">
        <f aca="false">VLOOKUP(A830,BD_ORDENES!A:BE,13,FALSE())</f>
        <v>#N/A</v>
      </c>
      <c r="H830" s="68" t="e">
        <f aca="false">VLOOKUP(A830,BD_ORDENES!A:BE,17,FALSE())</f>
        <v>#N/A</v>
      </c>
      <c r="I830" s="68" t="e">
        <f aca="false">VLOOKUP(A830,BD_ORDENES!A:BE,18,FALSE())</f>
        <v>#N/A</v>
      </c>
      <c r="J830" s="68" t="e">
        <f aca="false">VLOOKUP(A830,BD_ORDENES!A:BE,19,FALSE())</f>
        <v>#N/A</v>
      </c>
      <c r="K830" s="68" t="e">
        <f aca="false">VLOOKUP(A830,BD_ORDENES!A:BE,20,FALSE())</f>
        <v>#N/A</v>
      </c>
      <c r="L830" s="68" t="e">
        <f aca="false">VLOOKUP(A830,BD_ORDENES!A:BE,21,FALSE())</f>
        <v>#N/A</v>
      </c>
      <c r="M830" s="69" t="e">
        <f aca="false">VLOOKUP(A830,BD_ORDENES!A:BE,14,FALSE())</f>
        <v>#N/A</v>
      </c>
      <c r="N830" s="68" t="e">
        <f aca="false">VLOOKUP(A830,BD_ORDENES!A:BE,15,FALSE())</f>
        <v>#N/A</v>
      </c>
      <c r="O830" s="68" t="e">
        <f aca="false">VLOOKUP(A830,BD_ORDENES!A:BE,33,FALSE())</f>
        <v>#N/A</v>
      </c>
      <c r="P830" s="68" t="e">
        <f aca="false">VLOOKUP(A830,BD_ORDENES!A:BE,23,FALSE())</f>
        <v>#N/A</v>
      </c>
      <c r="Q830" s="68" t="e">
        <f aca="false">VLOOKUP(A830,BD_ORDENES!A:BE,52,FALSE())</f>
        <v>#N/A</v>
      </c>
      <c r="R830" s="68" t="e">
        <f aca="false">VLOOKUP(A830,BD_ORDENES!A:BE,25,FALSE())</f>
        <v>#N/A</v>
      </c>
      <c r="S830" s="68" t="e">
        <f aca="false">VLOOKUP(A830,BD_ORDENES!A:BE,22,FALSE())</f>
        <v>#N/A</v>
      </c>
      <c r="T830" s="65" t="e">
        <f aca="false">VLOOKUP(A830,BD_ORDENES!A:BE,55,FALSE())</f>
        <v>#N/A</v>
      </c>
      <c r="U830" s="68" t="e">
        <f aca="false">VLOOKUP(A830,BD_ORDENES!A:BE,57,FALSE())</f>
        <v>#N/A</v>
      </c>
      <c r="V830" s="70"/>
    </row>
    <row r="831" customFormat="false" ht="29.1" hidden="false" customHeight="false" outlineLevel="0" collapsed="false">
      <c r="A831" s="62" t="n">
        <f aca="false">A830+1</f>
        <v>824</v>
      </c>
      <c r="B831" s="63" t="e">
        <f aca="false">VLOOKUP(A831,BD_ORDENES!A:BG,12,FALSE())</f>
        <v>#N/A</v>
      </c>
      <c r="C831" s="64" t="n">
        <v>824</v>
      </c>
      <c r="D831" s="65" t="e">
        <f aca="false">VLOOKUP(A831,BD_ORDENES!A:BE,10,0)</f>
        <v>#N/A</v>
      </c>
      <c r="E831" s="66" t="e">
        <f aca="false">VLOOKUP(A831,BD_ORDENES!A:BG,4,FALSE())</f>
        <v>#N/A</v>
      </c>
      <c r="F831" s="66" t="e">
        <f aca="false">VLOOKUP(A831,BD_ORDENES!A:BE,56,FALSE())</f>
        <v>#N/A</v>
      </c>
      <c r="G831" s="67" t="e">
        <f aca="false">VLOOKUP(A831,BD_ORDENES!A:BE,13,FALSE())</f>
        <v>#N/A</v>
      </c>
      <c r="H831" s="68" t="e">
        <f aca="false">VLOOKUP(A831,BD_ORDENES!A:BE,17,FALSE())</f>
        <v>#N/A</v>
      </c>
      <c r="I831" s="68" t="e">
        <f aca="false">VLOOKUP(A831,BD_ORDENES!A:BE,18,FALSE())</f>
        <v>#N/A</v>
      </c>
      <c r="J831" s="68" t="e">
        <f aca="false">VLOOKUP(A831,BD_ORDENES!A:BE,19,FALSE())</f>
        <v>#N/A</v>
      </c>
      <c r="K831" s="68" t="e">
        <f aca="false">VLOOKUP(A831,BD_ORDENES!A:BE,20,FALSE())</f>
        <v>#N/A</v>
      </c>
      <c r="L831" s="68" t="e">
        <f aca="false">VLOOKUP(A831,BD_ORDENES!A:BE,21,FALSE())</f>
        <v>#N/A</v>
      </c>
      <c r="M831" s="69" t="e">
        <f aca="false">VLOOKUP(A831,BD_ORDENES!A:BE,14,FALSE())</f>
        <v>#N/A</v>
      </c>
      <c r="N831" s="68" t="e">
        <f aca="false">VLOOKUP(A831,BD_ORDENES!A:BE,15,FALSE())</f>
        <v>#N/A</v>
      </c>
      <c r="O831" s="68" t="e">
        <f aca="false">VLOOKUP(A831,BD_ORDENES!A:BE,33,FALSE())</f>
        <v>#N/A</v>
      </c>
      <c r="P831" s="68" t="e">
        <f aca="false">VLOOKUP(A831,BD_ORDENES!A:BE,23,FALSE())</f>
        <v>#N/A</v>
      </c>
      <c r="Q831" s="68" t="e">
        <f aca="false">VLOOKUP(A831,BD_ORDENES!A:BE,52,FALSE())</f>
        <v>#N/A</v>
      </c>
      <c r="R831" s="68" t="e">
        <f aca="false">VLOOKUP(A831,BD_ORDENES!A:BE,25,FALSE())</f>
        <v>#N/A</v>
      </c>
      <c r="S831" s="68" t="e">
        <f aca="false">VLOOKUP(A831,BD_ORDENES!A:BE,22,FALSE())</f>
        <v>#N/A</v>
      </c>
      <c r="T831" s="65" t="e">
        <f aca="false">VLOOKUP(A831,BD_ORDENES!A:BE,55,FALSE())</f>
        <v>#N/A</v>
      </c>
      <c r="U831" s="68" t="e">
        <f aca="false">VLOOKUP(A831,BD_ORDENES!A:BE,57,FALSE())</f>
        <v>#N/A</v>
      </c>
      <c r="V831" s="70"/>
    </row>
    <row r="832" customFormat="false" ht="29.1" hidden="false" customHeight="false" outlineLevel="0" collapsed="false">
      <c r="A832" s="62" t="n">
        <f aca="false">A831+1</f>
        <v>825</v>
      </c>
      <c r="B832" s="63" t="e">
        <f aca="false">VLOOKUP(A832,BD_ORDENES!A:BG,12,FALSE())</f>
        <v>#N/A</v>
      </c>
      <c r="C832" s="64" t="n">
        <v>825</v>
      </c>
      <c r="D832" s="65" t="e">
        <f aca="false">VLOOKUP(A832,BD_ORDENES!A:BE,10,0)</f>
        <v>#N/A</v>
      </c>
      <c r="E832" s="66" t="e">
        <f aca="false">VLOOKUP(A832,BD_ORDENES!A:BG,4,FALSE())</f>
        <v>#N/A</v>
      </c>
      <c r="F832" s="66" t="e">
        <f aca="false">VLOOKUP(A832,BD_ORDENES!A:BE,56,FALSE())</f>
        <v>#N/A</v>
      </c>
      <c r="G832" s="67" t="e">
        <f aca="false">VLOOKUP(A832,BD_ORDENES!A:BE,13,FALSE())</f>
        <v>#N/A</v>
      </c>
      <c r="H832" s="68" t="e">
        <f aca="false">VLOOKUP(A832,BD_ORDENES!A:BE,17,FALSE())</f>
        <v>#N/A</v>
      </c>
      <c r="I832" s="68" t="e">
        <f aca="false">VLOOKUP(A832,BD_ORDENES!A:BE,18,FALSE())</f>
        <v>#N/A</v>
      </c>
      <c r="J832" s="68" t="e">
        <f aca="false">VLOOKUP(A832,BD_ORDENES!A:BE,19,FALSE())</f>
        <v>#N/A</v>
      </c>
      <c r="K832" s="68" t="e">
        <f aca="false">VLOOKUP(A832,BD_ORDENES!A:BE,20,FALSE())</f>
        <v>#N/A</v>
      </c>
      <c r="L832" s="68" t="e">
        <f aca="false">VLOOKUP(A832,BD_ORDENES!A:BE,21,FALSE())</f>
        <v>#N/A</v>
      </c>
      <c r="M832" s="69" t="e">
        <f aca="false">VLOOKUP(A832,BD_ORDENES!A:BE,14,FALSE())</f>
        <v>#N/A</v>
      </c>
      <c r="N832" s="68" t="e">
        <f aca="false">VLOOKUP(A832,BD_ORDENES!A:BE,15,FALSE())</f>
        <v>#N/A</v>
      </c>
      <c r="O832" s="68" t="e">
        <f aca="false">VLOOKUP(A832,BD_ORDENES!A:BE,33,FALSE())</f>
        <v>#N/A</v>
      </c>
      <c r="P832" s="68" t="e">
        <f aca="false">VLOOKUP(A832,BD_ORDENES!A:BE,23,FALSE())</f>
        <v>#N/A</v>
      </c>
      <c r="Q832" s="68" t="e">
        <f aca="false">VLOOKUP(A832,BD_ORDENES!A:BE,52,FALSE())</f>
        <v>#N/A</v>
      </c>
      <c r="R832" s="68" t="e">
        <f aca="false">VLOOKUP(A832,BD_ORDENES!A:BE,25,FALSE())</f>
        <v>#N/A</v>
      </c>
      <c r="S832" s="68" t="e">
        <f aca="false">VLOOKUP(A832,BD_ORDENES!A:BE,22,FALSE())</f>
        <v>#N/A</v>
      </c>
      <c r="T832" s="65" t="e">
        <f aca="false">VLOOKUP(A832,BD_ORDENES!A:BE,55,FALSE())</f>
        <v>#N/A</v>
      </c>
      <c r="U832" s="68" t="e">
        <f aca="false">VLOOKUP(A832,BD_ORDENES!A:BE,57,FALSE())</f>
        <v>#N/A</v>
      </c>
      <c r="V832" s="70"/>
    </row>
    <row r="833" customFormat="false" ht="29.1" hidden="false" customHeight="false" outlineLevel="0" collapsed="false">
      <c r="A833" s="62" t="n">
        <f aca="false">A832+1</f>
        <v>826</v>
      </c>
      <c r="B833" s="63" t="e">
        <f aca="false">VLOOKUP(A833,BD_ORDENES!A:BG,12,FALSE())</f>
        <v>#N/A</v>
      </c>
      <c r="C833" s="64" t="n">
        <v>826</v>
      </c>
      <c r="D833" s="65" t="e">
        <f aca="false">VLOOKUP(A833,BD_ORDENES!A:BE,10,0)</f>
        <v>#N/A</v>
      </c>
      <c r="E833" s="66" t="e">
        <f aca="false">VLOOKUP(A833,BD_ORDENES!A:BG,4,FALSE())</f>
        <v>#N/A</v>
      </c>
      <c r="F833" s="66" t="e">
        <f aca="false">VLOOKUP(A833,BD_ORDENES!A:BE,56,FALSE())</f>
        <v>#N/A</v>
      </c>
      <c r="G833" s="67" t="e">
        <f aca="false">VLOOKUP(A833,BD_ORDENES!A:BE,13,FALSE())</f>
        <v>#N/A</v>
      </c>
      <c r="H833" s="68" t="e">
        <f aca="false">VLOOKUP(A833,BD_ORDENES!A:BE,17,FALSE())</f>
        <v>#N/A</v>
      </c>
      <c r="I833" s="68" t="e">
        <f aca="false">VLOOKUP(A833,BD_ORDENES!A:BE,18,FALSE())</f>
        <v>#N/A</v>
      </c>
      <c r="J833" s="68" t="e">
        <f aca="false">VLOOKUP(A833,BD_ORDENES!A:BE,19,FALSE())</f>
        <v>#N/A</v>
      </c>
      <c r="K833" s="68" t="e">
        <f aca="false">VLOOKUP(A833,BD_ORDENES!A:BE,20,FALSE())</f>
        <v>#N/A</v>
      </c>
      <c r="L833" s="68" t="e">
        <f aca="false">VLOOKUP(A833,BD_ORDENES!A:BE,21,FALSE())</f>
        <v>#N/A</v>
      </c>
      <c r="M833" s="69" t="e">
        <f aca="false">VLOOKUP(A833,BD_ORDENES!A:BE,14,FALSE())</f>
        <v>#N/A</v>
      </c>
      <c r="N833" s="68" t="e">
        <f aca="false">VLOOKUP(A833,BD_ORDENES!A:BE,15,FALSE())</f>
        <v>#N/A</v>
      </c>
      <c r="O833" s="68" t="e">
        <f aca="false">VLOOKUP(A833,BD_ORDENES!A:BE,33,FALSE())</f>
        <v>#N/A</v>
      </c>
      <c r="P833" s="68" t="e">
        <f aca="false">VLOOKUP(A833,BD_ORDENES!A:BE,23,FALSE())</f>
        <v>#N/A</v>
      </c>
      <c r="Q833" s="68" t="e">
        <f aca="false">VLOOKUP(A833,BD_ORDENES!A:BE,52,FALSE())</f>
        <v>#N/A</v>
      </c>
      <c r="R833" s="68" t="e">
        <f aca="false">VLOOKUP(A833,BD_ORDENES!A:BE,25,FALSE())</f>
        <v>#N/A</v>
      </c>
      <c r="S833" s="68" t="e">
        <f aca="false">VLOOKUP(A833,BD_ORDENES!A:BE,22,FALSE())</f>
        <v>#N/A</v>
      </c>
      <c r="T833" s="65" t="e">
        <f aca="false">VLOOKUP(A833,BD_ORDENES!A:BE,55,FALSE())</f>
        <v>#N/A</v>
      </c>
      <c r="U833" s="68" t="e">
        <f aca="false">VLOOKUP(A833,BD_ORDENES!A:BE,57,FALSE())</f>
        <v>#N/A</v>
      </c>
      <c r="V833" s="70"/>
    </row>
    <row r="834" customFormat="false" ht="29.1" hidden="false" customHeight="false" outlineLevel="0" collapsed="false">
      <c r="A834" s="62" t="n">
        <f aca="false">A833+1</f>
        <v>827</v>
      </c>
      <c r="B834" s="63" t="e">
        <f aca="false">VLOOKUP(A834,BD_ORDENES!A:BG,12,FALSE())</f>
        <v>#N/A</v>
      </c>
      <c r="C834" s="64" t="n">
        <v>827</v>
      </c>
      <c r="D834" s="65" t="e">
        <f aca="false">VLOOKUP(A834,BD_ORDENES!A:BE,10,0)</f>
        <v>#N/A</v>
      </c>
      <c r="E834" s="66" t="e">
        <f aca="false">VLOOKUP(A834,BD_ORDENES!A:BG,4,FALSE())</f>
        <v>#N/A</v>
      </c>
      <c r="F834" s="66" t="e">
        <f aca="false">VLOOKUP(A834,BD_ORDENES!A:BE,56,FALSE())</f>
        <v>#N/A</v>
      </c>
      <c r="G834" s="67" t="e">
        <f aca="false">VLOOKUP(A834,BD_ORDENES!A:BE,13,FALSE())</f>
        <v>#N/A</v>
      </c>
      <c r="H834" s="68" t="e">
        <f aca="false">VLOOKUP(A834,BD_ORDENES!A:BE,17,FALSE())</f>
        <v>#N/A</v>
      </c>
      <c r="I834" s="68" t="e">
        <f aca="false">VLOOKUP(A834,BD_ORDENES!A:BE,18,FALSE())</f>
        <v>#N/A</v>
      </c>
      <c r="J834" s="68" t="e">
        <f aca="false">VLOOKUP(A834,BD_ORDENES!A:BE,19,FALSE())</f>
        <v>#N/A</v>
      </c>
      <c r="K834" s="68" t="e">
        <f aca="false">VLOOKUP(A834,BD_ORDENES!A:BE,20,FALSE())</f>
        <v>#N/A</v>
      </c>
      <c r="L834" s="68" t="e">
        <f aca="false">VLOOKUP(A834,BD_ORDENES!A:BE,21,FALSE())</f>
        <v>#N/A</v>
      </c>
      <c r="M834" s="69" t="e">
        <f aca="false">VLOOKUP(A834,BD_ORDENES!A:BE,14,FALSE())</f>
        <v>#N/A</v>
      </c>
      <c r="N834" s="68" t="e">
        <f aca="false">VLOOKUP(A834,BD_ORDENES!A:BE,15,FALSE())</f>
        <v>#N/A</v>
      </c>
      <c r="O834" s="68" t="e">
        <f aca="false">VLOOKUP(A834,BD_ORDENES!A:BE,33,FALSE())</f>
        <v>#N/A</v>
      </c>
      <c r="P834" s="68" t="e">
        <f aca="false">VLOOKUP(A834,BD_ORDENES!A:BE,23,FALSE())</f>
        <v>#N/A</v>
      </c>
      <c r="Q834" s="68" t="e">
        <f aca="false">VLOOKUP(A834,BD_ORDENES!A:BE,52,FALSE())</f>
        <v>#N/A</v>
      </c>
      <c r="R834" s="68" t="e">
        <f aca="false">VLOOKUP(A834,BD_ORDENES!A:BE,25,FALSE())</f>
        <v>#N/A</v>
      </c>
      <c r="S834" s="68" t="e">
        <f aca="false">VLOOKUP(A834,BD_ORDENES!A:BE,22,FALSE())</f>
        <v>#N/A</v>
      </c>
      <c r="T834" s="65" t="e">
        <f aca="false">VLOOKUP(A834,BD_ORDENES!A:BE,55,FALSE())</f>
        <v>#N/A</v>
      </c>
      <c r="U834" s="68" t="e">
        <f aca="false">VLOOKUP(A834,BD_ORDENES!A:BE,57,FALSE())</f>
        <v>#N/A</v>
      </c>
      <c r="V834" s="70"/>
    </row>
    <row r="835" customFormat="false" ht="29.1" hidden="false" customHeight="false" outlineLevel="0" collapsed="false">
      <c r="A835" s="62" t="n">
        <f aca="false">A834+1</f>
        <v>828</v>
      </c>
      <c r="B835" s="63" t="e">
        <f aca="false">VLOOKUP(A835,BD_ORDENES!A:BG,12,FALSE())</f>
        <v>#N/A</v>
      </c>
      <c r="C835" s="64" t="n">
        <v>828</v>
      </c>
      <c r="D835" s="65" t="e">
        <f aca="false">VLOOKUP(A835,BD_ORDENES!A:BE,10,0)</f>
        <v>#N/A</v>
      </c>
      <c r="E835" s="66" t="e">
        <f aca="false">VLOOKUP(A835,BD_ORDENES!A:BG,4,FALSE())</f>
        <v>#N/A</v>
      </c>
      <c r="F835" s="66" t="e">
        <f aca="false">VLOOKUP(A835,BD_ORDENES!A:BE,56,FALSE())</f>
        <v>#N/A</v>
      </c>
      <c r="G835" s="67" t="e">
        <f aca="false">VLOOKUP(A835,BD_ORDENES!A:BE,13,FALSE())</f>
        <v>#N/A</v>
      </c>
      <c r="H835" s="68" t="e">
        <f aca="false">VLOOKUP(A835,BD_ORDENES!A:BE,17,FALSE())</f>
        <v>#N/A</v>
      </c>
      <c r="I835" s="68" t="e">
        <f aca="false">VLOOKUP(A835,BD_ORDENES!A:BE,18,FALSE())</f>
        <v>#N/A</v>
      </c>
      <c r="J835" s="68" t="e">
        <f aca="false">VLOOKUP(A835,BD_ORDENES!A:BE,19,FALSE())</f>
        <v>#N/A</v>
      </c>
      <c r="K835" s="68" t="e">
        <f aca="false">VLOOKUP(A835,BD_ORDENES!A:BE,20,FALSE())</f>
        <v>#N/A</v>
      </c>
      <c r="L835" s="68" t="e">
        <f aca="false">VLOOKUP(A835,BD_ORDENES!A:BE,21,FALSE())</f>
        <v>#N/A</v>
      </c>
      <c r="M835" s="69" t="e">
        <f aca="false">VLOOKUP(A835,BD_ORDENES!A:BE,14,FALSE())</f>
        <v>#N/A</v>
      </c>
      <c r="N835" s="68" t="e">
        <f aca="false">VLOOKUP(A835,BD_ORDENES!A:BE,15,FALSE())</f>
        <v>#N/A</v>
      </c>
      <c r="O835" s="68" t="e">
        <f aca="false">VLOOKUP(A835,BD_ORDENES!A:BE,33,FALSE())</f>
        <v>#N/A</v>
      </c>
      <c r="P835" s="68" t="e">
        <f aca="false">VLOOKUP(A835,BD_ORDENES!A:BE,23,FALSE())</f>
        <v>#N/A</v>
      </c>
      <c r="Q835" s="68" t="e">
        <f aca="false">VLOOKUP(A835,BD_ORDENES!A:BE,52,FALSE())</f>
        <v>#N/A</v>
      </c>
      <c r="R835" s="68" t="e">
        <f aca="false">VLOOKUP(A835,BD_ORDENES!A:BE,25,FALSE())</f>
        <v>#N/A</v>
      </c>
      <c r="S835" s="68" t="e">
        <f aca="false">VLOOKUP(A835,BD_ORDENES!A:BE,22,FALSE())</f>
        <v>#N/A</v>
      </c>
      <c r="T835" s="65" t="e">
        <f aca="false">VLOOKUP(A835,BD_ORDENES!A:BE,55,FALSE())</f>
        <v>#N/A</v>
      </c>
      <c r="U835" s="68" t="e">
        <f aca="false">VLOOKUP(A835,BD_ORDENES!A:BE,57,FALSE())</f>
        <v>#N/A</v>
      </c>
      <c r="V835" s="70"/>
    </row>
    <row r="836" customFormat="false" ht="29.1" hidden="false" customHeight="false" outlineLevel="0" collapsed="false">
      <c r="A836" s="62" t="n">
        <f aca="false">A835+1</f>
        <v>829</v>
      </c>
      <c r="B836" s="63" t="e">
        <f aca="false">VLOOKUP(A836,BD_ORDENES!A:BG,12,FALSE())</f>
        <v>#N/A</v>
      </c>
      <c r="C836" s="64" t="n">
        <v>829</v>
      </c>
      <c r="D836" s="65" t="e">
        <f aca="false">VLOOKUP(A836,BD_ORDENES!A:BE,10,0)</f>
        <v>#N/A</v>
      </c>
      <c r="E836" s="66" t="e">
        <f aca="false">VLOOKUP(A836,BD_ORDENES!A:BG,4,FALSE())</f>
        <v>#N/A</v>
      </c>
      <c r="F836" s="66" t="e">
        <f aca="false">VLOOKUP(A836,BD_ORDENES!A:BE,56,FALSE())</f>
        <v>#N/A</v>
      </c>
      <c r="G836" s="67" t="e">
        <f aca="false">VLOOKUP(A836,BD_ORDENES!A:BE,13,FALSE())</f>
        <v>#N/A</v>
      </c>
      <c r="H836" s="68" t="e">
        <f aca="false">VLOOKUP(A836,BD_ORDENES!A:BE,17,FALSE())</f>
        <v>#N/A</v>
      </c>
      <c r="I836" s="68" t="e">
        <f aca="false">VLOOKUP(A836,BD_ORDENES!A:BE,18,FALSE())</f>
        <v>#N/A</v>
      </c>
      <c r="J836" s="68" t="e">
        <f aca="false">VLOOKUP(A836,BD_ORDENES!A:BE,19,FALSE())</f>
        <v>#N/A</v>
      </c>
      <c r="K836" s="68" t="e">
        <f aca="false">VLOOKUP(A836,BD_ORDENES!A:BE,20,FALSE())</f>
        <v>#N/A</v>
      </c>
      <c r="L836" s="68" t="e">
        <f aca="false">VLOOKUP(A836,BD_ORDENES!A:BE,21,FALSE())</f>
        <v>#N/A</v>
      </c>
      <c r="M836" s="69" t="e">
        <f aca="false">VLOOKUP(A836,BD_ORDENES!A:BE,14,FALSE())</f>
        <v>#N/A</v>
      </c>
      <c r="N836" s="68" t="e">
        <f aca="false">VLOOKUP(A836,BD_ORDENES!A:BE,15,FALSE())</f>
        <v>#N/A</v>
      </c>
      <c r="O836" s="68" t="e">
        <f aca="false">VLOOKUP(A836,BD_ORDENES!A:BE,33,FALSE())</f>
        <v>#N/A</v>
      </c>
      <c r="P836" s="68" t="e">
        <f aca="false">VLOOKUP(A836,BD_ORDENES!A:BE,23,FALSE())</f>
        <v>#N/A</v>
      </c>
      <c r="Q836" s="68" t="e">
        <f aca="false">VLOOKUP(A836,BD_ORDENES!A:BE,52,FALSE())</f>
        <v>#N/A</v>
      </c>
      <c r="R836" s="68" t="e">
        <f aca="false">VLOOKUP(A836,BD_ORDENES!A:BE,25,FALSE())</f>
        <v>#N/A</v>
      </c>
      <c r="S836" s="68" t="e">
        <f aca="false">VLOOKUP(A836,BD_ORDENES!A:BE,22,FALSE())</f>
        <v>#N/A</v>
      </c>
      <c r="T836" s="65" t="e">
        <f aca="false">VLOOKUP(A836,BD_ORDENES!A:BE,55,FALSE())</f>
        <v>#N/A</v>
      </c>
      <c r="U836" s="68" t="e">
        <f aca="false">VLOOKUP(A836,BD_ORDENES!A:BE,57,FALSE())</f>
        <v>#N/A</v>
      </c>
      <c r="V836" s="70"/>
    </row>
    <row r="837" customFormat="false" ht="29.1" hidden="false" customHeight="false" outlineLevel="0" collapsed="false">
      <c r="A837" s="62" t="n">
        <f aca="false">A836+1</f>
        <v>830</v>
      </c>
      <c r="B837" s="63" t="e">
        <f aca="false">VLOOKUP(A837,BD_ORDENES!A:BG,12,FALSE())</f>
        <v>#N/A</v>
      </c>
      <c r="C837" s="64" t="n">
        <v>830</v>
      </c>
      <c r="D837" s="65" t="e">
        <f aca="false">VLOOKUP(A837,BD_ORDENES!A:BE,10,0)</f>
        <v>#N/A</v>
      </c>
      <c r="E837" s="66" t="e">
        <f aca="false">VLOOKUP(A837,BD_ORDENES!A:BG,4,FALSE())</f>
        <v>#N/A</v>
      </c>
      <c r="F837" s="66" t="e">
        <f aca="false">VLOOKUP(A837,BD_ORDENES!A:BE,56,FALSE())</f>
        <v>#N/A</v>
      </c>
      <c r="G837" s="67" t="e">
        <f aca="false">VLOOKUP(A837,BD_ORDENES!A:BE,13,FALSE())</f>
        <v>#N/A</v>
      </c>
      <c r="H837" s="68" t="e">
        <f aca="false">VLOOKUP(A837,BD_ORDENES!A:BE,17,FALSE())</f>
        <v>#N/A</v>
      </c>
      <c r="I837" s="68" t="e">
        <f aca="false">VLOOKUP(A837,BD_ORDENES!A:BE,18,FALSE())</f>
        <v>#N/A</v>
      </c>
      <c r="J837" s="68" t="e">
        <f aca="false">VLOOKUP(A837,BD_ORDENES!A:BE,19,FALSE())</f>
        <v>#N/A</v>
      </c>
      <c r="K837" s="68" t="e">
        <f aca="false">VLOOKUP(A837,BD_ORDENES!A:BE,20,FALSE())</f>
        <v>#N/A</v>
      </c>
      <c r="L837" s="68" t="e">
        <f aca="false">VLOOKUP(A837,BD_ORDENES!A:BE,21,FALSE())</f>
        <v>#N/A</v>
      </c>
      <c r="M837" s="69" t="e">
        <f aca="false">VLOOKUP(A837,BD_ORDENES!A:BE,14,FALSE())</f>
        <v>#N/A</v>
      </c>
      <c r="N837" s="68" t="e">
        <f aca="false">VLOOKUP(A837,BD_ORDENES!A:BE,15,FALSE())</f>
        <v>#N/A</v>
      </c>
      <c r="O837" s="68" t="e">
        <f aca="false">VLOOKUP(A837,BD_ORDENES!A:BE,33,FALSE())</f>
        <v>#N/A</v>
      </c>
      <c r="P837" s="68" t="e">
        <f aca="false">VLOOKUP(A837,BD_ORDENES!A:BE,23,FALSE())</f>
        <v>#N/A</v>
      </c>
      <c r="Q837" s="68" t="e">
        <f aca="false">VLOOKUP(A837,BD_ORDENES!A:BE,52,FALSE())</f>
        <v>#N/A</v>
      </c>
      <c r="R837" s="68" t="e">
        <f aca="false">VLOOKUP(A837,BD_ORDENES!A:BE,25,FALSE())</f>
        <v>#N/A</v>
      </c>
      <c r="S837" s="68" t="e">
        <f aca="false">VLOOKUP(A837,BD_ORDENES!A:BE,22,FALSE())</f>
        <v>#N/A</v>
      </c>
      <c r="T837" s="65" t="e">
        <f aca="false">VLOOKUP(A837,BD_ORDENES!A:BE,55,FALSE())</f>
        <v>#N/A</v>
      </c>
      <c r="U837" s="68" t="e">
        <f aca="false">VLOOKUP(A837,BD_ORDENES!A:BE,57,FALSE())</f>
        <v>#N/A</v>
      </c>
      <c r="V837" s="70"/>
    </row>
    <row r="838" customFormat="false" ht="29.1" hidden="false" customHeight="false" outlineLevel="0" collapsed="false">
      <c r="A838" s="62" t="n">
        <f aca="false">A837+1</f>
        <v>831</v>
      </c>
      <c r="B838" s="63" t="e">
        <f aca="false">VLOOKUP(A838,BD_ORDENES!A:BG,12,FALSE())</f>
        <v>#N/A</v>
      </c>
      <c r="C838" s="64" t="n">
        <v>831</v>
      </c>
      <c r="D838" s="65" t="e">
        <f aca="false">VLOOKUP(A838,BD_ORDENES!A:BE,10,0)</f>
        <v>#N/A</v>
      </c>
      <c r="E838" s="66" t="e">
        <f aca="false">VLOOKUP(A838,BD_ORDENES!A:BG,4,FALSE())</f>
        <v>#N/A</v>
      </c>
      <c r="F838" s="66" t="e">
        <f aca="false">VLOOKUP(A838,BD_ORDENES!A:BE,56,FALSE())</f>
        <v>#N/A</v>
      </c>
      <c r="G838" s="67" t="e">
        <f aca="false">VLOOKUP(A838,BD_ORDENES!A:BE,13,FALSE())</f>
        <v>#N/A</v>
      </c>
      <c r="H838" s="68" t="e">
        <f aca="false">VLOOKUP(A838,BD_ORDENES!A:BE,17,FALSE())</f>
        <v>#N/A</v>
      </c>
      <c r="I838" s="68" t="e">
        <f aca="false">VLOOKUP(A838,BD_ORDENES!A:BE,18,FALSE())</f>
        <v>#N/A</v>
      </c>
      <c r="J838" s="68" t="e">
        <f aca="false">VLOOKUP(A838,BD_ORDENES!A:BE,19,FALSE())</f>
        <v>#N/A</v>
      </c>
      <c r="K838" s="68" t="e">
        <f aca="false">VLOOKUP(A838,BD_ORDENES!A:BE,20,FALSE())</f>
        <v>#N/A</v>
      </c>
      <c r="L838" s="68" t="e">
        <f aca="false">VLOOKUP(A838,BD_ORDENES!A:BE,21,FALSE())</f>
        <v>#N/A</v>
      </c>
      <c r="M838" s="69" t="e">
        <f aca="false">VLOOKUP(A838,BD_ORDENES!A:BE,14,FALSE())</f>
        <v>#N/A</v>
      </c>
      <c r="N838" s="68" t="e">
        <f aca="false">VLOOKUP(A838,BD_ORDENES!A:BE,15,FALSE())</f>
        <v>#N/A</v>
      </c>
      <c r="O838" s="68" t="e">
        <f aca="false">VLOOKUP(A838,BD_ORDENES!A:BE,33,FALSE())</f>
        <v>#N/A</v>
      </c>
      <c r="P838" s="68" t="e">
        <f aca="false">VLOOKUP(A838,BD_ORDENES!A:BE,23,FALSE())</f>
        <v>#N/A</v>
      </c>
      <c r="Q838" s="68" t="e">
        <f aca="false">VLOOKUP(A838,BD_ORDENES!A:BE,52,FALSE())</f>
        <v>#N/A</v>
      </c>
      <c r="R838" s="68" t="e">
        <f aca="false">VLOOKUP(A838,BD_ORDENES!A:BE,25,FALSE())</f>
        <v>#N/A</v>
      </c>
      <c r="S838" s="68" t="e">
        <f aca="false">VLOOKUP(A838,BD_ORDENES!A:BE,22,FALSE())</f>
        <v>#N/A</v>
      </c>
      <c r="T838" s="65" t="e">
        <f aca="false">VLOOKUP(A838,BD_ORDENES!A:BE,55,FALSE())</f>
        <v>#N/A</v>
      </c>
      <c r="U838" s="68" t="e">
        <f aca="false">VLOOKUP(A838,BD_ORDENES!A:BE,57,FALSE())</f>
        <v>#N/A</v>
      </c>
      <c r="V838" s="70"/>
    </row>
    <row r="839" customFormat="false" ht="29.1" hidden="false" customHeight="false" outlineLevel="0" collapsed="false">
      <c r="A839" s="62" t="n">
        <f aca="false">A838+1</f>
        <v>832</v>
      </c>
      <c r="B839" s="63" t="e">
        <f aca="false">VLOOKUP(A839,BD_ORDENES!A:BG,12,FALSE())</f>
        <v>#N/A</v>
      </c>
      <c r="C839" s="64" t="n">
        <v>832</v>
      </c>
      <c r="D839" s="65" t="e">
        <f aca="false">VLOOKUP(A839,BD_ORDENES!A:BE,10,0)</f>
        <v>#N/A</v>
      </c>
      <c r="E839" s="66" t="e">
        <f aca="false">VLOOKUP(A839,BD_ORDENES!A:BG,4,FALSE())</f>
        <v>#N/A</v>
      </c>
      <c r="F839" s="66" t="e">
        <f aca="false">VLOOKUP(A839,BD_ORDENES!A:BE,56,FALSE())</f>
        <v>#N/A</v>
      </c>
      <c r="G839" s="67" t="e">
        <f aca="false">VLOOKUP(A839,BD_ORDENES!A:BE,13,FALSE())</f>
        <v>#N/A</v>
      </c>
      <c r="H839" s="68" t="e">
        <f aca="false">VLOOKUP(A839,BD_ORDENES!A:BE,17,FALSE())</f>
        <v>#N/A</v>
      </c>
      <c r="I839" s="68" t="e">
        <f aca="false">VLOOKUP(A839,BD_ORDENES!A:BE,18,FALSE())</f>
        <v>#N/A</v>
      </c>
      <c r="J839" s="68" t="e">
        <f aca="false">VLOOKUP(A839,BD_ORDENES!A:BE,19,FALSE())</f>
        <v>#N/A</v>
      </c>
      <c r="K839" s="68" t="e">
        <f aca="false">VLOOKUP(A839,BD_ORDENES!A:BE,20,FALSE())</f>
        <v>#N/A</v>
      </c>
      <c r="L839" s="68" t="e">
        <f aca="false">VLOOKUP(A839,BD_ORDENES!A:BE,21,FALSE())</f>
        <v>#N/A</v>
      </c>
      <c r="M839" s="69" t="e">
        <f aca="false">VLOOKUP(A839,BD_ORDENES!A:BE,14,FALSE())</f>
        <v>#N/A</v>
      </c>
      <c r="N839" s="68" t="e">
        <f aca="false">VLOOKUP(A839,BD_ORDENES!A:BE,15,FALSE())</f>
        <v>#N/A</v>
      </c>
      <c r="O839" s="68" t="e">
        <f aca="false">VLOOKUP(A839,BD_ORDENES!A:BE,33,FALSE())</f>
        <v>#N/A</v>
      </c>
      <c r="P839" s="68" t="e">
        <f aca="false">VLOOKUP(A839,BD_ORDENES!A:BE,23,FALSE())</f>
        <v>#N/A</v>
      </c>
      <c r="Q839" s="68" t="e">
        <f aca="false">VLOOKUP(A839,BD_ORDENES!A:BE,52,FALSE())</f>
        <v>#N/A</v>
      </c>
      <c r="R839" s="68" t="e">
        <f aca="false">VLOOKUP(A839,BD_ORDENES!A:BE,25,FALSE())</f>
        <v>#N/A</v>
      </c>
      <c r="S839" s="68" t="e">
        <f aca="false">VLOOKUP(A839,BD_ORDENES!A:BE,22,FALSE())</f>
        <v>#N/A</v>
      </c>
      <c r="T839" s="65" t="e">
        <f aca="false">VLOOKUP(A839,BD_ORDENES!A:BE,55,FALSE())</f>
        <v>#N/A</v>
      </c>
      <c r="U839" s="68" t="e">
        <f aca="false">VLOOKUP(A839,BD_ORDENES!A:BE,57,FALSE())</f>
        <v>#N/A</v>
      </c>
      <c r="V839" s="70"/>
    </row>
    <row r="840" customFormat="false" ht="29.1" hidden="false" customHeight="false" outlineLevel="0" collapsed="false">
      <c r="A840" s="62" t="n">
        <f aca="false">A839+1</f>
        <v>833</v>
      </c>
      <c r="B840" s="63" t="e">
        <f aca="false">VLOOKUP(A840,BD_ORDENES!A:BG,12,FALSE())</f>
        <v>#N/A</v>
      </c>
      <c r="C840" s="64" t="n">
        <v>833</v>
      </c>
      <c r="D840" s="65" t="e">
        <f aca="false">VLOOKUP(A840,BD_ORDENES!A:BE,10,0)</f>
        <v>#N/A</v>
      </c>
      <c r="E840" s="66" t="e">
        <f aca="false">VLOOKUP(A840,BD_ORDENES!A:BG,4,FALSE())</f>
        <v>#N/A</v>
      </c>
      <c r="F840" s="66" t="e">
        <f aca="false">VLOOKUP(A840,BD_ORDENES!A:BE,56,FALSE())</f>
        <v>#N/A</v>
      </c>
      <c r="G840" s="67" t="e">
        <f aca="false">VLOOKUP(A840,BD_ORDENES!A:BE,13,FALSE())</f>
        <v>#N/A</v>
      </c>
      <c r="H840" s="68" t="e">
        <f aca="false">VLOOKUP(A840,BD_ORDENES!A:BE,17,FALSE())</f>
        <v>#N/A</v>
      </c>
      <c r="I840" s="68" t="e">
        <f aca="false">VLOOKUP(A840,BD_ORDENES!A:BE,18,FALSE())</f>
        <v>#N/A</v>
      </c>
      <c r="J840" s="68" t="e">
        <f aca="false">VLOOKUP(A840,BD_ORDENES!A:BE,19,FALSE())</f>
        <v>#N/A</v>
      </c>
      <c r="K840" s="68" t="e">
        <f aca="false">VLOOKUP(A840,BD_ORDENES!A:BE,20,FALSE())</f>
        <v>#N/A</v>
      </c>
      <c r="L840" s="68" t="e">
        <f aca="false">VLOOKUP(A840,BD_ORDENES!A:BE,21,FALSE())</f>
        <v>#N/A</v>
      </c>
      <c r="M840" s="69" t="e">
        <f aca="false">VLOOKUP(A840,BD_ORDENES!A:BE,14,FALSE())</f>
        <v>#N/A</v>
      </c>
      <c r="N840" s="68" t="e">
        <f aca="false">VLOOKUP(A840,BD_ORDENES!A:BE,15,FALSE())</f>
        <v>#N/A</v>
      </c>
      <c r="O840" s="68" t="e">
        <f aca="false">VLOOKUP(A840,BD_ORDENES!A:BE,33,FALSE())</f>
        <v>#N/A</v>
      </c>
      <c r="P840" s="68" t="e">
        <f aca="false">VLOOKUP(A840,BD_ORDENES!A:BE,23,FALSE())</f>
        <v>#N/A</v>
      </c>
      <c r="Q840" s="68" t="e">
        <f aca="false">VLOOKUP(A840,BD_ORDENES!A:BE,52,FALSE())</f>
        <v>#N/A</v>
      </c>
      <c r="R840" s="68" t="e">
        <f aca="false">VLOOKUP(A840,BD_ORDENES!A:BE,25,FALSE())</f>
        <v>#N/A</v>
      </c>
      <c r="S840" s="68" t="e">
        <f aca="false">VLOOKUP(A840,BD_ORDENES!A:BE,22,FALSE())</f>
        <v>#N/A</v>
      </c>
      <c r="T840" s="65" t="e">
        <f aca="false">VLOOKUP(A840,BD_ORDENES!A:BE,55,FALSE())</f>
        <v>#N/A</v>
      </c>
      <c r="U840" s="68" t="e">
        <f aca="false">VLOOKUP(A840,BD_ORDENES!A:BE,57,FALSE())</f>
        <v>#N/A</v>
      </c>
      <c r="V840" s="70"/>
    </row>
    <row r="841" customFormat="false" ht="29.1" hidden="false" customHeight="false" outlineLevel="0" collapsed="false">
      <c r="A841" s="62" t="n">
        <f aca="false">A840+1</f>
        <v>834</v>
      </c>
      <c r="B841" s="63" t="e">
        <f aca="false">VLOOKUP(A841,BD_ORDENES!A:BG,12,FALSE())</f>
        <v>#N/A</v>
      </c>
      <c r="C841" s="64" t="n">
        <v>834</v>
      </c>
      <c r="D841" s="65" t="e">
        <f aca="false">VLOOKUP(A841,BD_ORDENES!A:BE,10,0)</f>
        <v>#N/A</v>
      </c>
      <c r="E841" s="66" t="e">
        <f aca="false">VLOOKUP(A841,BD_ORDENES!A:BG,4,FALSE())</f>
        <v>#N/A</v>
      </c>
      <c r="F841" s="66" t="e">
        <f aca="false">VLOOKUP(A841,BD_ORDENES!A:BE,56,FALSE())</f>
        <v>#N/A</v>
      </c>
      <c r="G841" s="67" t="e">
        <f aca="false">VLOOKUP(A841,BD_ORDENES!A:BE,13,FALSE())</f>
        <v>#N/A</v>
      </c>
      <c r="H841" s="68" t="e">
        <f aca="false">VLOOKUP(A841,BD_ORDENES!A:BE,17,FALSE())</f>
        <v>#N/A</v>
      </c>
      <c r="I841" s="68" t="e">
        <f aca="false">VLOOKUP(A841,BD_ORDENES!A:BE,18,FALSE())</f>
        <v>#N/A</v>
      </c>
      <c r="J841" s="68" t="e">
        <f aca="false">VLOOKUP(A841,BD_ORDENES!A:BE,19,FALSE())</f>
        <v>#N/A</v>
      </c>
      <c r="K841" s="68" t="e">
        <f aca="false">VLOOKUP(A841,BD_ORDENES!A:BE,20,FALSE())</f>
        <v>#N/A</v>
      </c>
      <c r="L841" s="68" t="e">
        <f aca="false">VLOOKUP(A841,BD_ORDENES!A:BE,21,FALSE())</f>
        <v>#N/A</v>
      </c>
      <c r="M841" s="69" t="e">
        <f aca="false">VLOOKUP(A841,BD_ORDENES!A:BE,14,FALSE())</f>
        <v>#N/A</v>
      </c>
      <c r="N841" s="68" t="e">
        <f aca="false">VLOOKUP(A841,BD_ORDENES!A:BE,15,FALSE())</f>
        <v>#N/A</v>
      </c>
      <c r="O841" s="68" t="e">
        <f aca="false">VLOOKUP(A841,BD_ORDENES!A:BE,33,FALSE())</f>
        <v>#N/A</v>
      </c>
      <c r="P841" s="68" t="e">
        <f aca="false">VLOOKUP(A841,BD_ORDENES!A:BE,23,FALSE())</f>
        <v>#N/A</v>
      </c>
      <c r="Q841" s="68" t="e">
        <f aca="false">VLOOKUP(A841,BD_ORDENES!A:BE,52,FALSE())</f>
        <v>#N/A</v>
      </c>
      <c r="R841" s="68" t="e">
        <f aca="false">VLOOKUP(A841,BD_ORDENES!A:BE,25,FALSE())</f>
        <v>#N/A</v>
      </c>
      <c r="S841" s="68" t="e">
        <f aca="false">VLOOKUP(A841,BD_ORDENES!A:BE,22,FALSE())</f>
        <v>#N/A</v>
      </c>
      <c r="T841" s="65" t="e">
        <f aca="false">VLOOKUP(A841,BD_ORDENES!A:BE,55,FALSE())</f>
        <v>#N/A</v>
      </c>
      <c r="U841" s="68" t="e">
        <f aca="false">VLOOKUP(A841,BD_ORDENES!A:BE,57,FALSE())</f>
        <v>#N/A</v>
      </c>
      <c r="V841" s="70"/>
    </row>
    <row r="842" customFormat="false" ht="29.1" hidden="false" customHeight="false" outlineLevel="0" collapsed="false">
      <c r="A842" s="62" t="n">
        <f aca="false">A841+1</f>
        <v>835</v>
      </c>
      <c r="B842" s="63" t="e">
        <f aca="false">VLOOKUP(A842,BD_ORDENES!A:BG,12,FALSE())</f>
        <v>#N/A</v>
      </c>
      <c r="C842" s="64" t="n">
        <v>835</v>
      </c>
      <c r="D842" s="65" t="e">
        <f aca="false">VLOOKUP(A842,BD_ORDENES!A:BE,10,0)</f>
        <v>#N/A</v>
      </c>
      <c r="E842" s="66" t="e">
        <f aca="false">VLOOKUP(A842,BD_ORDENES!A:BG,4,FALSE())</f>
        <v>#N/A</v>
      </c>
      <c r="F842" s="66" t="e">
        <f aca="false">VLOOKUP(A842,BD_ORDENES!A:BE,56,FALSE())</f>
        <v>#N/A</v>
      </c>
      <c r="G842" s="67" t="e">
        <f aca="false">VLOOKUP(A842,BD_ORDENES!A:BE,13,FALSE())</f>
        <v>#N/A</v>
      </c>
      <c r="H842" s="68" t="e">
        <f aca="false">VLOOKUP(A842,BD_ORDENES!A:BE,17,FALSE())</f>
        <v>#N/A</v>
      </c>
      <c r="I842" s="68" t="e">
        <f aca="false">VLOOKUP(A842,BD_ORDENES!A:BE,18,FALSE())</f>
        <v>#N/A</v>
      </c>
      <c r="J842" s="68" t="e">
        <f aca="false">VLOOKUP(A842,BD_ORDENES!A:BE,19,FALSE())</f>
        <v>#N/A</v>
      </c>
      <c r="K842" s="68" t="e">
        <f aca="false">VLOOKUP(A842,BD_ORDENES!A:BE,20,FALSE())</f>
        <v>#N/A</v>
      </c>
      <c r="L842" s="68" t="e">
        <f aca="false">VLOOKUP(A842,BD_ORDENES!A:BE,21,FALSE())</f>
        <v>#N/A</v>
      </c>
      <c r="M842" s="69" t="e">
        <f aca="false">VLOOKUP(A842,BD_ORDENES!A:BE,14,FALSE())</f>
        <v>#N/A</v>
      </c>
      <c r="N842" s="68" t="e">
        <f aca="false">VLOOKUP(A842,BD_ORDENES!A:BE,15,FALSE())</f>
        <v>#N/A</v>
      </c>
      <c r="O842" s="68" t="e">
        <f aca="false">VLOOKUP(A842,BD_ORDENES!A:BE,33,FALSE())</f>
        <v>#N/A</v>
      </c>
      <c r="P842" s="68" t="e">
        <f aca="false">VLOOKUP(A842,BD_ORDENES!A:BE,23,FALSE())</f>
        <v>#N/A</v>
      </c>
      <c r="Q842" s="68" t="e">
        <f aca="false">VLOOKUP(A842,BD_ORDENES!A:BE,52,FALSE())</f>
        <v>#N/A</v>
      </c>
      <c r="R842" s="68" t="e">
        <f aca="false">VLOOKUP(A842,BD_ORDENES!A:BE,25,FALSE())</f>
        <v>#N/A</v>
      </c>
      <c r="S842" s="68" t="e">
        <f aca="false">VLOOKUP(A842,BD_ORDENES!A:BE,22,FALSE())</f>
        <v>#N/A</v>
      </c>
      <c r="T842" s="65" t="e">
        <f aca="false">VLOOKUP(A842,BD_ORDENES!A:BE,55,FALSE())</f>
        <v>#N/A</v>
      </c>
      <c r="U842" s="68" t="e">
        <f aca="false">VLOOKUP(A842,BD_ORDENES!A:BE,57,FALSE())</f>
        <v>#N/A</v>
      </c>
      <c r="V842" s="70"/>
    </row>
    <row r="843" customFormat="false" ht="29.1" hidden="false" customHeight="false" outlineLevel="0" collapsed="false">
      <c r="A843" s="62" t="n">
        <f aca="false">A842+1</f>
        <v>836</v>
      </c>
      <c r="B843" s="63" t="e">
        <f aca="false">VLOOKUP(A843,BD_ORDENES!A:BG,12,FALSE())</f>
        <v>#N/A</v>
      </c>
      <c r="C843" s="64" t="n">
        <v>836</v>
      </c>
      <c r="D843" s="65" t="e">
        <f aca="false">VLOOKUP(A843,BD_ORDENES!A:BE,10,0)</f>
        <v>#N/A</v>
      </c>
      <c r="E843" s="66" t="e">
        <f aca="false">VLOOKUP(A843,BD_ORDENES!A:BG,4,FALSE())</f>
        <v>#N/A</v>
      </c>
      <c r="F843" s="66" t="e">
        <f aca="false">VLOOKUP(A843,BD_ORDENES!A:BE,56,FALSE())</f>
        <v>#N/A</v>
      </c>
      <c r="G843" s="67" t="e">
        <f aca="false">VLOOKUP(A843,BD_ORDENES!A:BE,13,FALSE())</f>
        <v>#N/A</v>
      </c>
      <c r="H843" s="68" t="e">
        <f aca="false">VLOOKUP(A843,BD_ORDENES!A:BE,17,FALSE())</f>
        <v>#N/A</v>
      </c>
      <c r="I843" s="68" t="e">
        <f aca="false">VLOOKUP(A843,BD_ORDENES!A:BE,18,FALSE())</f>
        <v>#N/A</v>
      </c>
      <c r="J843" s="68" t="e">
        <f aca="false">VLOOKUP(A843,BD_ORDENES!A:BE,19,FALSE())</f>
        <v>#N/A</v>
      </c>
      <c r="K843" s="68" t="e">
        <f aca="false">VLOOKUP(A843,BD_ORDENES!A:BE,20,FALSE())</f>
        <v>#N/A</v>
      </c>
      <c r="L843" s="68" t="e">
        <f aca="false">VLOOKUP(A843,BD_ORDENES!A:BE,21,FALSE())</f>
        <v>#N/A</v>
      </c>
      <c r="M843" s="69" t="e">
        <f aca="false">VLOOKUP(A843,BD_ORDENES!A:BE,14,FALSE())</f>
        <v>#N/A</v>
      </c>
      <c r="N843" s="68" t="e">
        <f aca="false">VLOOKUP(A843,BD_ORDENES!A:BE,15,FALSE())</f>
        <v>#N/A</v>
      </c>
      <c r="O843" s="68" t="e">
        <f aca="false">VLOOKUP(A843,BD_ORDENES!A:BE,33,FALSE())</f>
        <v>#N/A</v>
      </c>
      <c r="P843" s="68" t="e">
        <f aca="false">VLOOKUP(A843,BD_ORDENES!A:BE,23,FALSE())</f>
        <v>#N/A</v>
      </c>
      <c r="Q843" s="68" t="e">
        <f aca="false">VLOOKUP(A843,BD_ORDENES!A:BE,52,FALSE())</f>
        <v>#N/A</v>
      </c>
      <c r="R843" s="68" t="e">
        <f aca="false">VLOOKUP(A843,BD_ORDENES!A:BE,25,FALSE())</f>
        <v>#N/A</v>
      </c>
      <c r="S843" s="68" t="e">
        <f aca="false">VLOOKUP(A843,BD_ORDENES!A:BE,22,FALSE())</f>
        <v>#N/A</v>
      </c>
      <c r="T843" s="65" t="e">
        <f aca="false">VLOOKUP(A843,BD_ORDENES!A:BE,55,FALSE())</f>
        <v>#N/A</v>
      </c>
      <c r="U843" s="68" t="e">
        <f aca="false">VLOOKUP(A843,BD_ORDENES!A:BE,57,FALSE())</f>
        <v>#N/A</v>
      </c>
      <c r="V843" s="70"/>
    </row>
    <row r="844" customFormat="false" ht="29.1" hidden="false" customHeight="false" outlineLevel="0" collapsed="false">
      <c r="A844" s="62" t="n">
        <f aca="false">A843+1</f>
        <v>837</v>
      </c>
      <c r="B844" s="63" t="e">
        <f aca="false">VLOOKUP(A844,BD_ORDENES!A:BG,12,FALSE())</f>
        <v>#N/A</v>
      </c>
      <c r="C844" s="64" t="n">
        <v>837</v>
      </c>
      <c r="D844" s="65" t="e">
        <f aca="false">VLOOKUP(A844,BD_ORDENES!A:BE,10,0)</f>
        <v>#N/A</v>
      </c>
      <c r="E844" s="66" t="e">
        <f aca="false">VLOOKUP(A844,BD_ORDENES!A:BG,4,FALSE())</f>
        <v>#N/A</v>
      </c>
      <c r="F844" s="66" t="e">
        <f aca="false">VLOOKUP(A844,BD_ORDENES!A:BE,56,FALSE())</f>
        <v>#N/A</v>
      </c>
      <c r="G844" s="67" t="e">
        <f aca="false">VLOOKUP(A844,BD_ORDENES!A:BE,13,FALSE())</f>
        <v>#N/A</v>
      </c>
      <c r="H844" s="68" t="e">
        <f aca="false">VLOOKUP(A844,BD_ORDENES!A:BE,17,FALSE())</f>
        <v>#N/A</v>
      </c>
      <c r="I844" s="68" t="e">
        <f aca="false">VLOOKUP(A844,BD_ORDENES!A:BE,18,FALSE())</f>
        <v>#N/A</v>
      </c>
      <c r="J844" s="68" t="e">
        <f aca="false">VLOOKUP(A844,BD_ORDENES!A:BE,19,FALSE())</f>
        <v>#N/A</v>
      </c>
      <c r="K844" s="68" t="e">
        <f aca="false">VLOOKUP(A844,BD_ORDENES!A:BE,20,FALSE())</f>
        <v>#N/A</v>
      </c>
      <c r="L844" s="68" t="e">
        <f aca="false">VLOOKUP(A844,BD_ORDENES!A:BE,21,FALSE())</f>
        <v>#N/A</v>
      </c>
      <c r="M844" s="69" t="e">
        <f aca="false">VLOOKUP(A844,BD_ORDENES!A:BE,14,FALSE())</f>
        <v>#N/A</v>
      </c>
      <c r="N844" s="68" t="e">
        <f aca="false">VLOOKUP(A844,BD_ORDENES!A:BE,15,FALSE())</f>
        <v>#N/A</v>
      </c>
      <c r="O844" s="68" t="e">
        <f aca="false">VLOOKUP(A844,BD_ORDENES!A:BE,33,FALSE())</f>
        <v>#N/A</v>
      </c>
      <c r="P844" s="68" t="e">
        <f aca="false">VLOOKUP(A844,BD_ORDENES!A:BE,23,FALSE())</f>
        <v>#N/A</v>
      </c>
      <c r="Q844" s="68" t="e">
        <f aca="false">VLOOKUP(A844,BD_ORDENES!A:BE,52,FALSE())</f>
        <v>#N/A</v>
      </c>
      <c r="R844" s="68" t="e">
        <f aca="false">VLOOKUP(A844,BD_ORDENES!A:BE,25,FALSE())</f>
        <v>#N/A</v>
      </c>
      <c r="S844" s="68" t="e">
        <f aca="false">VLOOKUP(A844,BD_ORDENES!A:BE,22,FALSE())</f>
        <v>#N/A</v>
      </c>
      <c r="T844" s="65" t="e">
        <f aca="false">VLOOKUP(A844,BD_ORDENES!A:BE,55,FALSE())</f>
        <v>#N/A</v>
      </c>
      <c r="U844" s="68" t="e">
        <f aca="false">VLOOKUP(A844,BD_ORDENES!A:BE,57,FALSE())</f>
        <v>#N/A</v>
      </c>
      <c r="V844" s="70"/>
    </row>
    <row r="845" customFormat="false" ht="29.1" hidden="false" customHeight="false" outlineLevel="0" collapsed="false">
      <c r="A845" s="62" t="n">
        <f aca="false">A844+1</f>
        <v>838</v>
      </c>
      <c r="B845" s="63" t="e">
        <f aca="false">VLOOKUP(A845,BD_ORDENES!A:BG,12,FALSE())</f>
        <v>#N/A</v>
      </c>
      <c r="C845" s="64" t="n">
        <v>838</v>
      </c>
      <c r="D845" s="65" t="e">
        <f aca="false">VLOOKUP(A845,BD_ORDENES!A:BE,10,0)</f>
        <v>#N/A</v>
      </c>
      <c r="E845" s="66" t="e">
        <f aca="false">VLOOKUP(A845,BD_ORDENES!A:BG,4,FALSE())</f>
        <v>#N/A</v>
      </c>
      <c r="F845" s="66" t="e">
        <f aca="false">VLOOKUP(A845,BD_ORDENES!A:BE,56,FALSE())</f>
        <v>#N/A</v>
      </c>
      <c r="G845" s="67" t="e">
        <f aca="false">VLOOKUP(A845,BD_ORDENES!A:BE,13,FALSE())</f>
        <v>#N/A</v>
      </c>
      <c r="H845" s="68" t="e">
        <f aca="false">VLOOKUP(A845,BD_ORDENES!A:BE,17,FALSE())</f>
        <v>#N/A</v>
      </c>
      <c r="I845" s="68" t="e">
        <f aca="false">VLOOKUP(A845,BD_ORDENES!A:BE,18,FALSE())</f>
        <v>#N/A</v>
      </c>
      <c r="J845" s="68" t="e">
        <f aca="false">VLOOKUP(A845,BD_ORDENES!A:BE,19,FALSE())</f>
        <v>#N/A</v>
      </c>
      <c r="K845" s="68" t="e">
        <f aca="false">VLOOKUP(A845,BD_ORDENES!A:BE,20,FALSE())</f>
        <v>#N/A</v>
      </c>
      <c r="L845" s="68" t="e">
        <f aca="false">VLOOKUP(A845,BD_ORDENES!A:BE,21,FALSE())</f>
        <v>#N/A</v>
      </c>
      <c r="M845" s="69" t="e">
        <f aca="false">VLOOKUP(A845,BD_ORDENES!A:BE,14,FALSE())</f>
        <v>#N/A</v>
      </c>
      <c r="N845" s="68" t="e">
        <f aca="false">VLOOKUP(A845,BD_ORDENES!A:BE,15,FALSE())</f>
        <v>#N/A</v>
      </c>
      <c r="O845" s="68" t="e">
        <f aca="false">VLOOKUP(A845,BD_ORDENES!A:BE,33,FALSE())</f>
        <v>#N/A</v>
      </c>
      <c r="P845" s="68" t="e">
        <f aca="false">VLOOKUP(A845,BD_ORDENES!A:BE,23,FALSE())</f>
        <v>#N/A</v>
      </c>
      <c r="Q845" s="68" t="e">
        <f aca="false">VLOOKUP(A845,BD_ORDENES!A:BE,52,FALSE())</f>
        <v>#N/A</v>
      </c>
      <c r="R845" s="68" t="e">
        <f aca="false">VLOOKUP(A845,BD_ORDENES!A:BE,25,FALSE())</f>
        <v>#N/A</v>
      </c>
      <c r="S845" s="68" t="e">
        <f aca="false">VLOOKUP(A845,BD_ORDENES!A:BE,22,FALSE())</f>
        <v>#N/A</v>
      </c>
      <c r="T845" s="65" t="e">
        <f aca="false">VLOOKUP(A845,BD_ORDENES!A:BE,55,FALSE())</f>
        <v>#N/A</v>
      </c>
      <c r="U845" s="68" t="e">
        <f aca="false">VLOOKUP(A845,BD_ORDENES!A:BE,57,FALSE())</f>
        <v>#N/A</v>
      </c>
      <c r="V845" s="70"/>
    </row>
    <row r="846" customFormat="false" ht="29.1" hidden="false" customHeight="false" outlineLevel="0" collapsed="false">
      <c r="A846" s="62" t="n">
        <f aca="false">A845+1</f>
        <v>839</v>
      </c>
      <c r="B846" s="63" t="e">
        <f aca="false">VLOOKUP(A846,BD_ORDENES!A:BG,12,FALSE())</f>
        <v>#N/A</v>
      </c>
      <c r="C846" s="64" t="n">
        <v>839</v>
      </c>
      <c r="D846" s="65" t="e">
        <f aca="false">VLOOKUP(A846,BD_ORDENES!A:BE,10,0)</f>
        <v>#N/A</v>
      </c>
      <c r="E846" s="66" t="e">
        <f aca="false">VLOOKUP(A846,BD_ORDENES!A:BG,4,FALSE())</f>
        <v>#N/A</v>
      </c>
      <c r="F846" s="66" t="e">
        <f aca="false">VLOOKUP(A846,BD_ORDENES!A:BE,56,FALSE())</f>
        <v>#N/A</v>
      </c>
      <c r="G846" s="67" t="e">
        <f aca="false">VLOOKUP(A846,BD_ORDENES!A:BE,13,FALSE())</f>
        <v>#N/A</v>
      </c>
      <c r="H846" s="68" t="e">
        <f aca="false">VLOOKUP(A846,BD_ORDENES!A:BE,17,FALSE())</f>
        <v>#N/A</v>
      </c>
      <c r="I846" s="68" t="e">
        <f aca="false">VLOOKUP(A846,BD_ORDENES!A:BE,18,FALSE())</f>
        <v>#N/A</v>
      </c>
      <c r="J846" s="68" t="e">
        <f aca="false">VLOOKUP(A846,BD_ORDENES!A:BE,19,FALSE())</f>
        <v>#N/A</v>
      </c>
      <c r="K846" s="68" t="e">
        <f aca="false">VLOOKUP(A846,BD_ORDENES!A:BE,20,FALSE())</f>
        <v>#N/A</v>
      </c>
      <c r="L846" s="68" t="e">
        <f aca="false">VLOOKUP(A846,BD_ORDENES!A:BE,21,FALSE())</f>
        <v>#N/A</v>
      </c>
      <c r="M846" s="69" t="e">
        <f aca="false">VLOOKUP(A846,BD_ORDENES!A:BE,14,FALSE())</f>
        <v>#N/A</v>
      </c>
      <c r="N846" s="68" t="e">
        <f aca="false">VLOOKUP(A846,BD_ORDENES!A:BE,15,FALSE())</f>
        <v>#N/A</v>
      </c>
      <c r="O846" s="68" t="e">
        <f aca="false">VLOOKUP(A846,BD_ORDENES!A:BE,33,FALSE())</f>
        <v>#N/A</v>
      </c>
      <c r="P846" s="68" t="e">
        <f aca="false">VLOOKUP(A846,BD_ORDENES!A:BE,23,FALSE())</f>
        <v>#N/A</v>
      </c>
      <c r="Q846" s="68" t="e">
        <f aca="false">VLOOKUP(A846,BD_ORDENES!A:BE,52,FALSE())</f>
        <v>#N/A</v>
      </c>
      <c r="R846" s="68" t="e">
        <f aca="false">VLOOKUP(A846,BD_ORDENES!A:BE,25,FALSE())</f>
        <v>#N/A</v>
      </c>
      <c r="S846" s="68" t="e">
        <f aca="false">VLOOKUP(A846,BD_ORDENES!A:BE,22,FALSE())</f>
        <v>#N/A</v>
      </c>
      <c r="T846" s="65" t="e">
        <f aca="false">VLOOKUP(A846,BD_ORDENES!A:BE,55,FALSE())</f>
        <v>#N/A</v>
      </c>
      <c r="U846" s="68" t="e">
        <f aca="false">VLOOKUP(A846,BD_ORDENES!A:BE,57,FALSE())</f>
        <v>#N/A</v>
      </c>
      <c r="V846" s="70"/>
    </row>
    <row r="847" customFormat="false" ht="29.1" hidden="false" customHeight="false" outlineLevel="0" collapsed="false">
      <c r="A847" s="62" t="n">
        <f aca="false">A846+1</f>
        <v>840</v>
      </c>
      <c r="B847" s="63" t="e">
        <f aca="false">VLOOKUP(A847,BD_ORDENES!A:BG,12,FALSE())</f>
        <v>#N/A</v>
      </c>
      <c r="C847" s="64" t="n">
        <v>840</v>
      </c>
      <c r="D847" s="65" t="e">
        <f aca="false">VLOOKUP(A847,BD_ORDENES!A:BE,10,0)</f>
        <v>#N/A</v>
      </c>
      <c r="E847" s="66" t="e">
        <f aca="false">VLOOKUP(A847,BD_ORDENES!A:BG,4,FALSE())</f>
        <v>#N/A</v>
      </c>
      <c r="F847" s="66" t="e">
        <f aca="false">VLOOKUP(A847,BD_ORDENES!A:BE,56,FALSE())</f>
        <v>#N/A</v>
      </c>
      <c r="G847" s="67" t="e">
        <f aca="false">VLOOKUP(A847,BD_ORDENES!A:BE,13,FALSE())</f>
        <v>#N/A</v>
      </c>
      <c r="H847" s="68" t="e">
        <f aca="false">VLOOKUP(A847,BD_ORDENES!A:BE,17,FALSE())</f>
        <v>#N/A</v>
      </c>
      <c r="I847" s="68" t="e">
        <f aca="false">VLOOKUP(A847,BD_ORDENES!A:BE,18,FALSE())</f>
        <v>#N/A</v>
      </c>
      <c r="J847" s="68" t="e">
        <f aca="false">VLOOKUP(A847,BD_ORDENES!A:BE,19,FALSE())</f>
        <v>#N/A</v>
      </c>
      <c r="K847" s="68" t="e">
        <f aca="false">VLOOKUP(A847,BD_ORDENES!A:BE,20,FALSE())</f>
        <v>#N/A</v>
      </c>
      <c r="L847" s="68" t="e">
        <f aca="false">VLOOKUP(A847,BD_ORDENES!A:BE,21,FALSE())</f>
        <v>#N/A</v>
      </c>
      <c r="M847" s="69" t="e">
        <f aca="false">VLOOKUP(A847,BD_ORDENES!A:BE,14,FALSE())</f>
        <v>#N/A</v>
      </c>
      <c r="N847" s="68" t="e">
        <f aca="false">VLOOKUP(A847,BD_ORDENES!A:BE,15,FALSE())</f>
        <v>#N/A</v>
      </c>
      <c r="O847" s="68" t="e">
        <f aca="false">VLOOKUP(A847,BD_ORDENES!A:BE,33,FALSE())</f>
        <v>#N/A</v>
      </c>
      <c r="P847" s="68" t="e">
        <f aca="false">VLOOKUP(A847,BD_ORDENES!A:BE,23,FALSE())</f>
        <v>#N/A</v>
      </c>
      <c r="Q847" s="68" t="e">
        <f aca="false">VLOOKUP(A847,BD_ORDENES!A:BE,52,FALSE())</f>
        <v>#N/A</v>
      </c>
      <c r="R847" s="68" t="e">
        <f aca="false">VLOOKUP(A847,BD_ORDENES!A:BE,25,FALSE())</f>
        <v>#N/A</v>
      </c>
      <c r="S847" s="68" t="e">
        <f aca="false">VLOOKUP(A847,BD_ORDENES!A:BE,22,FALSE())</f>
        <v>#N/A</v>
      </c>
      <c r="T847" s="65" t="e">
        <f aca="false">VLOOKUP(A847,BD_ORDENES!A:BE,55,FALSE())</f>
        <v>#N/A</v>
      </c>
      <c r="U847" s="68" t="e">
        <f aca="false">VLOOKUP(A847,BD_ORDENES!A:BE,57,FALSE())</f>
        <v>#N/A</v>
      </c>
      <c r="V847" s="70"/>
    </row>
    <row r="848" customFormat="false" ht="29.1" hidden="false" customHeight="false" outlineLevel="0" collapsed="false">
      <c r="A848" s="62" t="n">
        <f aca="false">A847+1</f>
        <v>841</v>
      </c>
      <c r="B848" s="63" t="e">
        <f aca="false">VLOOKUP(A848,BD_ORDENES!A:BG,12,FALSE())</f>
        <v>#N/A</v>
      </c>
      <c r="C848" s="64" t="n">
        <v>841</v>
      </c>
      <c r="D848" s="65" t="e">
        <f aca="false">VLOOKUP(A848,BD_ORDENES!A:BE,10,0)</f>
        <v>#N/A</v>
      </c>
      <c r="E848" s="66" t="e">
        <f aca="false">VLOOKUP(A848,BD_ORDENES!A:BG,4,FALSE())</f>
        <v>#N/A</v>
      </c>
      <c r="F848" s="66" t="e">
        <f aca="false">VLOOKUP(A848,BD_ORDENES!A:BE,56,FALSE())</f>
        <v>#N/A</v>
      </c>
      <c r="G848" s="67" t="e">
        <f aca="false">VLOOKUP(A848,BD_ORDENES!A:BE,13,FALSE())</f>
        <v>#N/A</v>
      </c>
      <c r="H848" s="68" t="e">
        <f aca="false">VLOOKUP(A848,BD_ORDENES!A:BE,17,FALSE())</f>
        <v>#N/A</v>
      </c>
      <c r="I848" s="68" t="e">
        <f aca="false">VLOOKUP(A848,BD_ORDENES!A:BE,18,FALSE())</f>
        <v>#N/A</v>
      </c>
      <c r="J848" s="68" t="e">
        <f aca="false">VLOOKUP(A848,BD_ORDENES!A:BE,19,FALSE())</f>
        <v>#N/A</v>
      </c>
      <c r="K848" s="68" t="e">
        <f aca="false">VLOOKUP(A848,BD_ORDENES!A:BE,20,FALSE())</f>
        <v>#N/A</v>
      </c>
      <c r="L848" s="68" t="e">
        <f aca="false">VLOOKUP(A848,BD_ORDENES!A:BE,21,FALSE())</f>
        <v>#N/A</v>
      </c>
      <c r="M848" s="69" t="e">
        <f aca="false">VLOOKUP(A848,BD_ORDENES!A:BE,14,FALSE())</f>
        <v>#N/A</v>
      </c>
      <c r="N848" s="68" t="e">
        <f aca="false">VLOOKUP(A848,BD_ORDENES!A:BE,15,FALSE())</f>
        <v>#N/A</v>
      </c>
      <c r="O848" s="68" t="e">
        <f aca="false">VLOOKUP(A848,BD_ORDENES!A:BE,33,FALSE())</f>
        <v>#N/A</v>
      </c>
      <c r="P848" s="68" t="e">
        <f aca="false">VLOOKUP(A848,BD_ORDENES!A:BE,23,FALSE())</f>
        <v>#N/A</v>
      </c>
      <c r="Q848" s="68" t="e">
        <f aca="false">VLOOKUP(A848,BD_ORDENES!A:BE,52,FALSE())</f>
        <v>#N/A</v>
      </c>
      <c r="R848" s="68" t="e">
        <f aca="false">VLOOKUP(A848,BD_ORDENES!A:BE,25,FALSE())</f>
        <v>#N/A</v>
      </c>
      <c r="S848" s="68" t="e">
        <f aca="false">VLOOKUP(A848,BD_ORDENES!A:BE,22,FALSE())</f>
        <v>#N/A</v>
      </c>
      <c r="T848" s="65" t="e">
        <f aca="false">VLOOKUP(A848,BD_ORDENES!A:BE,55,FALSE())</f>
        <v>#N/A</v>
      </c>
      <c r="U848" s="68" t="e">
        <f aca="false">VLOOKUP(A848,BD_ORDENES!A:BE,57,FALSE())</f>
        <v>#N/A</v>
      </c>
      <c r="V848" s="70"/>
    </row>
    <row r="849" customFormat="false" ht="29.1" hidden="false" customHeight="false" outlineLevel="0" collapsed="false">
      <c r="A849" s="62" t="n">
        <f aca="false">A848+1</f>
        <v>842</v>
      </c>
      <c r="B849" s="63" t="e">
        <f aca="false">VLOOKUP(A849,BD_ORDENES!A:BG,12,FALSE())</f>
        <v>#N/A</v>
      </c>
      <c r="C849" s="64" t="n">
        <v>842</v>
      </c>
      <c r="D849" s="65" t="e">
        <f aca="false">VLOOKUP(A849,BD_ORDENES!A:BE,10,0)</f>
        <v>#N/A</v>
      </c>
      <c r="E849" s="66" t="e">
        <f aca="false">VLOOKUP(A849,BD_ORDENES!A:BG,4,FALSE())</f>
        <v>#N/A</v>
      </c>
      <c r="F849" s="66" t="e">
        <f aca="false">VLOOKUP(A849,BD_ORDENES!A:BE,56,FALSE())</f>
        <v>#N/A</v>
      </c>
      <c r="G849" s="67" t="e">
        <f aca="false">VLOOKUP(A849,BD_ORDENES!A:BE,13,FALSE())</f>
        <v>#N/A</v>
      </c>
      <c r="H849" s="68" t="e">
        <f aca="false">VLOOKUP(A849,BD_ORDENES!A:BE,17,FALSE())</f>
        <v>#N/A</v>
      </c>
      <c r="I849" s="68" t="e">
        <f aca="false">VLOOKUP(A849,BD_ORDENES!A:BE,18,FALSE())</f>
        <v>#N/A</v>
      </c>
      <c r="J849" s="68" t="e">
        <f aca="false">VLOOKUP(A849,BD_ORDENES!A:BE,19,FALSE())</f>
        <v>#N/A</v>
      </c>
      <c r="K849" s="68" t="e">
        <f aca="false">VLOOKUP(A849,BD_ORDENES!A:BE,20,FALSE())</f>
        <v>#N/A</v>
      </c>
      <c r="L849" s="68" t="e">
        <f aca="false">VLOOKUP(A849,BD_ORDENES!A:BE,21,FALSE())</f>
        <v>#N/A</v>
      </c>
      <c r="M849" s="69" t="e">
        <f aca="false">VLOOKUP(A849,BD_ORDENES!A:BE,14,FALSE())</f>
        <v>#N/A</v>
      </c>
      <c r="N849" s="68" t="e">
        <f aca="false">VLOOKUP(A849,BD_ORDENES!A:BE,15,FALSE())</f>
        <v>#N/A</v>
      </c>
      <c r="O849" s="68" t="e">
        <f aca="false">VLOOKUP(A849,BD_ORDENES!A:BE,33,FALSE())</f>
        <v>#N/A</v>
      </c>
      <c r="P849" s="68" t="e">
        <f aca="false">VLOOKUP(A849,BD_ORDENES!A:BE,23,FALSE())</f>
        <v>#N/A</v>
      </c>
      <c r="Q849" s="68" t="e">
        <f aca="false">VLOOKUP(A849,BD_ORDENES!A:BE,52,FALSE())</f>
        <v>#N/A</v>
      </c>
      <c r="R849" s="68" t="e">
        <f aca="false">VLOOKUP(A849,BD_ORDENES!A:BE,25,FALSE())</f>
        <v>#N/A</v>
      </c>
      <c r="S849" s="68" t="e">
        <f aca="false">VLOOKUP(A849,BD_ORDENES!A:BE,22,FALSE())</f>
        <v>#N/A</v>
      </c>
      <c r="T849" s="65" t="e">
        <f aca="false">VLOOKUP(A849,BD_ORDENES!A:BE,55,FALSE())</f>
        <v>#N/A</v>
      </c>
      <c r="U849" s="68" t="e">
        <f aca="false">VLOOKUP(A849,BD_ORDENES!A:BE,57,FALSE())</f>
        <v>#N/A</v>
      </c>
      <c r="V849" s="70"/>
    </row>
    <row r="850" customFormat="false" ht="29.1" hidden="false" customHeight="false" outlineLevel="0" collapsed="false">
      <c r="A850" s="62" t="n">
        <f aca="false">A849+1</f>
        <v>843</v>
      </c>
      <c r="B850" s="63" t="e">
        <f aca="false">VLOOKUP(A850,BD_ORDENES!A:BG,12,FALSE())</f>
        <v>#N/A</v>
      </c>
      <c r="C850" s="64" t="n">
        <v>843</v>
      </c>
      <c r="D850" s="65" t="e">
        <f aca="false">VLOOKUP(A850,BD_ORDENES!A:BE,10,0)</f>
        <v>#N/A</v>
      </c>
      <c r="E850" s="66" t="e">
        <f aca="false">VLOOKUP(A850,BD_ORDENES!A:BG,4,FALSE())</f>
        <v>#N/A</v>
      </c>
      <c r="F850" s="66" t="e">
        <f aca="false">VLOOKUP(A850,BD_ORDENES!A:BE,56,FALSE())</f>
        <v>#N/A</v>
      </c>
      <c r="G850" s="67" t="e">
        <f aca="false">VLOOKUP(A850,BD_ORDENES!A:BE,13,FALSE())</f>
        <v>#N/A</v>
      </c>
      <c r="H850" s="68" t="e">
        <f aca="false">VLOOKUP(A850,BD_ORDENES!A:BE,17,FALSE())</f>
        <v>#N/A</v>
      </c>
      <c r="I850" s="68" t="e">
        <f aca="false">VLOOKUP(A850,BD_ORDENES!A:BE,18,FALSE())</f>
        <v>#N/A</v>
      </c>
      <c r="J850" s="68" t="e">
        <f aca="false">VLOOKUP(A850,BD_ORDENES!A:BE,19,FALSE())</f>
        <v>#N/A</v>
      </c>
      <c r="K850" s="68" t="e">
        <f aca="false">VLOOKUP(A850,BD_ORDENES!A:BE,20,FALSE())</f>
        <v>#N/A</v>
      </c>
      <c r="L850" s="68" t="e">
        <f aca="false">VLOOKUP(A850,BD_ORDENES!A:BE,21,FALSE())</f>
        <v>#N/A</v>
      </c>
      <c r="M850" s="69" t="e">
        <f aca="false">VLOOKUP(A850,BD_ORDENES!A:BE,14,FALSE())</f>
        <v>#N/A</v>
      </c>
      <c r="N850" s="68" t="e">
        <f aca="false">VLOOKUP(A850,BD_ORDENES!A:BE,15,FALSE())</f>
        <v>#N/A</v>
      </c>
      <c r="O850" s="68" t="e">
        <f aca="false">VLOOKUP(A850,BD_ORDENES!A:BE,33,FALSE())</f>
        <v>#N/A</v>
      </c>
      <c r="P850" s="68" t="e">
        <f aca="false">VLOOKUP(A850,BD_ORDENES!A:BE,23,FALSE())</f>
        <v>#N/A</v>
      </c>
      <c r="Q850" s="68" t="e">
        <f aca="false">VLOOKUP(A850,BD_ORDENES!A:BE,52,FALSE())</f>
        <v>#N/A</v>
      </c>
      <c r="R850" s="68" t="e">
        <f aca="false">VLOOKUP(A850,BD_ORDENES!A:BE,25,FALSE())</f>
        <v>#N/A</v>
      </c>
      <c r="S850" s="68" t="e">
        <f aca="false">VLOOKUP(A850,BD_ORDENES!A:BE,22,FALSE())</f>
        <v>#N/A</v>
      </c>
      <c r="T850" s="65" t="e">
        <f aca="false">VLOOKUP(A850,BD_ORDENES!A:BE,55,FALSE())</f>
        <v>#N/A</v>
      </c>
      <c r="U850" s="68" t="e">
        <f aca="false">VLOOKUP(A850,BD_ORDENES!A:BE,57,FALSE())</f>
        <v>#N/A</v>
      </c>
      <c r="V850" s="70"/>
    </row>
    <row r="851" customFormat="false" ht="29.1" hidden="false" customHeight="false" outlineLevel="0" collapsed="false">
      <c r="A851" s="62" t="n">
        <f aca="false">A850+1</f>
        <v>844</v>
      </c>
      <c r="B851" s="63" t="e">
        <f aca="false">VLOOKUP(A851,BD_ORDENES!A:BG,12,FALSE())</f>
        <v>#N/A</v>
      </c>
      <c r="C851" s="64" t="n">
        <v>844</v>
      </c>
      <c r="D851" s="65" t="e">
        <f aca="false">VLOOKUP(A851,BD_ORDENES!A:BE,10,0)</f>
        <v>#N/A</v>
      </c>
      <c r="E851" s="66" t="e">
        <f aca="false">VLOOKUP(A851,BD_ORDENES!A:BG,4,FALSE())</f>
        <v>#N/A</v>
      </c>
      <c r="F851" s="66" t="e">
        <f aca="false">VLOOKUP(A851,BD_ORDENES!A:BE,56,FALSE())</f>
        <v>#N/A</v>
      </c>
      <c r="G851" s="67" t="e">
        <f aca="false">VLOOKUP(A851,BD_ORDENES!A:BE,13,FALSE())</f>
        <v>#N/A</v>
      </c>
      <c r="H851" s="68" t="e">
        <f aca="false">VLOOKUP(A851,BD_ORDENES!A:BE,17,FALSE())</f>
        <v>#N/A</v>
      </c>
      <c r="I851" s="68" t="e">
        <f aca="false">VLOOKUP(A851,BD_ORDENES!A:BE,18,FALSE())</f>
        <v>#N/A</v>
      </c>
      <c r="J851" s="68" t="e">
        <f aca="false">VLOOKUP(A851,BD_ORDENES!A:BE,19,FALSE())</f>
        <v>#N/A</v>
      </c>
      <c r="K851" s="68" t="e">
        <f aca="false">VLOOKUP(A851,BD_ORDENES!A:BE,20,FALSE())</f>
        <v>#N/A</v>
      </c>
      <c r="L851" s="68" t="e">
        <f aca="false">VLOOKUP(A851,BD_ORDENES!A:BE,21,FALSE())</f>
        <v>#N/A</v>
      </c>
      <c r="M851" s="69" t="e">
        <f aca="false">VLOOKUP(A851,BD_ORDENES!A:BE,14,FALSE())</f>
        <v>#N/A</v>
      </c>
      <c r="N851" s="68" t="e">
        <f aca="false">VLOOKUP(A851,BD_ORDENES!A:BE,15,FALSE())</f>
        <v>#N/A</v>
      </c>
      <c r="O851" s="68" t="e">
        <f aca="false">VLOOKUP(A851,BD_ORDENES!A:BE,33,FALSE())</f>
        <v>#N/A</v>
      </c>
      <c r="P851" s="68" t="e">
        <f aca="false">VLOOKUP(A851,BD_ORDENES!A:BE,23,FALSE())</f>
        <v>#N/A</v>
      </c>
      <c r="Q851" s="68" t="e">
        <f aca="false">VLOOKUP(A851,BD_ORDENES!A:BE,52,FALSE())</f>
        <v>#N/A</v>
      </c>
      <c r="R851" s="68" t="e">
        <f aca="false">VLOOKUP(A851,BD_ORDENES!A:BE,25,FALSE())</f>
        <v>#N/A</v>
      </c>
      <c r="S851" s="68" t="e">
        <f aca="false">VLOOKUP(A851,BD_ORDENES!A:BE,22,FALSE())</f>
        <v>#N/A</v>
      </c>
      <c r="T851" s="65" t="e">
        <f aca="false">VLOOKUP(A851,BD_ORDENES!A:BE,55,FALSE())</f>
        <v>#N/A</v>
      </c>
      <c r="U851" s="68" t="e">
        <f aca="false">VLOOKUP(A851,BD_ORDENES!A:BE,57,FALSE())</f>
        <v>#N/A</v>
      </c>
      <c r="V851" s="70"/>
    </row>
    <row r="852" customFormat="false" ht="29.1" hidden="false" customHeight="false" outlineLevel="0" collapsed="false">
      <c r="A852" s="62" t="n">
        <f aca="false">A851+1</f>
        <v>845</v>
      </c>
      <c r="B852" s="63" t="e">
        <f aca="false">VLOOKUP(A852,BD_ORDENES!A:BG,12,FALSE())</f>
        <v>#N/A</v>
      </c>
      <c r="C852" s="64" t="n">
        <v>845</v>
      </c>
      <c r="D852" s="65" t="e">
        <f aca="false">VLOOKUP(A852,BD_ORDENES!A:BE,10,0)</f>
        <v>#N/A</v>
      </c>
      <c r="E852" s="66" t="e">
        <f aca="false">VLOOKUP(A852,BD_ORDENES!A:BG,4,FALSE())</f>
        <v>#N/A</v>
      </c>
      <c r="F852" s="66" t="e">
        <f aca="false">VLOOKUP(A852,BD_ORDENES!A:BE,56,FALSE())</f>
        <v>#N/A</v>
      </c>
      <c r="G852" s="67" t="e">
        <f aca="false">VLOOKUP(A852,BD_ORDENES!A:BE,13,FALSE())</f>
        <v>#N/A</v>
      </c>
      <c r="H852" s="68" t="e">
        <f aca="false">VLOOKUP(A852,BD_ORDENES!A:BE,17,FALSE())</f>
        <v>#N/A</v>
      </c>
      <c r="I852" s="68" t="e">
        <f aca="false">VLOOKUP(A852,BD_ORDENES!A:BE,18,FALSE())</f>
        <v>#N/A</v>
      </c>
      <c r="J852" s="68" t="e">
        <f aca="false">VLOOKUP(A852,BD_ORDENES!A:BE,19,FALSE())</f>
        <v>#N/A</v>
      </c>
      <c r="K852" s="68" t="e">
        <f aca="false">VLOOKUP(A852,BD_ORDENES!A:BE,20,FALSE())</f>
        <v>#N/A</v>
      </c>
      <c r="L852" s="68" t="e">
        <f aca="false">VLOOKUP(A852,BD_ORDENES!A:BE,21,FALSE())</f>
        <v>#N/A</v>
      </c>
      <c r="M852" s="69" t="e">
        <f aca="false">VLOOKUP(A852,BD_ORDENES!A:BE,14,FALSE())</f>
        <v>#N/A</v>
      </c>
      <c r="N852" s="68" t="e">
        <f aca="false">VLOOKUP(A852,BD_ORDENES!A:BE,15,FALSE())</f>
        <v>#N/A</v>
      </c>
      <c r="O852" s="68" t="e">
        <f aca="false">VLOOKUP(A852,BD_ORDENES!A:BE,33,FALSE())</f>
        <v>#N/A</v>
      </c>
      <c r="P852" s="68" t="e">
        <f aca="false">VLOOKUP(A852,BD_ORDENES!A:BE,23,FALSE())</f>
        <v>#N/A</v>
      </c>
      <c r="Q852" s="68" t="e">
        <f aca="false">VLOOKUP(A852,BD_ORDENES!A:BE,52,FALSE())</f>
        <v>#N/A</v>
      </c>
      <c r="R852" s="68" t="e">
        <f aca="false">VLOOKUP(A852,BD_ORDENES!A:BE,25,FALSE())</f>
        <v>#N/A</v>
      </c>
      <c r="S852" s="68" t="e">
        <f aca="false">VLOOKUP(A852,BD_ORDENES!A:BE,22,FALSE())</f>
        <v>#N/A</v>
      </c>
      <c r="T852" s="65" t="e">
        <f aca="false">VLOOKUP(A852,BD_ORDENES!A:BE,55,FALSE())</f>
        <v>#N/A</v>
      </c>
      <c r="U852" s="68" t="e">
        <f aca="false">VLOOKUP(A852,BD_ORDENES!A:BE,57,FALSE())</f>
        <v>#N/A</v>
      </c>
      <c r="V852" s="70"/>
    </row>
    <row r="853" customFormat="false" ht="29.1" hidden="false" customHeight="false" outlineLevel="0" collapsed="false">
      <c r="A853" s="62" t="n">
        <f aca="false">A852+1</f>
        <v>846</v>
      </c>
      <c r="B853" s="63" t="e">
        <f aca="false">VLOOKUP(A853,BD_ORDENES!A:BG,12,FALSE())</f>
        <v>#N/A</v>
      </c>
      <c r="C853" s="64" t="n">
        <v>846</v>
      </c>
      <c r="D853" s="65" t="e">
        <f aca="false">VLOOKUP(A853,BD_ORDENES!A:BE,10,0)</f>
        <v>#N/A</v>
      </c>
      <c r="E853" s="66" t="e">
        <f aca="false">VLOOKUP(A853,BD_ORDENES!A:BG,4,FALSE())</f>
        <v>#N/A</v>
      </c>
      <c r="F853" s="66" t="e">
        <f aca="false">VLOOKUP(A853,BD_ORDENES!A:BE,56,FALSE())</f>
        <v>#N/A</v>
      </c>
      <c r="G853" s="67" t="e">
        <f aca="false">VLOOKUP(A853,BD_ORDENES!A:BE,13,FALSE())</f>
        <v>#N/A</v>
      </c>
      <c r="H853" s="68" t="e">
        <f aca="false">VLOOKUP(A853,BD_ORDENES!A:BE,17,FALSE())</f>
        <v>#N/A</v>
      </c>
      <c r="I853" s="68" t="e">
        <f aca="false">VLOOKUP(A853,BD_ORDENES!A:BE,18,FALSE())</f>
        <v>#N/A</v>
      </c>
      <c r="J853" s="68" t="e">
        <f aca="false">VLOOKUP(A853,BD_ORDENES!A:BE,19,FALSE())</f>
        <v>#N/A</v>
      </c>
      <c r="K853" s="68" t="e">
        <f aca="false">VLOOKUP(A853,BD_ORDENES!A:BE,20,FALSE())</f>
        <v>#N/A</v>
      </c>
      <c r="L853" s="68" t="e">
        <f aca="false">VLOOKUP(A853,BD_ORDENES!A:BE,21,FALSE())</f>
        <v>#N/A</v>
      </c>
      <c r="M853" s="69" t="e">
        <f aca="false">VLOOKUP(A853,BD_ORDENES!A:BE,14,FALSE())</f>
        <v>#N/A</v>
      </c>
      <c r="N853" s="68" t="e">
        <f aca="false">VLOOKUP(A853,BD_ORDENES!A:BE,15,FALSE())</f>
        <v>#N/A</v>
      </c>
      <c r="O853" s="68" t="e">
        <f aca="false">VLOOKUP(A853,BD_ORDENES!A:BE,33,FALSE())</f>
        <v>#N/A</v>
      </c>
      <c r="P853" s="68" t="e">
        <f aca="false">VLOOKUP(A853,BD_ORDENES!A:BE,23,FALSE())</f>
        <v>#N/A</v>
      </c>
      <c r="Q853" s="68" t="e">
        <f aca="false">VLOOKUP(A853,BD_ORDENES!A:BE,52,FALSE())</f>
        <v>#N/A</v>
      </c>
      <c r="R853" s="68" t="e">
        <f aca="false">VLOOKUP(A853,BD_ORDENES!A:BE,25,FALSE())</f>
        <v>#N/A</v>
      </c>
      <c r="S853" s="68" t="e">
        <f aca="false">VLOOKUP(A853,BD_ORDENES!A:BE,22,FALSE())</f>
        <v>#N/A</v>
      </c>
      <c r="T853" s="65" t="e">
        <f aca="false">VLOOKUP(A853,BD_ORDENES!A:BE,55,FALSE())</f>
        <v>#N/A</v>
      </c>
      <c r="U853" s="68" t="e">
        <f aca="false">VLOOKUP(A853,BD_ORDENES!A:BE,57,FALSE())</f>
        <v>#N/A</v>
      </c>
      <c r="V853" s="70"/>
    </row>
    <row r="854" customFormat="false" ht="29.1" hidden="false" customHeight="false" outlineLevel="0" collapsed="false">
      <c r="A854" s="62" t="n">
        <f aca="false">A853+1</f>
        <v>847</v>
      </c>
      <c r="B854" s="63" t="e">
        <f aca="false">VLOOKUP(A854,BD_ORDENES!A:BG,12,FALSE())</f>
        <v>#N/A</v>
      </c>
      <c r="C854" s="64" t="n">
        <v>847</v>
      </c>
      <c r="D854" s="65" t="e">
        <f aca="false">VLOOKUP(A854,BD_ORDENES!A:BE,10,0)</f>
        <v>#N/A</v>
      </c>
      <c r="E854" s="66" t="e">
        <f aca="false">VLOOKUP(A854,BD_ORDENES!A:BG,4,FALSE())</f>
        <v>#N/A</v>
      </c>
      <c r="F854" s="66" t="e">
        <f aca="false">VLOOKUP(A854,BD_ORDENES!A:BE,56,FALSE())</f>
        <v>#N/A</v>
      </c>
      <c r="G854" s="67" t="e">
        <f aca="false">VLOOKUP(A854,BD_ORDENES!A:BE,13,FALSE())</f>
        <v>#N/A</v>
      </c>
      <c r="H854" s="68" t="e">
        <f aca="false">VLOOKUP(A854,BD_ORDENES!A:BE,17,FALSE())</f>
        <v>#N/A</v>
      </c>
      <c r="I854" s="68" t="e">
        <f aca="false">VLOOKUP(A854,BD_ORDENES!A:BE,18,FALSE())</f>
        <v>#N/A</v>
      </c>
      <c r="J854" s="68" t="e">
        <f aca="false">VLOOKUP(A854,BD_ORDENES!A:BE,19,FALSE())</f>
        <v>#N/A</v>
      </c>
      <c r="K854" s="68" t="e">
        <f aca="false">VLOOKUP(A854,BD_ORDENES!A:BE,20,FALSE())</f>
        <v>#N/A</v>
      </c>
      <c r="L854" s="68" t="e">
        <f aca="false">VLOOKUP(A854,BD_ORDENES!A:BE,21,FALSE())</f>
        <v>#N/A</v>
      </c>
      <c r="M854" s="69" t="e">
        <f aca="false">VLOOKUP(A854,BD_ORDENES!A:BE,14,FALSE())</f>
        <v>#N/A</v>
      </c>
      <c r="N854" s="68" t="e">
        <f aca="false">VLOOKUP(A854,BD_ORDENES!A:BE,15,FALSE())</f>
        <v>#N/A</v>
      </c>
      <c r="O854" s="68" t="e">
        <f aca="false">VLOOKUP(A854,BD_ORDENES!A:BE,33,FALSE())</f>
        <v>#N/A</v>
      </c>
      <c r="P854" s="68" t="e">
        <f aca="false">VLOOKUP(A854,BD_ORDENES!A:BE,23,FALSE())</f>
        <v>#N/A</v>
      </c>
      <c r="Q854" s="68" t="e">
        <f aca="false">VLOOKUP(A854,BD_ORDENES!A:BE,52,FALSE())</f>
        <v>#N/A</v>
      </c>
      <c r="R854" s="68" t="e">
        <f aca="false">VLOOKUP(A854,BD_ORDENES!A:BE,25,FALSE())</f>
        <v>#N/A</v>
      </c>
      <c r="S854" s="68" t="e">
        <f aca="false">VLOOKUP(A854,BD_ORDENES!A:BE,22,FALSE())</f>
        <v>#N/A</v>
      </c>
      <c r="T854" s="65" t="e">
        <f aca="false">VLOOKUP(A854,BD_ORDENES!A:BE,55,FALSE())</f>
        <v>#N/A</v>
      </c>
      <c r="U854" s="68" t="e">
        <f aca="false">VLOOKUP(A854,BD_ORDENES!A:BE,57,FALSE())</f>
        <v>#N/A</v>
      </c>
      <c r="V854" s="70"/>
    </row>
    <row r="855" customFormat="false" ht="29.1" hidden="false" customHeight="false" outlineLevel="0" collapsed="false">
      <c r="A855" s="62" t="n">
        <f aca="false">A854+1</f>
        <v>848</v>
      </c>
      <c r="B855" s="63" t="e">
        <f aca="false">VLOOKUP(A855,BD_ORDENES!A:BG,12,FALSE())</f>
        <v>#N/A</v>
      </c>
      <c r="C855" s="64" t="n">
        <v>848</v>
      </c>
      <c r="D855" s="65" t="e">
        <f aca="false">VLOOKUP(A855,BD_ORDENES!A:BE,10,0)</f>
        <v>#N/A</v>
      </c>
      <c r="E855" s="66" t="e">
        <f aca="false">VLOOKUP(A855,BD_ORDENES!A:BG,4,FALSE())</f>
        <v>#N/A</v>
      </c>
      <c r="F855" s="66" t="e">
        <f aca="false">VLOOKUP(A855,BD_ORDENES!A:BE,56,FALSE())</f>
        <v>#N/A</v>
      </c>
      <c r="G855" s="67" t="e">
        <f aca="false">VLOOKUP(A855,BD_ORDENES!A:BE,13,FALSE())</f>
        <v>#N/A</v>
      </c>
      <c r="H855" s="68" t="e">
        <f aca="false">VLOOKUP(A855,BD_ORDENES!A:BE,17,FALSE())</f>
        <v>#N/A</v>
      </c>
      <c r="I855" s="68" t="e">
        <f aca="false">VLOOKUP(A855,BD_ORDENES!A:BE,18,FALSE())</f>
        <v>#N/A</v>
      </c>
      <c r="J855" s="68" t="e">
        <f aca="false">VLOOKUP(A855,BD_ORDENES!A:BE,19,FALSE())</f>
        <v>#N/A</v>
      </c>
      <c r="K855" s="68" t="e">
        <f aca="false">VLOOKUP(A855,BD_ORDENES!A:BE,20,FALSE())</f>
        <v>#N/A</v>
      </c>
      <c r="L855" s="68" t="e">
        <f aca="false">VLOOKUP(A855,BD_ORDENES!A:BE,21,FALSE())</f>
        <v>#N/A</v>
      </c>
      <c r="M855" s="69" t="e">
        <f aca="false">VLOOKUP(A855,BD_ORDENES!A:BE,14,FALSE())</f>
        <v>#N/A</v>
      </c>
      <c r="N855" s="68" t="e">
        <f aca="false">VLOOKUP(A855,BD_ORDENES!A:BE,15,FALSE())</f>
        <v>#N/A</v>
      </c>
      <c r="O855" s="68" t="e">
        <f aca="false">VLOOKUP(A855,BD_ORDENES!A:BE,33,FALSE())</f>
        <v>#N/A</v>
      </c>
      <c r="P855" s="68" t="e">
        <f aca="false">VLOOKUP(A855,BD_ORDENES!A:BE,23,FALSE())</f>
        <v>#N/A</v>
      </c>
      <c r="Q855" s="68" t="e">
        <f aca="false">VLOOKUP(A855,BD_ORDENES!A:BE,52,FALSE())</f>
        <v>#N/A</v>
      </c>
      <c r="R855" s="68" t="e">
        <f aca="false">VLOOKUP(A855,BD_ORDENES!A:BE,25,FALSE())</f>
        <v>#N/A</v>
      </c>
      <c r="S855" s="68" t="e">
        <f aca="false">VLOOKUP(A855,BD_ORDENES!A:BE,22,FALSE())</f>
        <v>#N/A</v>
      </c>
      <c r="T855" s="65" t="e">
        <f aca="false">VLOOKUP(A855,BD_ORDENES!A:BE,55,FALSE())</f>
        <v>#N/A</v>
      </c>
      <c r="U855" s="68" t="e">
        <f aca="false">VLOOKUP(A855,BD_ORDENES!A:BE,57,FALSE())</f>
        <v>#N/A</v>
      </c>
      <c r="V855" s="70"/>
    </row>
    <row r="856" customFormat="false" ht="29.1" hidden="false" customHeight="false" outlineLevel="0" collapsed="false">
      <c r="A856" s="62" t="n">
        <f aca="false">A855+1</f>
        <v>849</v>
      </c>
      <c r="B856" s="63" t="e">
        <f aca="false">VLOOKUP(A856,BD_ORDENES!A:BG,12,FALSE())</f>
        <v>#N/A</v>
      </c>
      <c r="C856" s="64" t="n">
        <v>849</v>
      </c>
      <c r="D856" s="65" t="e">
        <f aca="false">VLOOKUP(A856,BD_ORDENES!A:BE,10,0)</f>
        <v>#N/A</v>
      </c>
      <c r="E856" s="66" t="e">
        <f aca="false">VLOOKUP(A856,BD_ORDENES!A:BG,4,FALSE())</f>
        <v>#N/A</v>
      </c>
      <c r="F856" s="66" t="e">
        <f aca="false">VLOOKUP(A856,BD_ORDENES!A:BE,56,FALSE())</f>
        <v>#N/A</v>
      </c>
      <c r="G856" s="67" t="e">
        <f aca="false">VLOOKUP(A856,BD_ORDENES!A:BE,13,FALSE())</f>
        <v>#N/A</v>
      </c>
      <c r="H856" s="68" t="e">
        <f aca="false">VLOOKUP(A856,BD_ORDENES!A:BE,17,FALSE())</f>
        <v>#N/A</v>
      </c>
      <c r="I856" s="68" t="e">
        <f aca="false">VLOOKUP(A856,BD_ORDENES!A:BE,18,FALSE())</f>
        <v>#N/A</v>
      </c>
      <c r="J856" s="68" t="e">
        <f aca="false">VLOOKUP(A856,BD_ORDENES!A:BE,19,FALSE())</f>
        <v>#N/A</v>
      </c>
      <c r="K856" s="68" t="e">
        <f aca="false">VLOOKUP(A856,BD_ORDENES!A:BE,20,FALSE())</f>
        <v>#N/A</v>
      </c>
      <c r="L856" s="68" t="e">
        <f aca="false">VLOOKUP(A856,BD_ORDENES!A:BE,21,FALSE())</f>
        <v>#N/A</v>
      </c>
      <c r="M856" s="69" t="e">
        <f aca="false">VLOOKUP(A856,BD_ORDENES!A:BE,14,FALSE())</f>
        <v>#N/A</v>
      </c>
      <c r="N856" s="68" t="e">
        <f aca="false">VLOOKUP(A856,BD_ORDENES!A:BE,15,FALSE())</f>
        <v>#N/A</v>
      </c>
      <c r="O856" s="68" t="e">
        <f aca="false">VLOOKUP(A856,BD_ORDENES!A:BE,33,FALSE())</f>
        <v>#N/A</v>
      </c>
      <c r="P856" s="68" t="e">
        <f aca="false">VLOOKUP(A856,BD_ORDENES!A:BE,23,FALSE())</f>
        <v>#N/A</v>
      </c>
      <c r="Q856" s="68" t="e">
        <f aca="false">VLOOKUP(A856,BD_ORDENES!A:BE,52,FALSE())</f>
        <v>#N/A</v>
      </c>
      <c r="R856" s="68" t="e">
        <f aca="false">VLOOKUP(A856,BD_ORDENES!A:BE,25,FALSE())</f>
        <v>#N/A</v>
      </c>
      <c r="S856" s="68" t="e">
        <f aca="false">VLOOKUP(A856,BD_ORDENES!A:BE,22,FALSE())</f>
        <v>#N/A</v>
      </c>
      <c r="T856" s="65" t="e">
        <f aca="false">VLOOKUP(A856,BD_ORDENES!A:BE,55,FALSE())</f>
        <v>#N/A</v>
      </c>
      <c r="U856" s="68" t="e">
        <f aca="false">VLOOKUP(A856,BD_ORDENES!A:BE,57,FALSE())</f>
        <v>#N/A</v>
      </c>
      <c r="V856" s="70"/>
    </row>
    <row r="857" customFormat="false" ht="29.1" hidden="false" customHeight="false" outlineLevel="0" collapsed="false">
      <c r="A857" s="62" t="n">
        <f aca="false">A856+1</f>
        <v>850</v>
      </c>
      <c r="B857" s="63" t="e">
        <f aca="false">VLOOKUP(A857,BD_ORDENES!A:BG,12,FALSE())</f>
        <v>#N/A</v>
      </c>
      <c r="C857" s="64" t="n">
        <v>850</v>
      </c>
      <c r="D857" s="65" t="e">
        <f aca="false">VLOOKUP(A857,BD_ORDENES!A:BE,10,0)</f>
        <v>#N/A</v>
      </c>
      <c r="E857" s="66" t="e">
        <f aca="false">VLOOKUP(A857,BD_ORDENES!A:BG,4,FALSE())</f>
        <v>#N/A</v>
      </c>
      <c r="F857" s="66" t="e">
        <f aca="false">VLOOKUP(A857,BD_ORDENES!A:BE,56,FALSE())</f>
        <v>#N/A</v>
      </c>
      <c r="G857" s="67" t="e">
        <f aca="false">VLOOKUP(A857,BD_ORDENES!A:BE,13,FALSE())</f>
        <v>#N/A</v>
      </c>
      <c r="H857" s="68" t="e">
        <f aca="false">VLOOKUP(A857,BD_ORDENES!A:BE,17,FALSE())</f>
        <v>#N/A</v>
      </c>
      <c r="I857" s="68" t="e">
        <f aca="false">VLOOKUP(A857,BD_ORDENES!A:BE,18,FALSE())</f>
        <v>#N/A</v>
      </c>
      <c r="J857" s="68" t="e">
        <f aca="false">VLOOKUP(A857,BD_ORDENES!A:BE,19,FALSE())</f>
        <v>#N/A</v>
      </c>
      <c r="K857" s="68" t="e">
        <f aca="false">VLOOKUP(A857,BD_ORDENES!A:BE,20,FALSE())</f>
        <v>#N/A</v>
      </c>
      <c r="L857" s="68" t="e">
        <f aca="false">VLOOKUP(A857,BD_ORDENES!A:BE,21,FALSE())</f>
        <v>#N/A</v>
      </c>
      <c r="M857" s="69" t="e">
        <f aca="false">VLOOKUP(A857,BD_ORDENES!A:BE,14,FALSE())</f>
        <v>#N/A</v>
      </c>
      <c r="N857" s="68" t="e">
        <f aca="false">VLOOKUP(A857,BD_ORDENES!A:BE,15,FALSE())</f>
        <v>#N/A</v>
      </c>
      <c r="O857" s="68" t="e">
        <f aca="false">VLOOKUP(A857,BD_ORDENES!A:BE,33,FALSE())</f>
        <v>#N/A</v>
      </c>
      <c r="P857" s="68" t="e">
        <f aca="false">VLOOKUP(A857,BD_ORDENES!A:BE,23,FALSE())</f>
        <v>#N/A</v>
      </c>
      <c r="Q857" s="68" t="e">
        <f aca="false">VLOOKUP(A857,BD_ORDENES!A:BE,52,FALSE())</f>
        <v>#N/A</v>
      </c>
      <c r="R857" s="68" t="e">
        <f aca="false">VLOOKUP(A857,BD_ORDENES!A:BE,25,FALSE())</f>
        <v>#N/A</v>
      </c>
      <c r="S857" s="68" t="e">
        <f aca="false">VLOOKUP(A857,BD_ORDENES!A:BE,22,FALSE())</f>
        <v>#N/A</v>
      </c>
      <c r="T857" s="65" t="e">
        <f aca="false">VLOOKUP(A857,BD_ORDENES!A:BE,55,FALSE())</f>
        <v>#N/A</v>
      </c>
      <c r="U857" s="68" t="e">
        <f aca="false">VLOOKUP(A857,BD_ORDENES!A:BE,57,FALSE())</f>
        <v>#N/A</v>
      </c>
      <c r="V857" s="70"/>
    </row>
    <row r="858" customFormat="false" ht="29.1" hidden="false" customHeight="false" outlineLevel="0" collapsed="false">
      <c r="A858" s="62" t="n">
        <f aca="false">A857+1</f>
        <v>851</v>
      </c>
      <c r="B858" s="63" t="e">
        <f aca="false">VLOOKUP(A858,BD_ORDENES!A:BG,12,FALSE())</f>
        <v>#N/A</v>
      </c>
      <c r="C858" s="64" t="n">
        <v>851</v>
      </c>
      <c r="D858" s="65" t="e">
        <f aca="false">VLOOKUP(A858,BD_ORDENES!A:BE,10,0)</f>
        <v>#N/A</v>
      </c>
      <c r="E858" s="66" t="e">
        <f aca="false">VLOOKUP(A858,BD_ORDENES!A:BG,4,FALSE())</f>
        <v>#N/A</v>
      </c>
      <c r="F858" s="66" t="e">
        <f aca="false">VLOOKUP(A858,BD_ORDENES!A:BE,56,FALSE())</f>
        <v>#N/A</v>
      </c>
      <c r="G858" s="67" t="e">
        <f aca="false">VLOOKUP(A858,BD_ORDENES!A:BE,13,FALSE())</f>
        <v>#N/A</v>
      </c>
      <c r="H858" s="68" t="e">
        <f aca="false">VLOOKUP(A858,BD_ORDENES!A:BE,17,FALSE())</f>
        <v>#N/A</v>
      </c>
      <c r="I858" s="68" t="e">
        <f aca="false">VLOOKUP(A858,BD_ORDENES!A:BE,18,FALSE())</f>
        <v>#N/A</v>
      </c>
      <c r="J858" s="68" t="e">
        <f aca="false">VLOOKUP(A858,BD_ORDENES!A:BE,19,FALSE())</f>
        <v>#N/A</v>
      </c>
      <c r="K858" s="68" t="e">
        <f aca="false">VLOOKUP(A858,BD_ORDENES!A:BE,20,FALSE())</f>
        <v>#N/A</v>
      </c>
      <c r="L858" s="68" t="e">
        <f aca="false">VLOOKUP(A858,BD_ORDENES!A:BE,21,FALSE())</f>
        <v>#N/A</v>
      </c>
      <c r="M858" s="69" t="e">
        <f aca="false">VLOOKUP(A858,BD_ORDENES!A:BE,14,FALSE())</f>
        <v>#N/A</v>
      </c>
      <c r="N858" s="68" t="e">
        <f aca="false">VLOOKUP(A858,BD_ORDENES!A:BE,15,FALSE())</f>
        <v>#N/A</v>
      </c>
      <c r="O858" s="68" t="e">
        <f aca="false">VLOOKUP(A858,BD_ORDENES!A:BE,33,FALSE())</f>
        <v>#N/A</v>
      </c>
      <c r="P858" s="68" t="e">
        <f aca="false">VLOOKUP(A858,BD_ORDENES!A:BE,23,FALSE())</f>
        <v>#N/A</v>
      </c>
      <c r="Q858" s="68" t="e">
        <f aca="false">VLOOKUP(A858,BD_ORDENES!A:BE,52,FALSE())</f>
        <v>#N/A</v>
      </c>
      <c r="R858" s="68" t="e">
        <f aca="false">VLOOKUP(A858,BD_ORDENES!A:BE,25,FALSE())</f>
        <v>#N/A</v>
      </c>
      <c r="S858" s="68" t="e">
        <f aca="false">VLOOKUP(A858,BD_ORDENES!A:BE,22,FALSE())</f>
        <v>#N/A</v>
      </c>
      <c r="T858" s="65" t="e">
        <f aca="false">VLOOKUP(A858,BD_ORDENES!A:BE,55,FALSE())</f>
        <v>#N/A</v>
      </c>
      <c r="U858" s="68" t="e">
        <f aca="false">VLOOKUP(A858,BD_ORDENES!A:BE,57,FALSE())</f>
        <v>#N/A</v>
      </c>
      <c r="V858" s="70"/>
    </row>
    <row r="859" customFormat="false" ht="29.1" hidden="false" customHeight="false" outlineLevel="0" collapsed="false">
      <c r="A859" s="62" t="n">
        <f aca="false">A858+1</f>
        <v>852</v>
      </c>
      <c r="B859" s="63" t="e">
        <f aca="false">VLOOKUP(A859,BD_ORDENES!A:BG,12,FALSE())</f>
        <v>#N/A</v>
      </c>
      <c r="C859" s="64" t="n">
        <v>852</v>
      </c>
      <c r="D859" s="65" t="e">
        <f aca="false">VLOOKUP(A859,BD_ORDENES!A:BE,10,0)</f>
        <v>#N/A</v>
      </c>
      <c r="E859" s="66" t="e">
        <f aca="false">VLOOKUP(A859,BD_ORDENES!A:BG,4,FALSE())</f>
        <v>#N/A</v>
      </c>
      <c r="F859" s="66" t="e">
        <f aca="false">VLOOKUP(A859,BD_ORDENES!A:BE,56,FALSE())</f>
        <v>#N/A</v>
      </c>
      <c r="G859" s="67" t="e">
        <f aca="false">VLOOKUP(A859,BD_ORDENES!A:BE,13,FALSE())</f>
        <v>#N/A</v>
      </c>
      <c r="H859" s="68" t="e">
        <f aca="false">VLOOKUP(A859,BD_ORDENES!A:BE,17,FALSE())</f>
        <v>#N/A</v>
      </c>
      <c r="I859" s="68" t="e">
        <f aca="false">VLOOKUP(A859,BD_ORDENES!A:BE,18,FALSE())</f>
        <v>#N/A</v>
      </c>
      <c r="J859" s="68" t="e">
        <f aca="false">VLOOKUP(A859,BD_ORDENES!A:BE,19,FALSE())</f>
        <v>#N/A</v>
      </c>
      <c r="K859" s="68" t="e">
        <f aca="false">VLOOKUP(A859,BD_ORDENES!A:BE,20,FALSE())</f>
        <v>#N/A</v>
      </c>
      <c r="L859" s="68" t="e">
        <f aca="false">VLOOKUP(A859,BD_ORDENES!A:BE,21,FALSE())</f>
        <v>#N/A</v>
      </c>
      <c r="M859" s="69" t="e">
        <f aca="false">VLOOKUP(A859,BD_ORDENES!A:BE,14,FALSE())</f>
        <v>#N/A</v>
      </c>
      <c r="N859" s="68" t="e">
        <f aca="false">VLOOKUP(A859,BD_ORDENES!A:BE,15,FALSE())</f>
        <v>#N/A</v>
      </c>
      <c r="O859" s="68" t="e">
        <f aca="false">VLOOKUP(A859,BD_ORDENES!A:BE,33,FALSE())</f>
        <v>#N/A</v>
      </c>
      <c r="P859" s="68" t="e">
        <f aca="false">VLOOKUP(A859,BD_ORDENES!A:BE,23,FALSE())</f>
        <v>#N/A</v>
      </c>
      <c r="Q859" s="68" t="e">
        <f aca="false">VLOOKUP(A859,BD_ORDENES!A:BE,52,FALSE())</f>
        <v>#N/A</v>
      </c>
      <c r="R859" s="68" t="e">
        <f aca="false">VLOOKUP(A859,BD_ORDENES!A:BE,25,FALSE())</f>
        <v>#N/A</v>
      </c>
      <c r="S859" s="68" t="e">
        <f aca="false">VLOOKUP(A859,BD_ORDENES!A:BE,22,FALSE())</f>
        <v>#N/A</v>
      </c>
      <c r="T859" s="65" t="e">
        <f aca="false">VLOOKUP(A859,BD_ORDENES!A:BE,55,FALSE())</f>
        <v>#N/A</v>
      </c>
      <c r="U859" s="68" t="e">
        <f aca="false">VLOOKUP(A859,BD_ORDENES!A:BE,57,FALSE())</f>
        <v>#N/A</v>
      </c>
      <c r="V859" s="70"/>
    </row>
    <row r="860" customFormat="false" ht="29.1" hidden="false" customHeight="false" outlineLevel="0" collapsed="false">
      <c r="A860" s="62" t="n">
        <f aca="false">A859+1</f>
        <v>853</v>
      </c>
      <c r="B860" s="63" t="e">
        <f aca="false">VLOOKUP(A860,BD_ORDENES!A:BG,12,FALSE())</f>
        <v>#N/A</v>
      </c>
      <c r="C860" s="64" t="n">
        <v>853</v>
      </c>
      <c r="D860" s="65" t="e">
        <f aca="false">VLOOKUP(A860,BD_ORDENES!A:BE,10,0)</f>
        <v>#N/A</v>
      </c>
      <c r="E860" s="66" t="e">
        <f aca="false">VLOOKUP(A860,BD_ORDENES!A:BG,4,FALSE())</f>
        <v>#N/A</v>
      </c>
      <c r="F860" s="66" t="e">
        <f aca="false">VLOOKUP(A860,BD_ORDENES!A:BE,56,FALSE())</f>
        <v>#N/A</v>
      </c>
      <c r="G860" s="67" t="e">
        <f aca="false">VLOOKUP(A860,BD_ORDENES!A:BE,13,FALSE())</f>
        <v>#N/A</v>
      </c>
      <c r="H860" s="68" t="e">
        <f aca="false">VLOOKUP(A860,BD_ORDENES!A:BE,17,FALSE())</f>
        <v>#N/A</v>
      </c>
      <c r="I860" s="68" t="e">
        <f aca="false">VLOOKUP(A860,BD_ORDENES!A:BE,18,FALSE())</f>
        <v>#N/A</v>
      </c>
      <c r="J860" s="68" t="e">
        <f aca="false">VLOOKUP(A860,BD_ORDENES!A:BE,19,FALSE())</f>
        <v>#N/A</v>
      </c>
      <c r="K860" s="68" t="e">
        <f aca="false">VLOOKUP(A860,BD_ORDENES!A:BE,20,FALSE())</f>
        <v>#N/A</v>
      </c>
      <c r="L860" s="68" t="e">
        <f aca="false">VLOOKUP(A860,BD_ORDENES!A:BE,21,FALSE())</f>
        <v>#N/A</v>
      </c>
      <c r="M860" s="69" t="e">
        <f aca="false">VLOOKUP(A860,BD_ORDENES!A:BE,14,FALSE())</f>
        <v>#N/A</v>
      </c>
      <c r="N860" s="68" t="e">
        <f aca="false">VLOOKUP(A860,BD_ORDENES!A:BE,15,FALSE())</f>
        <v>#N/A</v>
      </c>
      <c r="O860" s="68" t="e">
        <f aca="false">VLOOKUP(A860,BD_ORDENES!A:BE,33,FALSE())</f>
        <v>#N/A</v>
      </c>
      <c r="P860" s="68" t="e">
        <f aca="false">VLOOKUP(A860,BD_ORDENES!A:BE,23,FALSE())</f>
        <v>#N/A</v>
      </c>
      <c r="Q860" s="68" t="e">
        <f aca="false">VLOOKUP(A860,BD_ORDENES!A:BE,52,FALSE())</f>
        <v>#N/A</v>
      </c>
      <c r="R860" s="68" t="e">
        <f aca="false">VLOOKUP(A860,BD_ORDENES!A:BE,25,FALSE())</f>
        <v>#N/A</v>
      </c>
      <c r="S860" s="68" t="e">
        <f aca="false">VLOOKUP(A860,BD_ORDENES!A:BE,22,FALSE())</f>
        <v>#N/A</v>
      </c>
      <c r="T860" s="65" t="e">
        <f aca="false">VLOOKUP(A860,BD_ORDENES!A:BE,55,FALSE())</f>
        <v>#N/A</v>
      </c>
      <c r="U860" s="68" t="e">
        <f aca="false">VLOOKUP(A860,BD_ORDENES!A:BE,57,FALSE())</f>
        <v>#N/A</v>
      </c>
      <c r="V860" s="70"/>
    </row>
    <row r="861" customFormat="false" ht="29.1" hidden="false" customHeight="false" outlineLevel="0" collapsed="false">
      <c r="A861" s="62" t="n">
        <f aca="false">A860+1</f>
        <v>854</v>
      </c>
      <c r="B861" s="63" t="e">
        <f aca="false">VLOOKUP(A861,BD_ORDENES!A:BG,12,FALSE())</f>
        <v>#N/A</v>
      </c>
      <c r="C861" s="64" t="n">
        <v>854</v>
      </c>
      <c r="D861" s="65" t="e">
        <f aca="false">VLOOKUP(A861,BD_ORDENES!A:BE,10,0)</f>
        <v>#N/A</v>
      </c>
      <c r="E861" s="66" t="e">
        <f aca="false">VLOOKUP(A861,BD_ORDENES!A:BG,4,FALSE())</f>
        <v>#N/A</v>
      </c>
      <c r="F861" s="66" t="e">
        <f aca="false">VLOOKUP(A861,BD_ORDENES!A:BE,56,FALSE())</f>
        <v>#N/A</v>
      </c>
      <c r="G861" s="67" t="e">
        <f aca="false">VLOOKUP(A861,BD_ORDENES!A:BE,13,FALSE())</f>
        <v>#N/A</v>
      </c>
      <c r="H861" s="68" t="e">
        <f aca="false">VLOOKUP(A861,BD_ORDENES!A:BE,17,FALSE())</f>
        <v>#N/A</v>
      </c>
      <c r="I861" s="68" t="e">
        <f aca="false">VLOOKUP(A861,BD_ORDENES!A:BE,18,FALSE())</f>
        <v>#N/A</v>
      </c>
      <c r="J861" s="68" t="e">
        <f aca="false">VLOOKUP(A861,BD_ORDENES!A:BE,19,FALSE())</f>
        <v>#N/A</v>
      </c>
      <c r="K861" s="68" t="e">
        <f aca="false">VLOOKUP(A861,BD_ORDENES!A:BE,20,FALSE())</f>
        <v>#N/A</v>
      </c>
      <c r="L861" s="68" t="e">
        <f aca="false">VLOOKUP(A861,BD_ORDENES!A:BE,21,FALSE())</f>
        <v>#N/A</v>
      </c>
      <c r="M861" s="69" t="e">
        <f aca="false">VLOOKUP(A861,BD_ORDENES!A:BE,14,FALSE())</f>
        <v>#N/A</v>
      </c>
      <c r="N861" s="68" t="e">
        <f aca="false">VLOOKUP(A861,BD_ORDENES!A:BE,15,FALSE())</f>
        <v>#N/A</v>
      </c>
      <c r="O861" s="68" t="e">
        <f aca="false">VLOOKUP(A861,BD_ORDENES!A:BE,33,FALSE())</f>
        <v>#N/A</v>
      </c>
      <c r="P861" s="68" t="e">
        <f aca="false">VLOOKUP(A861,BD_ORDENES!A:BE,23,FALSE())</f>
        <v>#N/A</v>
      </c>
      <c r="Q861" s="68" t="e">
        <f aca="false">VLOOKUP(A861,BD_ORDENES!A:BE,52,FALSE())</f>
        <v>#N/A</v>
      </c>
      <c r="R861" s="68" t="e">
        <f aca="false">VLOOKUP(A861,BD_ORDENES!A:BE,25,FALSE())</f>
        <v>#N/A</v>
      </c>
      <c r="S861" s="68" t="e">
        <f aca="false">VLOOKUP(A861,BD_ORDENES!A:BE,22,FALSE())</f>
        <v>#N/A</v>
      </c>
      <c r="T861" s="65" t="e">
        <f aca="false">VLOOKUP(A861,BD_ORDENES!A:BE,55,FALSE())</f>
        <v>#N/A</v>
      </c>
      <c r="U861" s="68" t="e">
        <f aca="false">VLOOKUP(A861,BD_ORDENES!A:BE,57,FALSE())</f>
        <v>#N/A</v>
      </c>
      <c r="V861" s="70"/>
    </row>
    <row r="862" customFormat="false" ht="29.1" hidden="false" customHeight="false" outlineLevel="0" collapsed="false">
      <c r="A862" s="62" t="n">
        <f aca="false">A861+1</f>
        <v>855</v>
      </c>
      <c r="B862" s="63" t="e">
        <f aca="false">VLOOKUP(A862,BD_ORDENES!A:BG,12,FALSE())</f>
        <v>#N/A</v>
      </c>
      <c r="C862" s="64" t="n">
        <v>855</v>
      </c>
      <c r="D862" s="65" t="e">
        <f aca="false">VLOOKUP(A862,BD_ORDENES!A:BE,10,0)</f>
        <v>#N/A</v>
      </c>
      <c r="E862" s="66" t="e">
        <f aca="false">VLOOKUP(A862,BD_ORDENES!A:BG,4,FALSE())</f>
        <v>#N/A</v>
      </c>
      <c r="F862" s="66" t="e">
        <f aca="false">VLOOKUP(A862,BD_ORDENES!A:BE,56,FALSE())</f>
        <v>#N/A</v>
      </c>
      <c r="G862" s="67" t="e">
        <f aca="false">VLOOKUP(A862,BD_ORDENES!A:BE,13,FALSE())</f>
        <v>#N/A</v>
      </c>
      <c r="H862" s="68" t="e">
        <f aca="false">VLOOKUP(A862,BD_ORDENES!A:BE,17,FALSE())</f>
        <v>#N/A</v>
      </c>
      <c r="I862" s="68" t="e">
        <f aca="false">VLOOKUP(A862,BD_ORDENES!A:BE,18,FALSE())</f>
        <v>#N/A</v>
      </c>
      <c r="J862" s="68" t="e">
        <f aca="false">VLOOKUP(A862,BD_ORDENES!A:BE,19,FALSE())</f>
        <v>#N/A</v>
      </c>
      <c r="K862" s="68" t="e">
        <f aca="false">VLOOKUP(A862,BD_ORDENES!A:BE,20,FALSE())</f>
        <v>#N/A</v>
      </c>
      <c r="L862" s="68" t="e">
        <f aca="false">VLOOKUP(A862,BD_ORDENES!A:BE,21,FALSE())</f>
        <v>#N/A</v>
      </c>
      <c r="M862" s="69" t="e">
        <f aca="false">VLOOKUP(A862,BD_ORDENES!A:BE,14,FALSE())</f>
        <v>#N/A</v>
      </c>
      <c r="N862" s="68" t="e">
        <f aca="false">VLOOKUP(A862,BD_ORDENES!A:BE,15,FALSE())</f>
        <v>#N/A</v>
      </c>
      <c r="O862" s="68" t="e">
        <f aca="false">VLOOKUP(A862,BD_ORDENES!A:BE,33,FALSE())</f>
        <v>#N/A</v>
      </c>
      <c r="P862" s="68" t="e">
        <f aca="false">VLOOKUP(A862,BD_ORDENES!A:BE,23,FALSE())</f>
        <v>#N/A</v>
      </c>
      <c r="Q862" s="68" t="e">
        <f aca="false">VLOOKUP(A862,BD_ORDENES!A:BE,52,FALSE())</f>
        <v>#N/A</v>
      </c>
      <c r="R862" s="68" t="e">
        <f aca="false">VLOOKUP(A862,BD_ORDENES!A:BE,25,FALSE())</f>
        <v>#N/A</v>
      </c>
      <c r="S862" s="68" t="e">
        <f aca="false">VLOOKUP(A862,BD_ORDENES!A:BE,22,FALSE())</f>
        <v>#N/A</v>
      </c>
      <c r="T862" s="65" t="e">
        <f aca="false">VLOOKUP(A862,BD_ORDENES!A:BE,55,FALSE())</f>
        <v>#N/A</v>
      </c>
      <c r="U862" s="68" t="e">
        <f aca="false">VLOOKUP(A862,BD_ORDENES!A:BE,57,FALSE())</f>
        <v>#N/A</v>
      </c>
      <c r="V862" s="70"/>
    </row>
    <row r="863" customFormat="false" ht="29.1" hidden="false" customHeight="false" outlineLevel="0" collapsed="false">
      <c r="A863" s="62" t="n">
        <f aca="false">A862+1</f>
        <v>856</v>
      </c>
      <c r="B863" s="63" t="e">
        <f aca="false">VLOOKUP(A863,BD_ORDENES!A:BG,12,FALSE())</f>
        <v>#N/A</v>
      </c>
      <c r="C863" s="64" t="n">
        <v>856</v>
      </c>
      <c r="D863" s="65" t="e">
        <f aca="false">VLOOKUP(A863,BD_ORDENES!A:BE,10,0)</f>
        <v>#N/A</v>
      </c>
      <c r="E863" s="66" t="e">
        <f aca="false">VLOOKUP(A863,BD_ORDENES!A:BG,4,FALSE())</f>
        <v>#N/A</v>
      </c>
      <c r="F863" s="66" t="e">
        <f aca="false">VLOOKUP(A863,BD_ORDENES!A:BE,56,FALSE())</f>
        <v>#N/A</v>
      </c>
      <c r="G863" s="67" t="e">
        <f aca="false">VLOOKUP(A863,BD_ORDENES!A:BE,13,FALSE())</f>
        <v>#N/A</v>
      </c>
      <c r="H863" s="68" t="e">
        <f aca="false">VLOOKUP(A863,BD_ORDENES!A:BE,17,FALSE())</f>
        <v>#N/A</v>
      </c>
      <c r="I863" s="68" t="e">
        <f aca="false">VLOOKUP(A863,BD_ORDENES!A:BE,18,FALSE())</f>
        <v>#N/A</v>
      </c>
      <c r="J863" s="68" t="e">
        <f aca="false">VLOOKUP(A863,BD_ORDENES!A:BE,19,FALSE())</f>
        <v>#N/A</v>
      </c>
      <c r="K863" s="68" t="e">
        <f aca="false">VLOOKUP(A863,BD_ORDENES!A:BE,20,FALSE())</f>
        <v>#N/A</v>
      </c>
      <c r="L863" s="68" t="e">
        <f aca="false">VLOOKUP(A863,BD_ORDENES!A:BE,21,FALSE())</f>
        <v>#N/A</v>
      </c>
      <c r="M863" s="69" t="e">
        <f aca="false">VLOOKUP(A863,BD_ORDENES!A:BE,14,FALSE())</f>
        <v>#N/A</v>
      </c>
      <c r="N863" s="68" t="e">
        <f aca="false">VLOOKUP(A863,BD_ORDENES!A:BE,15,FALSE())</f>
        <v>#N/A</v>
      </c>
      <c r="O863" s="68" t="e">
        <f aca="false">VLOOKUP(A863,BD_ORDENES!A:BE,33,FALSE())</f>
        <v>#N/A</v>
      </c>
      <c r="P863" s="68" t="e">
        <f aca="false">VLOOKUP(A863,BD_ORDENES!A:BE,23,FALSE())</f>
        <v>#N/A</v>
      </c>
      <c r="Q863" s="68" t="e">
        <f aca="false">VLOOKUP(A863,BD_ORDENES!A:BE,52,FALSE())</f>
        <v>#N/A</v>
      </c>
      <c r="R863" s="68" t="e">
        <f aca="false">VLOOKUP(A863,BD_ORDENES!A:BE,25,FALSE())</f>
        <v>#N/A</v>
      </c>
      <c r="S863" s="68" t="e">
        <f aca="false">VLOOKUP(A863,BD_ORDENES!A:BE,22,FALSE())</f>
        <v>#N/A</v>
      </c>
      <c r="T863" s="65" t="e">
        <f aca="false">VLOOKUP(A863,BD_ORDENES!A:BE,55,FALSE())</f>
        <v>#N/A</v>
      </c>
      <c r="U863" s="68" t="e">
        <f aca="false">VLOOKUP(A863,BD_ORDENES!A:BE,57,FALSE())</f>
        <v>#N/A</v>
      </c>
      <c r="V863" s="70"/>
    </row>
    <row r="864" customFormat="false" ht="29.1" hidden="false" customHeight="false" outlineLevel="0" collapsed="false">
      <c r="A864" s="62" t="n">
        <f aca="false">A863+1</f>
        <v>857</v>
      </c>
      <c r="B864" s="63" t="e">
        <f aca="false">VLOOKUP(A864,BD_ORDENES!A:BG,12,FALSE())</f>
        <v>#N/A</v>
      </c>
      <c r="C864" s="64" t="n">
        <v>857</v>
      </c>
      <c r="D864" s="65" t="e">
        <f aca="false">VLOOKUP(A864,BD_ORDENES!A:BE,10,0)</f>
        <v>#N/A</v>
      </c>
      <c r="E864" s="66" t="e">
        <f aca="false">VLOOKUP(A864,BD_ORDENES!A:BG,4,FALSE())</f>
        <v>#N/A</v>
      </c>
      <c r="F864" s="66" t="e">
        <f aca="false">VLOOKUP(A864,BD_ORDENES!A:BE,56,FALSE())</f>
        <v>#N/A</v>
      </c>
      <c r="G864" s="67" t="e">
        <f aca="false">VLOOKUP(A864,BD_ORDENES!A:BE,13,FALSE())</f>
        <v>#N/A</v>
      </c>
      <c r="H864" s="68" t="e">
        <f aca="false">VLOOKUP(A864,BD_ORDENES!A:BE,17,FALSE())</f>
        <v>#N/A</v>
      </c>
      <c r="I864" s="68" t="e">
        <f aca="false">VLOOKUP(A864,BD_ORDENES!A:BE,18,FALSE())</f>
        <v>#N/A</v>
      </c>
      <c r="J864" s="68" t="e">
        <f aca="false">VLOOKUP(A864,BD_ORDENES!A:BE,19,FALSE())</f>
        <v>#N/A</v>
      </c>
      <c r="K864" s="68" t="e">
        <f aca="false">VLOOKUP(A864,BD_ORDENES!A:BE,20,FALSE())</f>
        <v>#N/A</v>
      </c>
      <c r="L864" s="68" t="e">
        <f aca="false">VLOOKUP(A864,BD_ORDENES!A:BE,21,FALSE())</f>
        <v>#N/A</v>
      </c>
      <c r="M864" s="69" t="e">
        <f aca="false">VLOOKUP(A864,BD_ORDENES!A:BE,14,FALSE())</f>
        <v>#N/A</v>
      </c>
      <c r="N864" s="68" t="e">
        <f aca="false">VLOOKUP(A864,BD_ORDENES!A:BE,15,FALSE())</f>
        <v>#N/A</v>
      </c>
      <c r="O864" s="68" t="e">
        <f aca="false">VLOOKUP(A864,BD_ORDENES!A:BE,33,FALSE())</f>
        <v>#N/A</v>
      </c>
      <c r="P864" s="68" t="e">
        <f aca="false">VLOOKUP(A864,BD_ORDENES!A:BE,23,FALSE())</f>
        <v>#N/A</v>
      </c>
      <c r="Q864" s="68" t="e">
        <f aca="false">VLOOKUP(A864,BD_ORDENES!A:BE,52,FALSE())</f>
        <v>#N/A</v>
      </c>
      <c r="R864" s="68" t="e">
        <f aca="false">VLOOKUP(A864,BD_ORDENES!A:BE,25,FALSE())</f>
        <v>#N/A</v>
      </c>
      <c r="S864" s="68" t="e">
        <f aca="false">VLOOKUP(A864,BD_ORDENES!A:BE,22,FALSE())</f>
        <v>#N/A</v>
      </c>
      <c r="T864" s="65" t="e">
        <f aca="false">VLOOKUP(A864,BD_ORDENES!A:BE,55,FALSE())</f>
        <v>#N/A</v>
      </c>
      <c r="U864" s="68" t="e">
        <f aca="false">VLOOKUP(A864,BD_ORDENES!A:BE,57,FALSE())</f>
        <v>#N/A</v>
      </c>
      <c r="V864" s="70"/>
    </row>
    <row r="865" customFormat="false" ht="29.1" hidden="false" customHeight="false" outlineLevel="0" collapsed="false">
      <c r="A865" s="62" t="n">
        <f aca="false">A864+1</f>
        <v>858</v>
      </c>
      <c r="B865" s="63" t="e">
        <f aca="false">VLOOKUP(A865,BD_ORDENES!A:BG,12,FALSE())</f>
        <v>#N/A</v>
      </c>
      <c r="C865" s="64" t="n">
        <v>858</v>
      </c>
      <c r="D865" s="65" t="e">
        <f aca="false">VLOOKUP(A865,BD_ORDENES!A:BE,10,0)</f>
        <v>#N/A</v>
      </c>
      <c r="E865" s="66" t="e">
        <f aca="false">VLOOKUP(A865,BD_ORDENES!A:BG,4,FALSE())</f>
        <v>#N/A</v>
      </c>
      <c r="F865" s="66" t="e">
        <f aca="false">VLOOKUP(A865,BD_ORDENES!A:BE,56,FALSE())</f>
        <v>#N/A</v>
      </c>
      <c r="G865" s="67" t="e">
        <f aca="false">VLOOKUP(A865,BD_ORDENES!A:BE,13,FALSE())</f>
        <v>#N/A</v>
      </c>
      <c r="H865" s="68" t="e">
        <f aca="false">VLOOKUP(A865,BD_ORDENES!A:BE,17,FALSE())</f>
        <v>#N/A</v>
      </c>
      <c r="I865" s="68" t="e">
        <f aca="false">VLOOKUP(A865,BD_ORDENES!A:BE,18,FALSE())</f>
        <v>#N/A</v>
      </c>
      <c r="J865" s="68" t="e">
        <f aca="false">VLOOKUP(A865,BD_ORDENES!A:BE,19,FALSE())</f>
        <v>#N/A</v>
      </c>
      <c r="K865" s="68" t="e">
        <f aca="false">VLOOKUP(A865,BD_ORDENES!A:BE,20,FALSE())</f>
        <v>#N/A</v>
      </c>
      <c r="L865" s="68" t="e">
        <f aca="false">VLOOKUP(A865,BD_ORDENES!A:BE,21,FALSE())</f>
        <v>#N/A</v>
      </c>
      <c r="M865" s="69" t="e">
        <f aca="false">VLOOKUP(A865,BD_ORDENES!A:BE,14,FALSE())</f>
        <v>#N/A</v>
      </c>
      <c r="N865" s="68" t="e">
        <f aca="false">VLOOKUP(A865,BD_ORDENES!A:BE,15,FALSE())</f>
        <v>#N/A</v>
      </c>
      <c r="O865" s="68" t="e">
        <f aca="false">VLOOKUP(A865,BD_ORDENES!A:BE,33,FALSE())</f>
        <v>#N/A</v>
      </c>
      <c r="P865" s="68" t="e">
        <f aca="false">VLOOKUP(A865,BD_ORDENES!A:BE,23,FALSE())</f>
        <v>#N/A</v>
      </c>
      <c r="Q865" s="68" t="e">
        <f aca="false">VLOOKUP(A865,BD_ORDENES!A:BE,52,FALSE())</f>
        <v>#N/A</v>
      </c>
      <c r="R865" s="68" t="e">
        <f aca="false">VLOOKUP(A865,BD_ORDENES!A:BE,25,FALSE())</f>
        <v>#N/A</v>
      </c>
      <c r="S865" s="68" t="e">
        <f aca="false">VLOOKUP(A865,BD_ORDENES!A:BE,22,FALSE())</f>
        <v>#N/A</v>
      </c>
      <c r="T865" s="65" t="e">
        <f aca="false">VLOOKUP(A865,BD_ORDENES!A:BE,55,FALSE())</f>
        <v>#N/A</v>
      </c>
      <c r="U865" s="68" t="e">
        <f aca="false">VLOOKUP(A865,BD_ORDENES!A:BE,57,FALSE())</f>
        <v>#N/A</v>
      </c>
      <c r="V865" s="70"/>
    </row>
    <row r="866" customFormat="false" ht="29.1" hidden="false" customHeight="false" outlineLevel="0" collapsed="false">
      <c r="A866" s="62" t="n">
        <f aca="false">A865+1</f>
        <v>859</v>
      </c>
      <c r="B866" s="63" t="e">
        <f aca="false">VLOOKUP(A866,BD_ORDENES!A:BG,12,FALSE())</f>
        <v>#N/A</v>
      </c>
      <c r="C866" s="64" t="n">
        <v>859</v>
      </c>
      <c r="D866" s="65" t="e">
        <f aca="false">VLOOKUP(A866,BD_ORDENES!A:BE,10,0)</f>
        <v>#N/A</v>
      </c>
      <c r="E866" s="66" t="e">
        <f aca="false">VLOOKUP(A866,BD_ORDENES!A:BG,4,FALSE())</f>
        <v>#N/A</v>
      </c>
      <c r="F866" s="66" t="e">
        <f aca="false">VLOOKUP(A866,BD_ORDENES!A:BE,56,FALSE())</f>
        <v>#N/A</v>
      </c>
      <c r="G866" s="67" t="e">
        <f aca="false">VLOOKUP(A866,BD_ORDENES!A:BE,13,FALSE())</f>
        <v>#N/A</v>
      </c>
      <c r="H866" s="68" t="e">
        <f aca="false">VLOOKUP(A866,BD_ORDENES!A:BE,17,FALSE())</f>
        <v>#N/A</v>
      </c>
      <c r="I866" s="68" t="e">
        <f aca="false">VLOOKUP(A866,BD_ORDENES!A:BE,18,FALSE())</f>
        <v>#N/A</v>
      </c>
      <c r="J866" s="68" t="e">
        <f aca="false">VLOOKUP(A866,BD_ORDENES!A:BE,19,FALSE())</f>
        <v>#N/A</v>
      </c>
      <c r="K866" s="68" t="e">
        <f aca="false">VLOOKUP(A866,BD_ORDENES!A:BE,20,FALSE())</f>
        <v>#N/A</v>
      </c>
      <c r="L866" s="68" t="e">
        <f aca="false">VLOOKUP(A866,BD_ORDENES!A:BE,21,FALSE())</f>
        <v>#N/A</v>
      </c>
      <c r="M866" s="69" t="e">
        <f aca="false">VLOOKUP(A866,BD_ORDENES!A:BE,14,FALSE())</f>
        <v>#N/A</v>
      </c>
      <c r="N866" s="68" t="e">
        <f aca="false">VLOOKUP(A866,BD_ORDENES!A:BE,15,FALSE())</f>
        <v>#N/A</v>
      </c>
      <c r="O866" s="68" t="e">
        <f aca="false">VLOOKUP(A866,BD_ORDENES!A:BE,33,FALSE())</f>
        <v>#N/A</v>
      </c>
      <c r="P866" s="68" t="e">
        <f aca="false">VLOOKUP(A866,BD_ORDENES!A:BE,23,FALSE())</f>
        <v>#N/A</v>
      </c>
      <c r="Q866" s="68" t="e">
        <f aca="false">VLOOKUP(A866,BD_ORDENES!A:BE,52,FALSE())</f>
        <v>#N/A</v>
      </c>
      <c r="R866" s="68" t="e">
        <f aca="false">VLOOKUP(A866,BD_ORDENES!A:BE,25,FALSE())</f>
        <v>#N/A</v>
      </c>
      <c r="S866" s="68" t="e">
        <f aca="false">VLOOKUP(A866,BD_ORDENES!A:BE,22,FALSE())</f>
        <v>#N/A</v>
      </c>
      <c r="T866" s="65" t="e">
        <f aca="false">VLOOKUP(A866,BD_ORDENES!A:BE,55,FALSE())</f>
        <v>#N/A</v>
      </c>
      <c r="U866" s="68" t="e">
        <f aca="false">VLOOKUP(A866,BD_ORDENES!A:BE,57,FALSE())</f>
        <v>#N/A</v>
      </c>
      <c r="V866" s="70"/>
    </row>
    <row r="867" customFormat="false" ht="29.1" hidden="false" customHeight="false" outlineLevel="0" collapsed="false">
      <c r="A867" s="62" t="n">
        <f aca="false">A866+1</f>
        <v>860</v>
      </c>
      <c r="B867" s="63" t="e">
        <f aca="false">VLOOKUP(A867,BD_ORDENES!A:BG,12,FALSE())</f>
        <v>#N/A</v>
      </c>
      <c r="C867" s="64" t="n">
        <v>860</v>
      </c>
      <c r="D867" s="65" t="e">
        <f aca="false">VLOOKUP(A867,BD_ORDENES!A:BE,10,0)</f>
        <v>#N/A</v>
      </c>
      <c r="E867" s="66" t="e">
        <f aca="false">VLOOKUP(A867,BD_ORDENES!A:BG,4,FALSE())</f>
        <v>#N/A</v>
      </c>
      <c r="F867" s="66" t="e">
        <f aca="false">VLOOKUP(A867,BD_ORDENES!A:BE,56,FALSE())</f>
        <v>#N/A</v>
      </c>
      <c r="G867" s="67" t="e">
        <f aca="false">VLOOKUP(A867,BD_ORDENES!A:BE,13,FALSE())</f>
        <v>#N/A</v>
      </c>
      <c r="H867" s="68" t="e">
        <f aca="false">VLOOKUP(A867,BD_ORDENES!A:BE,17,FALSE())</f>
        <v>#N/A</v>
      </c>
      <c r="I867" s="68" t="e">
        <f aca="false">VLOOKUP(A867,BD_ORDENES!A:BE,18,FALSE())</f>
        <v>#N/A</v>
      </c>
      <c r="J867" s="68" t="e">
        <f aca="false">VLOOKUP(A867,BD_ORDENES!A:BE,19,FALSE())</f>
        <v>#N/A</v>
      </c>
      <c r="K867" s="68" t="e">
        <f aca="false">VLOOKUP(A867,BD_ORDENES!A:BE,20,FALSE())</f>
        <v>#N/A</v>
      </c>
      <c r="L867" s="68" t="e">
        <f aca="false">VLOOKUP(A867,BD_ORDENES!A:BE,21,FALSE())</f>
        <v>#N/A</v>
      </c>
      <c r="M867" s="69" t="e">
        <f aca="false">VLOOKUP(A867,BD_ORDENES!A:BE,14,FALSE())</f>
        <v>#N/A</v>
      </c>
      <c r="N867" s="68" t="e">
        <f aca="false">VLOOKUP(A867,BD_ORDENES!A:BE,15,FALSE())</f>
        <v>#N/A</v>
      </c>
      <c r="O867" s="68" t="e">
        <f aca="false">VLOOKUP(A867,BD_ORDENES!A:BE,33,FALSE())</f>
        <v>#N/A</v>
      </c>
      <c r="P867" s="68" t="e">
        <f aca="false">VLOOKUP(A867,BD_ORDENES!A:BE,23,FALSE())</f>
        <v>#N/A</v>
      </c>
      <c r="Q867" s="68" t="e">
        <f aca="false">VLOOKUP(A867,BD_ORDENES!A:BE,52,FALSE())</f>
        <v>#N/A</v>
      </c>
      <c r="R867" s="68" t="e">
        <f aca="false">VLOOKUP(A867,BD_ORDENES!A:BE,25,FALSE())</f>
        <v>#N/A</v>
      </c>
      <c r="S867" s="68" t="e">
        <f aca="false">VLOOKUP(A867,BD_ORDENES!A:BE,22,FALSE())</f>
        <v>#N/A</v>
      </c>
      <c r="T867" s="65" t="e">
        <f aca="false">VLOOKUP(A867,BD_ORDENES!A:BE,55,FALSE())</f>
        <v>#N/A</v>
      </c>
      <c r="U867" s="68" t="e">
        <f aca="false">VLOOKUP(A867,BD_ORDENES!A:BE,57,FALSE())</f>
        <v>#N/A</v>
      </c>
      <c r="V867" s="70"/>
    </row>
    <row r="868" customFormat="false" ht="29.1" hidden="false" customHeight="false" outlineLevel="0" collapsed="false">
      <c r="A868" s="62" t="n">
        <f aca="false">A867+1</f>
        <v>861</v>
      </c>
      <c r="B868" s="63" t="e">
        <f aca="false">VLOOKUP(A868,BD_ORDENES!A:BG,12,FALSE())</f>
        <v>#N/A</v>
      </c>
      <c r="C868" s="64" t="n">
        <v>861</v>
      </c>
      <c r="D868" s="65" t="e">
        <f aca="false">VLOOKUP(A868,BD_ORDENES!A:BE,10,0)</f>
        <v>#N/A</v>
      </c>
      <c r="E868" s="66" t="e">
        <f aca="false">VLOOKUP(A868,BD_ORDENES!A:BG,4,FALSE())</f>
        <v>#N/A</v>
      </c>
      <c r="F868" s="66" t="e">
        <f aca="false">VLOOKUP(A868,BD_ORDENES!A:BE,56,FALSE())</f>
        <v>#N/A</v>
      </c>
      <c r="G868" s="67" t="e">
        <f aca="false">VLOOKUP(A868,BD_ORDENES!A:BE,13,FALSE())</f>
        <v>#N/A</v>
      </c>
      <c r="H868" s="68" t="e">
        <f aca="false">VLOOKUP(A868,BD_ORDENES!A:BE,17,FALSE())</f>
        <v>#N/A</v>
      </c>
      <c r="I868" s="68" t="e">
        <f aca="false">VLOOKUP(A868,BD_ORDENES!A:BE,18,FALSE())</f>
        <v>#N/A</v>
      </c>
      <c r="J868" s="68" t="e">
        <f aca="false">VLOOKUP(A868,BD_ORDENES!A:BE,19,FALSE())</f>
        <v>#N/A</v>
      </c>
      <c r="K868" s="68" t="e">
        <f aca="false">VLOOKUP(A868,BD_ORDENES!A:BE,20,FALSE())</f>
        <v>#N/A</v>
      </c>
      <c r="L868" s="68" t="e">
        <f aca="false">VLOOKUP(A868,BD_ORDENES!A:BE,21,FALSE())</f>
        <v>#N/A</v>
      </c>
      <c r="M868" s="69" t="e">
        <f aca="false">VLOOKUP(A868,BD_ORDENES!A:BE,14,FALSE())</f>
        <v>#N/A</v>
      </c>
      <c r="N868" s="68" t="e">
        <f aca="false">VLOOKUP(A868,BD_ORDENES!A:BE,15,FALSE())</f>
        <v>#N/A</v>
      </c>
      <c r="O868" s="68" t="e">
        <f aca="false">VLOOKUP(A868,BD_ORDENES!A:BE,33,FALSE())</f>
        <v>#N/A</v>
      </c>
      <c r="P868" s="68" t="e">
        <f aca="false">VLOOKUP(A868,BD_ORDENES!A:BE,23,FALSE())</f>
        <v>#N/A</v>
      </c>
      <c r="Q868" s="68" t="e">
        <f aca="false">VLOOKUP(A868,BD_ORDENES!A:BE,52,FALSE())</f>
        <v>#N/A</v>
      </c>
      <c r="R868" s="68" t="e">
        <f aca="false">VLOOKUP(A868,BD_ORDENES!A:BE,25,FALSE())</f>
        <v>#N/A</v>
      </c>
      <c r="S868" s="68" t="e">
        <f aca="false">VLOOKUP(A868,BD_ORDENES!A:BE,22,FALSE())</f>
        <v>#N/A</v>
      </c>
      <c r="T868" s="65" t="e">
        <f aca="false">VLOOKUP(A868,BD_ORDENES!A:BE,55,FALSE())</f>
        <v>#N/A</v>
      </c>
      <c r="U868" s="68" t="e">
        <f aca="false">VLOOKUP(A868,BD_ORDENES!A:BE,57,FALSE())</f>
        <v>#N/A</v>
      </c>
      <c r="V868" s="70"/>
    </row>
    <row r="869" customFormat="false" ht="29.1" hidden="false" customHeight="false" outlineLevel="0" collapsed="false">
      <c r="A869" s="62" t="n">
        <f aca="false">A868+1</f>
        <v>862</v>
      </c>
      <c r="B869" s="63" t="e">
        <f aca="false">VLOOKUP(A869,BD_ORDENES!A:BG,12,FALSE())</f>
        <v>#N/A</v>
      </c>
      <c r="C869" s="64" t="n">
        <v>862</v>
      </c>
      <c r="D869" s="65" t="e">
        <f aca="false">VLOOKUP(A869,BD_ORDENES!A:BE,10,0)</f>
        <v>#N/A</v>
      </c>
      <c r="E869" s="66" t="e">
        <f aca="false">VLOOKUP(A869,BD_ORDENES!A:BG,4,FALSE())</f>
        <v>#N/A</v>
      </c>
      <c r="F869" s="66" t="e">
        <f aca="false">VLOOKUP(A869,BD_ORDENES!A:BE,56,FALSE())</f>
        <v>#N/A</v>
      </c>
      <c r="G869" s="67" t="e">
        <f aca="false">VLOOKUP(A869,BD_ORDENES!A:BE,13,FALSE())</f>
        <v>#N/A</v>
      </c>
      <c r="H869" s="68" t="e">
        <f aca="false">VLOOKUP(A869,BD_ORDENES!A:BE,17,FALSE())</f>
        <v>#N/A</v>
      </c>
      <c r="I869" s="68" t="e">
        <f aca="false">VLOOKUP(A869,BD_ORDENES!A:BE,18,FALSE())</f>
        <v>#N/A</v>
      </c>
      <c r="J869" s="68" t="e">
        <f aca="false">VLOOKUP(A869,BD_ORDENES!A:BE,19,FALSE())</f>
        <v>#N/A</v>
      </c>
      <c r="K869" s="68" t="e">
        <f aca="false">VLOOKUP(A869,BD_ORDENES!A:BE,20,FALSE())</f>
        <v>#N/A</v>
      </c>
      <c r="L869" s="68" t="e">
        <f aca="false">VLOOKUP(A869,BD_ORDENES!A:BE,21,FALSE())</f>
        <v>#N/A</v>
      </c>
      <c r="M869" s="69" t="e">
        <f aca="false">VLOOKUP(A869,BD_ORDENES!A:BE,14,FALSE())</f>
        <v>#N/A</v>
      </c>
      <c r="N869" s="68" t="e">
        <f aca="false">VLOOKUP(A869,BD_ORDENES!A:BE,15,FALSE())</f>
        <v>#N/A</v>
      </c>
      <c r="O869" s="68" t="e">
        <f aca="false">VLOOKUP(A869,BD_ORDENES!A:BE,33,FALSE())</f>
        <v>#N/A</v>
      </c>
      <c r="P869" s="68" t="e">
        <f aca="false">VLOOKUP(A869,BD_ORDENES!A:BE,23,FALSE())</f>
        <v>#N/A</v>
      </c>
      <c r="Q869" s="68" t="e">
        <f aca="false">VLOOKUP(A869,BD_ORDENES!A:BE,52,FALSE())</f>
        <v>#N/A</v>
      </c>
      <c r="R869" s="68" t="e">
        <f aca="false">VLOOKUP(A869,BD_ORDENES!A:BE,25,FALSE())</f>
        <v>#N/A</v>
      </c>
      <c r="S869" s="68" t="e">
        <f aca="false">VLOOKUP(A869,BD_ORDENES!A:BE,22,FALSE())</f>
        <v>#N/A</v>
      </c>
      <c r="T869" s="65" t="e">
        <f aca="false">VLOOKUP(A869,BD_ORDENES!A:BE,55,FALSE())</f>
        <v>#N/A</v>
      </c>
      <c r="U869" s="68" t="e">
        <f aca="false">VLOOKUP(A869,BD_ORDENES!A:BE,57,FALSE())</f>
        <v>#N/A</v>
      </c>
      <c r="V869" s="70"/>
    </row>
    <row r="870" customFormat="false" ht="29.1" hidden="false" customHeight="false" outlineLevel="0" collapsed="false">
      <c r="A870" s="62" t="n">
        <f aca="false">A869+1</f>
        <v>863</v>
      </c>
      <c r="B870" s="63" t="e">
        <f aca="false">VLOOKUP(A870,BD_ORDENES!A:BG,12,FALSE())</f>
        <v>#N/A</v>
      </c>
      <c r="C870" s="64" t="n">
        <v>863</v>
      </c>
      <c r="D870" s="65" t="e">
        <f aca="false">VLOOKUP(A870,BD_ORDENES!A:BE,10,0)</f>
        <v>#N/A</v>
      </c>
      <c r="E870" s="66" t="e">
        <f aca="false">VLOOKUP(A870,BD_ORDENES!A:BG,4,FALSE())</f>
        <v>#N/A</v>
      </c>
      <c r="F870" s="66" t="e">
        <f aca="false">VLOOKUP(A870,BD_ORDENES!A:BE,56,FALSE())</f>
        <v>#N/A</v>
      </c>
      <c r="G870" s="67" t="e">
        <f aca="false">VLOOKUP(A870,BD_ORDENES!A:BE,13,FALSE())</f>
        <v>#N/A</v>
      </c>
      <c r="H870" s="68" t="e">
        <f aca="false">VLOOKUP(A870,BD_ORDENES!A:BE,17,FALSE())</f>
        <v>#N/A</v>
      </c>
      <c r="I870" s="68" t="e">
        <f aca="false">VLOOKUP(A870,BD_ORDENES!A:BE,18,FALSE())</f>
        <v>#N/A</v>
      </c>
      <c r="J870" s="68" t="e">
        <f aca="false">VLOOKUP(A870,BD_ORDENES!A:BE,19,FALSE())</f>
        <v>#N/A</v>
      </c>
      <c r="K870" s="68" t="e">
        <f aca="false">VLOOKUP(A870,BD_ORDENES!A:BE,20,FALSE())</f>
        <v>#N/A</v>
      </c>
      <c r="L870" s="68" t="e">
        <f aca="false">VLOOKUP(A870,BD_ORDENES!A:BE,21,FALSE())</f>
        <v>#N/A</v>
      </c>
      <c r="M870" s="69" t="e">
        <f aca="false">VLOOKUP(A870,BD_ORDENES!A:BE,14,FALSE())</f>
        <v>#N/A</v>
      </c>
      <c r="N870" s="68" t="e">
        <f aca="false">VLOOKUP(A870,BD_ORDENES!A:BE,15,FALSE())</f>
        <v>#N/A</v>
      </c>
      <c r="O870" s="68" t="e">
        <f aca="false">VLOOKUP(A870,BD_ORDENES!A:BE,33,FALSE())</f>
        <v>#N/A</v>
      </c>
      <c r="P870" s="68" t="e">
        <f aca="false">VLOOKUP(A870,BD_ORDENES!A:BE,23,FALSE())</f>
        <v>#N/A</v>
      </c>
      <c r="Q870" s="68" t="e">
        <f aca="false">VLOOKUP(A870,BD_ORDENES!A:BE,52,FALSE())</f>
        <v>#N/A</v>
      </c>
      <c r="R870" s="68" t="e">
        <f aca="false">VLOOKUP(A870,BD_ORDENES!A:BE,25,FALSE())</f>
        <v>#N/A</v>
      </c>
      <c r="S870" s="68" t="e">
        <f aca="false">VLOOKUP(A870,BD_ORDENES!A:BE,22,FALSE())</f>
        <v>#N/A</v>
      </c>
      <c r="T870" s="65" t="e">
        <f aca="false">VLOOKUP(A870,BD_ORDENES!A:BE,55,FALSE())</f>
        <v>#N/A</v>
      </c>
      <c r="U870" s="68" t="e">
        <f aca="false">VLOOKUP(A870,BD_ORDENES!A:BE,57,FALSE())</f>
        <v>#N/A</v>
      </c>
      <c r="V870" s="70"/>
    </row>
    <row r="871" customFormat="false" ht="29.1" hidden="false" customHeight="false" outlineLevel="0" collapsed="false">
      <c r="A871" s="62" t="n">
        <f aca="false">A870+1</f>
        <v>864</v>
      </c>
      <c r="B871" s="63" t="e">
        <f aca="false">VLOOKUP(A871,BD_ORDENES!A:BG,12,FALSE())</f>
        <v>#N/A</v>
      </c>
      <c r="C871" s="64" t="n">
        <v>864</v>
      </c>
      <c r="D871" s="65" t="e">
        <f aca="false">VLOOKUP(A871,BD_ORDENES!A:BE,10,0)</f>
        <v>#N/A</v>
      </c>
      <c r="E871" s="66" t="e">
        <f aca="false">VLOOKUP(A871,BD_ORDENES!A:BG,4,FALSE())</f>
        <v>#N/A</v>
      </c>
      <c r="F871" s="66" t="e">
        <f aca="false">VLOOKUP(A871,BD_ORDENES!A:BE,56,FALSE())</f>
        <v>#N/A</v>
      </c>
      <c r="G871" s="67" t="e">
        <f aca="false">VLOOKUP(A871,BD_ORDENES!A:BE,13,FALSE())</f>
        <v>#N/A</v>
      </c>
      <c r="H871" s="68" t="e">
        <f aca="false">VLOOKUP(A871,BD_ORDENES!A:BE,17,FALSE())</f>
        <v>#N/A</v>
      </c>
      <c r="I871" s="68" t="e">
        <f aca="false">VLOOKUP(A871,BD_ORDENES!A:BE,18,FALSE())</f>
        <v>#N/A</v>
      </c>
      <c r="J871" s="68" t="e">
        <f aca="false">VLOOKUP(A871,BD_ORDENES!A:BE,19,FALSE())</f>
        <v>#N/A</v>
      </c>
      <c r="K871" s="68" t="e">
        <f aca="false">VLOOKUP(A871,BD_ORDENES!A:BE,20,FALSE())</f>
        <v>#N/A</v>
      </c>
      <c r="L871" s="68" t="e">
        <f aca="false">VLOOKUP(A871,BD_ORDENES!A:BE,21,FALSE())</f>
        <v>#N/A</v>
      </c>
      <c r="M871" s="69" t="e">
        <f aca="false">VLOOKUP(A871,BD_ORDENES!A:BE,14,FALSE())</f>
        <v>#N/A</v>
      </c>
      <c r="N871" s="68" t="e">
        <f aca="false">VLOOKUP(A871,BD_ORDENES!A:BE,15,FALSE())</f>
        <v>#N/A</v>
      </c>
      <c r="O871" s="68" t="e">
        <f aca="false">VLOOKUP(A871,BD_ORDENES!A:BE,33,FALSE())</f>
        <v>#N/A</v>
      </c>
      <c r="P871" s="68" t="e">
        <f aca="false">VLOOKUP(A871,BD_ORDENES!A:BE,23,FALSE())</f>
        <v>#N/A</v>
      </c>
      <c r="Q871" s="68" t="e">
        <f aca="false">VLOOKUP(A871,BD_ORDENES!A:BE,52,FALSE())</f>
        <v>#N/A</v>
      </c>
      <c r="R871" s="68" t="e">
        <f aca="false">VLOOKUP(A871,BD_ORDENES!A:BE,25,FALSE())</f>
        <v>#N/A</v>
      </c>
      <c r="S871" s="68" t="e">
        <f aca="false">VLOOKUP(A871,BD_ORDENES!A:BE,22,FALSE())</f>
        <v>#N/A</v>
      </c>
      <c r="T871" s="65" t="e">
        <f aca="false">VLOOKUP(A871,BD_ORDENES!A:BE,55,FALSE())</f>
        <v>#N/A</v>
      </c>
      <c r="U871" s="68" t="e">
        <f aca="false">VLOOKUP(A871,BD_ORDENES!A:BE,57,FALSE())</f>
        <v>#N/A</v>
      </c>
      <c r="V871" s="70"/>
    </row>
    <row r="872" customFormat="false" ht="29.1" hidden="false" customHeight="false" outlineLevel="0" collapsed="false">
      <c r="A872" s="62" t="n">
        <f aca="false">A871+1</f>
        <v>865</v>
      </c>
      <c r="B872" s="63" t="e">
        <f aca="false">VLOOKUP(A872,BD_ORDENES!A:BG,12,FALSE())</f>
        <v>#N/A</v>
      </c>
      <c r="C872" s="64" t="n">
        <v>865</v>
      </c>
      <c r="D872" s="65" t="e">
        <f aca="false">VLOOKUP(A872,BD_ORDENES!A:BE,10,0)</f>
        <v>#N/A</v>
      </c>
      <c r="E872" s="66" t="e">
        <f aca="false">VLOOKUP(A872,BD_ORDENES!A:BG,4,FALSE())</f>
        <v>#N/A</v>
      </c>
      <c r="F872" s="66" t="e">
        <f aca="false">VLOOKUP(A872,BD_ORDENES!A:BE,56,FALSE())</f>
        <v>#N/A</v>
      </c>
      <c r="G872" s="67" t="e">
        <f aca="false">VLOOKUP(A872,BD_ORDENES!A:BE,13,FALSE())</f>
        <v>#N/A</v>
      </c>
      <c r="H872" s="68" t="e">
        <f aca="false">VLOOKUP(A872,BD_ORDENES!A:BE,17,FALSE())</f>
        <v>#N/A</v>
      </c>
      <c r="I872" s="68" t="e">
        <f aca="false">VLOOKUP(A872,BD_ORDENES!A:BE,18,FALSE())</f>
        <v>#N/A</v>
      </c>
      <c r="J872" s="68" t="e">
        <f aca="false">VLOOKUP(A872,BD_ORDENES!A:BE,19,FALSE())</f>
        <v>#N/A</v>
      </c>
      <c r="K872" s="68" t="e">
        <f aca="false">VLOOKUP(A872,BD_ORDENES!A:BE,20,FALSE())</f>
        <v>#N/A</v>
      </c>
      <c r="L872" s="68" t="e">
        <f aca="false">VLOOKUP(A872,BD_ORDENES!A:BE,21,FALSE())</f>
        <v>#N/A</v>
      </c>
      <c r="M872" s="69" t="e">
        <f aca="false">VLOOKUP(A872,BD_ORDENES!A:BE,14,FALSE())</f>
        <v>#N/A</v>
      </c>
      <c r="N872" s="68" t="e">
        <f aca="false">VLOOKUP(A872,BD_ORDENES!A:BE,15,FALSE())</f>
        <v>#N/A</v>
      </c>
      <c r="O872" s="68" t="e">
        <f aca="false">VLOOKUP(A872,BD_ORDENES!A:BE,33,FALSE())</f>
        <v>#N/A</v>
      </c>
      <c r="P872" s="68" t="e">
        <f aca="false">VLOOKUP(A872,BD_ORDENES!A:BE,23,FALSE())</f>
        <v>#N/A</v>
      </c>
      <c r="Q872" s="68" t="e">
        <f aca="false">VLOOKUP(A872,BD_ORDENES!A:BE,52,FALSE())</f>
        <v>#N/A</v>
      </c>
      <c r="R872" s="68" t="e">
        <f aca="false">VLOOKUP(A872,BD_ORDENES!A:BE,25,FALSE())</f>
        <v>#N/A</v>
      </c>
      <c r="S872" s="68" t="e">
        <f aca="false">VLOOKUP(A872,BD_ORDENES!A:BE,22,FALSE())</f>
        <v>#N/A</v>
      </c>
      <c r="T872" s="65" t="e">
        <f aca="false">VLOOKUP(A872,BD_ORDENES!A:BE,55,FALSE())</f>
        <v>#N/A</v>
      </c>
      <c r="U872" s="68" t="e">
        <f aca="false">VLOOKUP(A872,BD_ORDENES!A:BE,57,FALSE())</f>
        <v>#N/A</v>
      </c>
      <c r="V872" s="70"/>
    </row>
    <row r="873" customFormat="false" ht="29.1" hidden="false" customHeight="false" outlineLevel="0" collapsed="false">
      <c r="A873" s="62" t="n">
        <f aca="false">A872+1</f>
        <v>866</v>
      </c>
      <c r="B873" s="63" t="e">
        <f aca="false">VLOOKUP(A873,BD_ORDENES!A:BG,12,FALSE())</f>
        <v>#N/A</v>
      </c>
      <c r="C873" s="64" t="n">
        <v>866</v>
      </c>
      <c r="D873" s="65" t="e">
        <f aca="false">VLOOKUP(A873,BD_ORDENES!A:BE,10,0)</f>
        <v>#N/A</v>
      </c>
      <c r="E873" s="66" t="e">
        <f aca="false">VLOOKUP(A873,BD_ORDENES!A:BG,4,FALSE())</f>
        <v>#N/A</v>
      </c>
      <c r="F873" s="66" t="e">
        <f aca="false">VLOOKUP(A873,BD_ORDENES!A:BE,56,FALSE())</f>
        <v>#N/A</v>
      </c>
      <c r="G873" s="67" t="e">
        <f aca="false">VLOOKUP(A873,BD_ORDENES!A:BE,13,FALSE())</f>
        <v>#N/A</v>
      </c>
      <c r="H873" s="68" t="e">
        <f aca="false">VLOOKUP(A873,BD_ORDENES!A:BE,17,FALSE())</f>
        <v>#N/A</v>
      </c>
      <c r="I873" s="68" t="e">
        <f aca="false">VLOOKUP(A873,BD_ORDENES!A:BE,18,FALSE())</f>
        <v>#N/A</v>
      </c>
      <c r="J873" s="68" t="e">
        <f aca="false">VLOOKUP(A873,BD_ORDENES!A:BE,19,FALSE())</f>
        <v>#N/A</v>
      </c>
      <c r="K873" s="68" t="e">
        <f aca="false">VLOOKUP(A873,BD_ORDENES!A:BE,20,FALSE())</f>
        <v>#N/A</v>
      </c>
      <c r="L873" s="68" t="e">
        <f aca="false">VLOOKUP(A873,BD_ORDENES!A:BE,21,FALSE())</f>
        <v>#N/A</v>
      </c>
      <c r="M873" s="69" t="e">
        <f aca="false">VLOOKUP(A873,BD_ORDENES!A:BE,14,FALSE())</f>
        <v>#N/A</v>
      </c>
      <c r="N873" s="68" t="e">
        <f aca="false">VLOOKUP(A873,BD_ORDENES!A:BE,15,FALSE())</f>
        <v>#N/A</v>
      </c>
      <c r="O873" s="68" t="e">
        <f aca="false">VLOOKUP(A873,BD_ORDENES!A:BE,33,FALSE())</f>
        <v>#N/A</v>
      </c>
      <c r="P873" s="68" t="e">
        <f aca="false">VLOOKUP(A873,BD_ORDENES!A:BE,23,FALSE())</f>
        <v>#N/A</v>
      </c>
      <c r="Q873" s="68" t="e">
        <f aca="false">VLOOKUP(A873,BD_ORDENES!A:BE,52,FALSE())</f>
        <v>#N/A</v>
      </c>
      <c r="R873" s="68" t="e">
        <f aca="false">VLOOKUP(A873,BD_ORDENES!A:BE,25,FALSE())</f>
        <v>#N/A</v>
      </c>
      <c r="S873" s="68" t="e">
        <f aca="false">VLOOKUP(A873,BD_ORDENES!A:BE,22,FALSE())</f>
        <v>#N/A</v>
      </c>
      <c r="T873" s="65" t="e">
        <f aca="false">VLOOKUP(A873,BD_ORDENES!A:BE,55,FALSE())</f>
        <v>#N/A</v>
      </c>
      <c r="U873" s="68" t="e">
        <f aca="false">VLOOKUP(A873,BD_ORDENES!A:BE,57,FALSE())</f>
        <v>#N/A</v>
      </c>
      <c r="V873" s="70"/>
    </row>
    <row r="874" customFormat="false" ht="29.1" hidden="false" customHeight="false" outlineLevel="0" collapsed="false">
      <c r="A874" s="62" t="n">
        <f aca="false">A873+1</f>
        <v>867</v>
      </c>
      <c r="B874" s="63" t="e">
        <f aca="false">VLOOKUP(A874,BD_ORDENES!A:BG,12,FALSE())</f>
        <v>#N/A</v>
      </c>
      <c r="C874" s="64" t="n">
        <v>867</v>
      </c>
      <c r="D874" s="65" t="e">
        <f aca="false">VLOOKUP(A874,BD_ORDENES!A:BE,10,0)</f>
        <v>#N/A</v>
      </c>
      <c r="E874" s="66" t="e">
        <f aca="false">VLOOKUP(A874,BD_ORDENES!A:BG,4,FALSE())</f>
        <v>#N/A</v>
      </c>
      <c r="F874" s="66" t="e">
        <f aca="false">VLOOKUP(A874,BD_ORDENES!A:BE,56,FALSE())</f>
        <v>#N/A</v>
      </c>
      <c r="G874" s="67" t="e">
        <f aca="false">VLOOKUP(A874,BD_ORDENES!A:BE,13,FALSE())</f>
        <v>#N/A</v>
      </c>
      <c r="H874" s="68" t="e">
        <f aca="false">VLOOKUP(A874,BD_ORDENES!A:BE,17,FALSE())</f>
        <v>#N/A</v>
      </c>
      <c r="I874" s="68" t="e">
        <f aca="false">VLOOKUP(A874,BD_ORDENES!A:BE,18,FALSE())</f>
        <v>#N/A</v>
      </c>
      <c r="J874" s="68" t="e">
        <f aca="false">VLOOKUP(A874,BD_ORDENES!A:BE,19,FALSE())</f>
        <v>#N/A</v>
      </c>
      <c r="K874" s="68" t="e">
        <f aca="false">VLOOKUP(A874,BD_ORDENES!A:BE,20,FALSE())</f>
        <v>#N/A</v>
      </c>
      <c r="L874" s="68" t="e">
        <f aca="false">VLOOKUP(A874,BD_ORDENES!A:BE,21,FALSE())</f>
        <v>#N/A</v>
      </c>
      <c r="M874" s="69" t="e">
        <f aca="false">VLOOKUP(A874,BD_ORDENES!A:BE,14,FALSE())</f>
        <v>#N/A</v>
      </c>
      <c r="N874" s="68" t="e">
        <f aca="false">VLOOKUP(A874,BD_ORDENES!A:BE,15,FALSE())</f>
        <v>#N/A</v>
      </c>
      <c r="O874" s="68" t="e">
        <f aca="false">VLOOKUP(A874,BD_ORDENES!A:BE,33,FALSE())</f>
        <v>#N/A</v>
      </c>
      <c r="P874" s="68" t="e">
        <f aca="false">VLOOKUP(A874,BD_ORDENES!A:BE,23,FALSE())</f>
        <v>#N/A</v>
      </c>
      <c r="Q874" s="68" t="e">
        <f aca="false">VLOOKUP(A874,BD_ORDENES!A:BE,52,FALSE())</f>
        <v>#N/A</v>
      </c>
      <c r="R874" s="68" t="e">
        <f aca="false">VLOOKUP(A874,BD_ORDENES!A:BE,25,FALSE())</f>
        <v>#N/A</v>
      </c>
      <c r="S874" s="68" t="e">
        <f aca="false">VLOOKUP(A874,BD_ORDENES!A:BE,22,FALSE())</f>
        <v>#N/A</v>
      </c>
      <c r="T874" s="65" t="e">
        <f aca="false">VLOOKUP(A874,BD_ORDENES!A:BE,55,FALSE())</f>
        <v>#N/A</v>
      </c>
      <c r="U874" s="68" t="e">
        <f aca="false">VLOOKUP(A874,BD_ORDENES!A:BE,57,FALSE())</f>
        <v>#N/A</v>
      </c>
      <c r="V874" s="70"/>
    </row>
    <row r="875" customFormat="false" ht="29.1" hidden="false" customHeight="false" outlineLevel="0" collapsed="false">
      <c r="A875" s="62" t="n">
        <f aca="false">A874+1</f>
        <v>868</v>
      </c>
      <c r="B875" s="63" t="e">
        <f aca="false">VLOOKUP(A875,BD_ORDENES!A:BG,12,FALSE())</f>
        <v>#N/A</v>
      </c>
      <c r="C875" s="64" t="n">
        <v>868</v>
      </c>
      <c r="D875" s="65" t="e">
        <f aca="false">VLOOKUP(A875,BD_ORDENES!A:BE,10,0)</f>
        <v>#N/A</v>
      </c>
      <c r="E875" s="66" t="e">
        <f aca="false">VLOOKUP(A875,BD_ORDENES!A:BG,4,FALSE())</f>
        <v>#N/A</v>
      </c>
      <c r="F875" s="66" t="e">
        <f aca="false">VLOOKUP(A875,BD_ORDENES!A:BE,56,FALSE())</f>
        <v>#N/A</v>
      </c>
      <c r="G875" s="67" t="e">
        <f aca="false">VLOOKUP(A875,BD_ORDENES!A:BE,13,FALSE())</f>
        <v>#N/A</v>
      </c>
      <c r="H875" s="68" t="e">
        <f aca="false">VLOOKUP(A875,BD_ORDENES!A:BE,17,FALSE())</f>
        <v>#N/A</v>
      </c>
      <c r="I875" s="68" t="e">
        <f aca="false">VLOOKUP(A875,BD_ORDENES!A:BE,18,FALSE())</f>
        <v>#N/A</v>
      </c>
      <c r="J875" s="68" t="e">
        <f aca="false">VLOOKUP(A875,BD_ORDENES!A:BE,19,FALSE())</f>
        <v>#N/A</v>
      </c>
      <c r="K875" s="68" t="e">
        <f aca="false">VLOOKUP(A875,BD_ORDENES!A:BE,20,FALSE())</f>
        <v>#N/A</v>
      </c>
      <c r="L875" s="68" t="e">
        <f aca="false">VLOOKUP(A875,BD_ORDENES!A:BE,21,FALSE())</f>
        <v>#N/A</v>
      </c>
      <c r="M875" s="69" t="e">
        <f aca="false">VLOOKUP(A875,BD_ORDENES!A:BE,14,FALSE())</f>
        <v>#N/A</v>
      </c>
      <c r="N875" s="68" t="e">
        <f aca="false">VLOOKUP(A875,BD_ORDENES!A:BE,15,FALSE())</f>
        <v>#N/A</v>
      </c>
      <c r="O875" s="68" t="e">
        <f aca="false">VLOOKUP(A875,BD_ORDENES!A:BE,33,FALSE())</f>
        <v>#N/A</v>
      </c>
      <c r="P875" s="68" t="e">
        <f aca="false">VLOOKUP(A875,BD_ORDENES!A:BE,23,FALSE())</f>
        <v>#N/A</v>
      </c>
      <c r="Q875" s="68" t="e">
        <f aca="false">VLOOKUP(A875,BD_ORDENES!A:BE,52,FALSE())</f>
        <v>#N/A</v>
      </c>
      <c r="R875" s="68" t="e">
        <f aca="false">VLOOKUP(A875,BD_ORDENES!A:BE,25,FALSE())</f>
        <v>#N/A</v>
      </c>
      <c r="S875" s="68" t="e">
        <f aca="false">VLOOKUP(A875,BD_ORDENES!A:BE,22,FALSE())</f>
        <v>#N/A</v>
      </c>
      <c r="T875" s="65" t="e">
        <f aca="false">VLOOKUP(A875,BD_ORDENES!A:BE,55,FALSE())</f>
        <v>#N/A</v>
      </c>
      <c r="U875" s="68" t="e">
        <f aca="false">VLOOKUP(A875,BD_ORDENES!A:BE,57,FALSE())</f>
        <v>#N/A</v>
      </c>
      <c r="V875" s="70"/>
    </row>
    <row r="876" customFormat="false" ht="29.1" hidden="false" customHeight="false" outlineLevel="0" collapsed="false">
      <c r="A876" s="62" t="n">
        <f aca="false">A875+1</f>
        <v>869</v>
      </c>
      <c r="B876" s="63" t="e">
        <f aca="false">VLOOKUP(A876,BD_ORDENES!A:BG,12,FALSE())</f>
        <v>#N/A</v>
      </c>
      <c r="C876" s="64" t="n">
        <v>869</v>
      </c>
      <c r="D876" s="65" t="e">
        <f aca="false">VLOOKUP(A876,BD_ORDENES!A:BE,10,0)</f>
        <v>#N/A</v>
      </c>
      <c r="E876" s="66" t="e">
        <f aca="false">VLOOKUP(A876,BD_ORDENES!A:BG,4,FALSE())</f>
        <v>#N/A</v>
      </c>
      <c r="F876" s="66" t="e">
        <f aca="false">VLOOKUP(A876,BD_ORDENES!A:BE,56,FALSE())</f>
        <v>#N/A</v>
      </c>
      <c r="G876" s="67" t="e">
        <f aca="false">VLOOKUP(A876,BD_ORDENES!A:BE,13,FALSE())</f>
        <v>#N/A</v>
      </c>
      <c r="H876" s="68" t="e">
        <f aca="false">VLOOKUP(A876,BD_ORDENES!A:BE,17,FALSE())</f>
        <v>#N/A</v>
      </c>
      <c r="I876" s="68" t="e">
        <f aca="false">VLOOKUP(A876,BD_ORDENES!A:BE,18,FALSE())</f>
        <v>#N/A</v>
      </c>
      <c r="J876" s="68" t="e">
        <f aca="false">VLOOKUP(A876,BD_ORDENES!A:BE,19,FALSE())</f>
        <v>#N/A</v>
      </c>
      <c r="K876" s="68" t="e">
        <f aca="false">VLOOKUP(A876,BD_ORDENES!A:BE,20,FALSE())</f>
        <v>#N/A</v>
      </c>
      <c r="L876" s="68" t="e">
        <f aca="false">VLOOKUP(A876,BD_ORDENES!A:BE,21,FALSE())</f>
        <v>#N/A</v>
      </c>
      <c r="M876" s="69" t="e">
        <f aca="false">VLOOKUP(A876,BD_ORDENES!A:BE,14,FALSE())</f>
        <v>#N/A</v>
      </c>
      <c r="N876" s="68" t="e">
        <f aca="false">VLOOKUP(A876,BD_ORDENES!A:BE,15,FALSE())</f>
        <v>#N/A</v>
      </c>
      <c r="O876" s="68" t="e">
        <f aca="false">VLOOKUP(A876,BD_ORDENES!A:BE,33,FALSE())</f>
        <v>#N/A</v>
      </c>
      <c r="P876" s="68" t="e">
        <f aca="false">VLOOKUP(A876,BD_ORDENES!A:BE,23,FALSE())</f>
        <v>#N/A</v>
      </c>
      <c r="Q876" s="68" t="e">
        <f aca="false">VLOOKUP(A876,BD_ORDENES!A:BE,52,FALSE())</f>
        <v>#N/A</v>
      </c>
      <c r="R876" s="68" t="e">
        <f aca="false">VLOOKUP(A876,BD_ORDENES!A:BE,25,FALSE())</f>
        <v>#N/A</v>
      </c>
      <c r="S876" s="68" t="e">
        <f aca="false">VLOOKUP(A876,BD_ORDENES!A:BE,22,FALSE())</f>
        <v>#N/A</v>
      </c>
      <c r="T876" s="65" t="e">
        <f aca="false">VLOOKUP(A876,BD_ORDENES!A:BE,55,FALSE())</f>
        <v>#N/A</v>
      </c>
      <c r="U876" s="68" t="e">
        <f aca="false">VLOOKUP(A876,BD_ORDENES!A:BE,57,FALSE())</f>
        <v>#N/A</v>
      </c>
      <c r="V876" s="70"/>
    </row>
    <row r="877" customFormat="false" ht="29.1" hidden="false" customHeight="false" outlineLevel="0" collapsed="false">
      <c r="A877" s="62" t="n">
        <f aca="false">A876+1</f>
        <v>870</v>
      </c>
      <c r="B877" s="63" t="e">
        <f aca="false">VLOOKUP(A877,BD_ORDENES!A:BG,12,FALSE())</f>
        <v>#N/A</v>
      </c>
      <c r="C877" s="64" t="n">
        <v>870</v>
      </c>
      <c r="D877" s="65" t="e">
        <f aca="false">VLOOKUP(A877,BD_ORDENES!A:BE,10,0)</f>
        <v>#N/A</v>
      </c>
      <c r="E877" s="66" t="e">
        <f aca="false">VLOOKUP(A877,BD_ORDENES!A:BG,4,FALSE())</f>
        <v>#N/A</v>
      </c>
      <c r="F877" s="66" t="e">
        <f aca="false">VLOOKUP(A877,BD_ORDENES!A:BE,56,FALSE())</f>
        <v>#N/A</v>
      </c>
      <c r="G877" s="67" t="e">
        <f aca="false">VLOOKUP(A877,BD_ORDENES!A:BE,13,FALSE())</f>
        <v>#N/A</v>
      </c>
      <c r="H877" s="68" t="e">
        <f aca="false">VLOOKUP(A877,BD_ORDENES!A:BE,17,FALSE())</f>
        <v>#N/A</v>
      </c>
      <c r="I877" s="68" t="e">
        <f aca="false">VLOOKUP(A877,BD_ORDENES!A:BE,18,FALSE())</f>
        <v>#N/A</v>
      </c>
      <c r="J877" s="68" t="e">
        <f aca="false">VLOOKUP(A877,BD_ORDENES!A:BE,19,FALSE())</f>
        <v>#N/A</v>
      </c>
      <c r="K877" s="68" t="e">
        <f aca="false">VLOOKUP(A877,BD_ORDENES!A:BE,20,FALSE())</f>
        <v>#N/A</v>
      </c>
      <c r="L877" s="68" t="e">
        <f aca="false">VLOOKUP(A877,BD_ORDENES!A:BE,21,FALSE())</f>
        <v>#N/A</v>
      </c>
      <c r="M877" s="69" t="e">
        <f aca="false">VLOOKUP(A877,BD_ORDENES!A:BE,14,FALSE())</f>
        <v>#N/A</v>
      </c>
      <c r="N877" s="68" t="e">
        <f aca="false">VLOOKUP(A877,BD_ORDENES!A:BE,15,FALSE())</f>
        <v>#N/A</v>
      </c>
      <c r="O877" s="68" t="e">
        <f aca="false">VLOOKUP(A877,BD_ORDENES!A:BE,33,FALSE())</f>
        <v>#N/A</v>
      </c>
      <c r="P877" s="68" t="e">
        <f aca="false">VLOOKUP(A877,BD_ORDENES!A:BE,23,FALSE())</f>
        <v>#N/A</v>
      </c>
      <c r="Q877" s="68" t="e">
        <f aca="false">VLOOKUP(A877,BD_ORDENES!A:BE,52,FALSE())</f>
        <v>#N/A</v>
      </c>
      <c r="R877" s="68" t="e">
        <f aca="false">VLOOKUP(A877,BD_ORDENES!A:BE,25,FALSE())</f>
        <v>#N/A</v>
      </c>
      <c r="S877" s="68" t="e">
        <f aca="false">VLOOKUP(A877,BD_ORDENES!A:BE,22,FALSE())</f>
        <v>#N/A</v>
      </c>
      <c r="T877" s="65" t="e">
        <f aca="false">VLOOKUP(A877,BD_ORDENES!A:BE,55,FALSE())</f>
        <v>#N/A</v>
      </c>
      <c r="U877" s="68" t="e">
        <f aca="false">VLOOKUP(A877,BD_ORDENES!A:BE,57,FALSE())</f>
        <v>#N/A</v>
      </c>
      <c r="V877" s="70"/>
    </row>
    <row r="878" customFormat="false" ht="29.1" hidden="false" customHeight="false" outlineLevel="0" collapsed="false">
      <c r="A878" s="62" t="n">
        <f aca="false">A877+1</f>
        <v>871</v>
      </c>
      <c r="B878" s="63" t="e">
        <f aca="false">VLOOKUP(A878,BD_ORDENES!A:BG,12,FALSE())</f>
        <v>#N/A</v>
      </c>
      <c r="C878" s="64" t="n">
        <v>871</v>
      </c>
      <c r="D878" s="65" t="e">
        <f aca="false">VLOOKUP(A878,BD_ORDENES!A:BE,10,0)</f>
        <v>#N/A</v>
      </c>
      <c r="E878" s="66" t="e">
        <f aca="false">VLOOKUP(A878,BD_ORDENES!A:BG,4,FALSE())</f>
        <v>#N/A</v>
      </c>
      <c r="F878" s="66" t="e">
        <f aca="false">VLOOKUP(A878,BD_ORDENES!A:BE,56,FALSE())</f>
        <v>#N/A</v>
      </c>
      <c r="G878" s="67" t="e">
        <f aca="false">VLOOKUP(A878,BD_ORDENES!A:BE,13,FALSE())</f>
        <v>#N/A</v>
      </c>
      <c r="H878" s="68" t="e">
        <f aca="false">VLOOKUP(A878,BD_ORDENES!A:BE,17,FALSE())</f>
        <v>#N/A</v>
      </c>
      <c r="I878" s="68" t="e">
        <f aca="false">VLOOKUP(A878,BD_ORDENES!A:BE,18,FALSE())</f>
        <v>#N/A</v>
      </c>
      <c r="J878" s="68" t="e">
        <f aca="false">VLOOKUP(A878,BD_ORDENES!A:BE,19,FALSE())</f>
        <v>#N/A</v>
      </c>
      <c r="K878" s="68" t="e">
        <f aca="false">VLOOKUP(A878,BD_ORDENES!A:BE,20,FALSE())</f>
        <v>#N/A</v>
      </c>
      <c r="L878" s="68" t="e">
        <f aca="false">VLOOKUP(A878,BD_ORDENES!A:BE,21,FALSE())</f>
        <v>#N/A</v>
      </c>
      <c r="M878" s="69" t="e">
        <f aca="false">VLOOKUP(A878,BD_ORDENES!A:BE,14,FALSE())</f>
        <v>#N/A</v>
      </c>
      <c r="N878" s="68" t="e">
        <f aca="false">VLOOKUP(A878,BD_ORDENES!A:BE,15,FALSE())</f>
        <v>#N/A</v>
      </c>
      <c r="O878" s="68" t="e">
        <f aca="false">VLOOKUP(A878,BD_ORDENES!A:BE,33,FALSE())</f>
        <v>#N/A</v>
      </c>
      <c r="P878" s="68" t="e">
        <f aca="false">VLOOKUP(A878,BD_ORDENES!A:BE,23,FALSE())</f>
        <v>#N/A</v>
      </c>
      <c r="Q878" s="68" t="e">
        <f aca="false">VLOOKUP(A878,BD_ORDENES!A:BE,52,FALSE())</f>
        <v>#N/A</v>
      </c>
      <c r="R878" s="68" t="e">
        <f aca="false">VLOOKUP(A878,BD_ORDENES!A:BE,25,FALSE())</f>
        <v>#N/A</v>
      </c>
      <c r="S878" s="68" t="e">
        <f aca="false">VLOOKUP(A878,BD_ORDENES!A:BE,22,FALSE())</f>
        <v>#N/A</v>
      </c>
      <c r="T878" s="65" t="e">
        <f aca="false">VLOOKUP(A878,BD_ORDENES!A:BE,55,FALSE())</f>
        <v>#N/A</v>
      </c>
      <c r="U878" s="68" t="e">
        <f aca="false">VLOOKUP(A878,BD_ORDENES!A:BE,57,FALSE())</f>
        <v>#N/A</v>
      </c>
      <c r="V878" s="70"/>
    </row>
    <row r="879" customFormat="false" ht="29.1" hidden="false" customHeight="false" outlineLevel="0" collapsed="false">
      <c r="A879" s="62" t="n">
        <f aca="false">A878+1</f>
        <v>872</v>
      </c>
      <c r="B879" s="63" t="e">
        <f aca="false">VLOOKUP(A879,BD_ORDENES!A:BG,12,FALSE())</f>
        <v>#N/A</v>
      </c>
      <c r="C879" s="64" t="n">
        <v>872</v>
      </c>
      <c r="D879" s="65" t="e">
        <f aca="false">VLOOKUP(A879,BD_ORDENES!A:BE,10,0)</f>
        <v>#N/A</v>
      </c>
      <c r="E879" s="66" t="e">
        <f aca="false">VLOOKUP(A879,BD_ORDENES!A:BG,4,FALSE())</f>
        <v>#N/A</v>
      </c>
      <c r="F879" s="66" t="e">
        <f aca="false">VLOOKUP(A879,BD_ORDENES!A:BE,56,FALSE())</f>
        <v>#N/A</v>
      </c>
      <c r="G879" s="67" t="e">
        <f aca="false">VLOOKUP(A879,BD_ORDENES!A:BE,13,FALSE())</f>
        <v>#N/A</v>
      </c>
      <c r="H879" s="68" t="e">
        <f aca="false">VLOOKUP(A879,BD_ORDENES!A:BE,17,FALSE())</f>
        <v>#N/A</v>
      </c>
      <c r="I879" s="68" t="e">
        <f aca="false">VLOOKUP(A879,BD_ORDENES!A:BE,18,FALSE())</f>
        <v>#N/A</v>
      </c>
      <c r="J879" s="68" t="e">
        <f aca="false">VLOOKUP(A879,BD_ORDENES!A:BE,19,FALSE())</f>
        <v>#N/A</v>
      </c>
      <c r="K879" s="68" t="e">
        <f aca="false">VLOOKUP(A879,BD_ORDENES!A:BE,20,FALSE())</f>
        <v>#N/A</v>
      </c>
      <c r="L879" s="68" t="e">
        <f aca="false">VLOOKUP(A879,BD_ORDENES!A:BE,21,FALSE())</f>
        <v>#N/A</v>
      </c>
      <c r="M879" s="69" t="e">
        <f aca="false">VLOOKUP(A879,BD_ORDENES!A:BE,14,FALSE())</f>
        <v>#N/A</v>
      </c>
      <c r="N879" s="68" t="e">
        <f aca="false">VLOOKUP(A879,BD_ORDENES!A:BE,15,FALSE())</f>
        <v>#N/A</v>
      </c>
      <c r="O879" s="68" t="e">
        <f aca="false">VLOOKUP(A879,BD_ORDENES!A:BE,33,FALSE())</f>
        <v>#N/A</v>
      </c>
      <c r="P879" s="68" t="e">
        <f aca="false">VLOOKUP(A879,BD_ORDENES!A:BE,23,FALSE())</f>
        <v>#N/A</v>
      </c>
      <c r="Q879" s="68" t="e">
        <f aca="false">VLOOKUP(A879,BD_ORDENES!A:BE,52,FALSE())</f>
        <v>#N/A</v>
      </c>
      <c r="R879" s="68" t="e">
        <f aca="false">VLOOKUP(A879,BD_ORDENES!A:BE,25,FALSE())</f>
        <v>#N/A</v>
      </c>
      <c r="S879" s="68" t="e">
        <f aca="false">VLOOKUP(A879,BD_ORDENES!A:BE,22,FALSE())</f>
        <v>#N/A</v>
      </c>
      <c r="T879" s="65" t="e">
        <f aca="false">VLOOKUP(A879,BD_ORDENES!A:BE,55,FALSE())</f>
        <v>#N/A</v>
      </c>
      <c r="U879" s="68" t="e">
        <f aca="false">VLOOKUP(A879,BD_ORDENES!A:BE,57,FALSE())</f>
        <v>#N/A</v>
      </c>
      <c r="V879" s="70"/>
    </row>
    <row r="880" customFormat="false" ht="29.1" hidden="false" customHeight="false" outlineLevel="0" collapsed="false">
      <c r="A880" s="62" t="n">
        <f aca="false">A879+1</f>
        <v>873</v>
      </c>
      <c r="B880" s="63" t="e">
        <f aca="false">VLOOKUP(A880,BD_ORDENES!A:BG,12,FALSE())</f>
        <v>#N/A</v>
      </c>
      <c r="C880" s="64" t="n">
        <v>873</v>
      </c>
      <c r="D880" s="65" t="e">
        <f aca="false">VLOOKUP(A880,BD_ORDENES!A:BE,10,0)</f>
        <v>#N/A</v>
      </c>
      <c r="E880" s="66" t="e">
        <f aca="false">VLOOKUP(A880,BD_ORDENES!A:BG,4,FALSE())</f>
        <v>#N/A</v>
      </c>
      <c r="F880" s="66" t="e">
        <f aca="false">VLOOKUP(A880,BD_ORDENES!A:BE,56,FALSE())</f>
        <v>#N/A</v>
      </c>
      <c r="G880" s="67" t="e">
        <f aca="false">VLOOKUP(A880,BD_ORDENES!A:BE,13,FALSE())</f>
        <v>#N/A</v>
      </c>
      <c r="H880" s="68" t="e">
        <f aca="false">VLOOKUP(A880,BD_ORDENES!A:BE,17,FALSE())</f>
        <v>#N/A</v>
      </c>
      <c r="I880" s="68" t="e">
        <f aca="false">VLOOKUP(A880,BD_ORDENES!A:BE,18,FALSE())</f>
        <v>#N/A</v>
      </c>
      <c r="J880" s="68" t="e">
        <f aca="false">VLOOKUP(A880,BD_ORDENES!A:BE,19,FALSE())</f>
        <v>#N/A</v>
      </c>
      <c r="K880" s="68" t="e">
        <f aca="false">VLOOKUP(A880,BD_ORDENES!A:BE,20,FALSE())</f>
        <v>#N/A</v>
      </c>
      <c r="L880" s="68" t="e">
        <f aca="false">VLOOKUP(A880,BD_ORDENES!A:BE,21,FALSE())</f>
        <v>#N/A</v>
      </c>
      <c r="M880" s="69" t="e">
        <f aca="false">VLOOKUP(A880,BD_ORDENES!A:BE,14,FALSE())</f>
        <v>#N/A</v>
      </c>
      <c r="N880" s="68" t="e">
        <f aca="false">VLOOKUP(A880,BD_ORDENES!A:BE,15,FALSE())</f>
        <v>#N/A</v>
      </c>
      <c r="O880" s="68" t="e">
        <f aca="false">VLOOKUP(A880,BD_ORDENES!A:BE,33,FALSE())</f>
        <v>#N/A</v>
      </c>
      <c r="P880" s="68" t="e">
        <f aca="false">VLOOKUP(A880,BD_ORDENES!A:BE,23,FALSE())</f>
        <v>#N/A</v>
      </c>
      <c r="Q880" s="68" t="e">
        <f aca="false">VLOOKUP(A880,BD_ORDENES!A:BE,52,FALSE())</f>
        <v>#N/A</v>
      </c>
      <c r="R880" s="68" t="e">
        <f aca="false">VLOOKUP(A880,BD_ORDENES!A:BE,25,FALSE())</f>
        <v>#N/A</v>
      </c>
      <c r="S880" s="68" t="e">
        <f aca="false">VLOOKUP(A880,BD_ORDENES!A:BE,22,FALSE())</f>
        <v>#N/A</v>
      </c>
      <c r="T880" s="65" t="e">
        <f aca="false">VLOOKUP(A880,BD_ORDENES!A:BE,55,FALSE())</f>
        <v>#N/A</v>
      </c>
      <c r="U880" s="68" t="e">
        <f aca="false">VLOOKUP(A880,BD_ORDENES!A:BE,57,FALSE())</f>
        <v>#N/A</v>
      </c>
      <c r="V880" s="70"/>
    </row>
    <row r="881" customFormat="false" ht="29.1" hidden="false" customHeight="false" outlineLevel="0" collapsed="false">
      <c r="A881" s="62" t="n">
        <f aca="false">A880+1</f>
        <v>874</v>
      </c>
      <c r="B881" s="63" t="e">
        <f aca="false">VLOOKUP(A881,BD_ORDENES!A:BG,12,FALSE())</f>
        <v>#N/A</v>
      </c>
      <c r="C881" s="64" t="n">
        <v>874</v>
      </c>
      <c r="D881" s="65" t="e">
        <f aca="false">VLOOKUP(A881,BD_ORDENES!A:BE,10,0)</f>
        <v>#N/A</v>
      </c>
      <c r="E881" s="66" t="e">
        <f aca="false">VLOOKUP(A881,BD_ORDENES!A:BG,4,FALSE())</f>
        <v>#N/A</v>
      </c>
      <c r="F881" s="66" t="e">
        <f aca="false">VLOOKUP(A881,BD_ORDENES!A:BE,56,FALSE())</f>
        <v>#N/A</v>
      </c>
      <c r="G881" s="67" t="e">
        <f aca="false">VLOOKUP(A881,BD_ORDENES!A:BE,13,FALSE())</f>
        <v>#N/A</v>
      </c>
      <c r="H881" s="68" t="e">
        <f aca="false">VLOOKUP(A881,BD_ORDENES!A:BE,17,FALSE())</f>
        <v>#N/A</v>
      </c>
      <c r="I881" s="68" t="e">
        <f aca="false">VLOOKUP(A881,BD_ORDENES!A:BE,18,FALSE())</f>
        <v>#N/A</v>
      </c>
      <c r="J881" s="68" t="e">
        <f aca="false">VLOOKUP(A881,BD_ORDENES!A:BE,19,FALSE())</f>
        <v>#N/A</v>
      </c>
      <c r="K881" s="68" t="e">
        <f aca="false">VLOOKUP(A881,BD_ORDENES!A:BE,20,FALSE())</f>
        <v>#N/A</v>
      </c>
      <c r="L881" s="68" t="e">
        <f aca="false">VLOOKUP(A881,BD_ORDENES!A:BE,21,FALSE())</f>
        <v>#N/A</v>
      </c>
      <c r="M881" s="69" t="e">
        <f aca="false">VLOOKUP(A881,BD_ORDENES!A:BE,14,FALSE())</f>
        <v>#N/A</v>
      </c>
      <c r="N881" s="68" t="e">
        <f aca="false">VLOOKUP(A881,BD_ORDENES!A:BE,15,FALSE())</f>
        <v>#N/A</v>
      </c>
      <c r="O881" s="68" t="e">
        <f aca="false">VLOOKUP(A881,BD_ORDENES!A:BE,33,FALSE())</f>
        <v>#N/A</v>
      </c>
      <c r="P881" s="68" t="e">
        <f aca="false">VLOOKUP(A881,BD_ORDENES!A:BE,23,FALSE())</f>
        <v>#N/A</v>
      </c>
      <c r="Q881" s="68" t="e">
        <f aca="false">VLOOKUP(A881,BD_ORDENES!A:BE,52,FALSE())</f>
        <v>#N/A</v>
      </c>
      <c r="R881" s="68" t="e">
        <f aca="false">VLOOKUP(A881,BD_ORDENES!A:BE,25,FALSE())</f>
        <v>#N/A</v>
      </c>
      <c r="S881" s="68" t="e">
        <f aca="false">VLOOKUP(A881,BD_ORDENES!A:BE,22,FALSE())</f>
        <v>#N/A</v>
      </c>
      <c r="T881" s="65" t="e">
        <f aca="false">VLOOKUP(A881,BD_ORDENES!A:BE,55,FALSE())</f>
        <v>#N/A</v>
      </c>
      <c r="U881" s="68" t="e">
        <f aca="false">VLOOKUP(A881,BD_ORDENES!A:BE,57,FALSE())</f>
        <v>#N/A</v>
      </c>
      <c r="V881" s="70"/>
    </row>
    <row r="882" customFormat="false" ht="29.1" hidden="false" customHeight="false" outlineLevel="0" collapsed="false">
      <c r="A882" s="62" t="n">
        <f aca="false">A881+1</f>
        <v>875</v>
      </c>
      <c r="B882" s="63" t="e">
        <f aca="false">VLOOKUP(A882,BD_ORDENES!A:BG,12,FALSE())</f>
        <v>#N/A</v>
      </c>
      <c r="C882" s="64" t="n">
        <v>875</v>
      </c>
      <c r="D882" s="65" t="e">
        <f aca="false">VLOOKUP(A882,BD_ORDENES!A:BE,10,0)</f>
        <v>#N/A</v>
      </c>
      <c r="E882" s="66" t="e">
        <f aca="false">VLOOKUP(A882,BD_ORDENES!A:BG,4,FALSE())</f>
        <v>#N/A</v>
      </c>
      <c r="F882" s="66" t="e">
        <f aca="false">VLOOKUP(A882,BD_ORDENES!A:BE,56,FALSE())</f>
        <v>#N/A</v>
      </c>
      <c r="G882" s="67" t="e">
        <f aca="false">VLOOKUP(A882,BD_ORDENES!A:BE,13,FALSE())</f>
        <v>#N/A</v>
      </c>
      <c r="H882" s="68" t="e">
        <f aca="false">VLOOKUP(A882,BD_ORDENES!A:BE,17,FALSE())</f>
        <v>#N/A</v>
      </c>
      <c r="I882" s="68" t="e">
        <f aca="false">VLOOKUP(A882,BD_ORDENES!A:BE,18,FALSE())</f>
        <v>#N/A</v>
      </c>
      <c r="J882" s="68" t="e">
        <f aca="false">VLOOKUP(A882,BD_ORDENES!A:BE,19,FALSE())</f>
        <v>#N/A</v>
      </c>
      <c r="K882" s="68" t="e">
        <f aca="false">VLOOKUP(A882,BD_ORDENES!A:BE,20,FALSE())</f>
        <v>#N/A</v>
      </c>
      <c r="L882" s="68" t="e">
        <f aca="false">VLOOKUP(A882,BD_ORDENES!A:BE,21,FALSE())</f>
        <v>#N/A</v>
      </c>
      <c r="M882" s="69" t="e">
        <f aca="false">VLOOKUP(A882,BD_ORDENES!A:BE,14,FALSE())</f>
        <v>#N/A</v>
      </c>
      <c r="N882" s="68" t="e">
        <f aca="false">VLOOKUP(A882,BD_ORDENES!A:BE,15,FALSE())</f>
        <v>#N/A</v>
      </c>
      <c r="O882" s="68" t="e">
        <f aca="false">VLOOKUP(A882,BD_ORDENES!A:BE,33,FALSE())</f>
        <v>#N/A</v>
      </c>
      <c r="P882" s="68" t="e">
        <f aca="false">VLOOKUP(A882,BD_ORDENES!A:BE,23,FALSE())</f>
        <v>#N/A</v>
      </c>
      <c r="Q882" s="68" t="e">
        <f aca="false">VLOOKUP(A882,BD_ORDENES!A:BE,52,FALSE())</f>
        <v>#N/A</v>
      </c>
      <c r="R882" s="68" t="e">
        <f aca="false">VLOOKUP(A882,BD_ORDENES!A:BE,25,FALSE())</f>
        <v>#N/A</v>
      </c>
      <c r="S882" s="68" t="e">
        <f aca="false">VLOOKUP(A882,BD_ORDENES!A:BE,22,FALSE())</f>
        <v>#N/A</v>
      </c>
      <c r="T882" s="65" t="e">
        <f aca="false">VLOOKUP(A882,BD_ORDENES!A:BE,55,FALSE())</f>
        <v>#N/A</v>
      </c>
      <c r="U882" s="68" t="e">
        <f aca="false">VLOOKUP(A882,BD_ORDENES!A:BE,57,FALSE())</f>
        <v>#N/A</v>
      </c>
      <c r="V882" s="70"/>
    </row>
    <row r="883" customFormat="false" ht="29.1" hidden="false" customHeight="false" outlineLevel="0" collapsed="false">
      <c r="A883" s="62" t="n">
        <f aca="false">A882+1</f>
        <v>876</v>
      </c>
      <c r="B883" s="63" t="e">
        <f aca="false">VLOOKUP(A883,BD_ORDENES!A:BG,12,FALSE())</f>
        <v>#N/A</v>
      </c>
      <c r="C883" s="64" t="n">
        <v>876</v>
      </c>
      <c r="D883" s="65" t="e">
        <f aca="false">VLOOKUP(A883,BD_ORDENES!A:BE,10,0)</f>
        <v>#N/A</v>
      </c>
      <c r="E883" s="66" t="e">
        <f aca="false">VLOOKUP(A883,BD_ORDENES!A:BG,4,FALSE())</f>
        <v>#N/A</v>
      </c>
      <c r="F883" s="66" t="e">
        <f aca="false">VLOOKUP(A883,BD_ORDENES!A:BE,56,FALSE())</f>
        <v>#N/A</v>
      </c>
      <c r="G883" s="67" t="e">
        <f aca="false">VLOOKUP(A883,BD_ORDENES!A:BE,13,FALSE())</f>
        <v>#N/A</v>
      </c>
      <c r="H883" s="68" t="e">
        <f aca="false">VLOOKUP(A883,BD_ORDENES!A:BE,17,FALSE())</f>
        <v>#N/A</v>
      </c>
      <c r="I883" s="68" t="e">
        <f aca="false">VLOOKUP(A883,BD_ORDENES!A:BE,18,FALSE())</f>
        <v>#N/A</v>
      </c>
      <c r="J883" s="68" t="e">
        <f aca="false">VLOOKUP(A883,BD_ORDENES!A:BE,19,FALSE())</f>
        <v>#N/A</v>
      </c>
      <c r="K883" s="68" t="e">
        <f aca="false">VLOOKUP(A883,BD_ORDENES!A:BE,20,FALSE())</f>
        <v>#N/A</v>
      </c>
      <c r="L883" s="68" t="e">
        <f aca="false">VLOOKUP(A883,BD_ORDENES!A:BE,21,FALSE())</f>
        <v>#N/A</v>
      </c>
      <c r="M883" s="69" t="e">
        <f aca="false">VLOOKUP(A883,BD_ORDENES!A:BE,14,FALSE())</f>
        <v>#N/A</v>
      </c>
      <c r="N883" s="68" t="e">
        <f aca="false">VLOOKUP(A883,BD_ORDENES!A:BE,15,FALSE())</f>
        <v>#N/A</v>
      </c>
      <c r="O883" s="68" t="e">
        <f aca="false">VLOOKUP(A883,BD_ORDENES!A:BE,33,FALSE())</f>
        <v>#N/A</v>
      </c>
      <c r="P883" s="68" t="e">
        <f aca="false">VLOOKUP(A883,BD_ORDENES!A:BE,23,FALSE())</f>
        <v>#N/A</v>
      </c>
      <c r="Q883" s="68" t="e">
        <f aca="false">VLOOKUP(A883,BD_ORDENES!A:BE,52,FALSE())</f>
        <v>#N/A</v>
      </c>
      <c r="R883" s="68" t="e">
        <f aca="false">VLOOKUP(A883,BD_ORDENES!A:BE,25,FALSE())</f>
        <v>#N/A</v>
      </c>
      <c r="S883" s="68" t="e">
        <f aca="false">VLOOKUP(A883,BD_ORDENES!A:BE,22,FALSE())</f>
        <v>#N/A</v>
      </c>
      <c r="T883" s="65" t="e">
        <f aca="false">VLOOKUP(A883,BD_ORDENES!A:BE,55,FALSE())</f>
        <v>#N/A</v>
      </c>
      <c r="U883" s="68" t="e">
        <f aca="false">VLOOKUP(A883,BD_ORDENES!A:BE,57,FALSE())</f>
        <v>#N/A</v>
      </c>
      <c r="V883" s="70"/>
    </row>
    <row r="884" customFormat="false" ht="29.1" hidden="false" customHeight="false" outlineLevel="0" collapsed="false">
      <c r="A884" s="62" t="n">
        <f aca="false">A883+1</f>
        <v>877</v>
      </c>
      <c r="B884" s="63" t="e">
        <f aca="false">VLOOKUP(A884,BD_ORDENES!A:BG,12,FALSE())</f>
        <v>#N/A</v>
      </c>
      <c r="C884" s="64" t="n">
        <v>877</v>
      </c>
      <c r="D884" s="65" t="e">
        <f aca="false">VLOOKUP(A884,BD_ORDENES!A:BE,10,0)</f>
        <v>#N/A</v>
      </c>
      <c r="E884" s="66" t="e">
        <f aca="false">VLOOKUP(A884,BD_ORDENES!A:BG,4,FALSE())</f>
        <v>#N/A</v>
      </c>
      <c r="F884" s="66" t="e">
        <f aca="false">VLOOKUP(A884,BD_ORDENES!A:BE,56,FALSE())</f>
        <v>#N/A</v>
      </c>
      <c r="G884" s="67" t="e">
        <f aca="false">VLOOKUP(A884,BD_ORDENES!A:BE,13,FALSE())</f>
        <v>#N/A</v>
      </c>
      <c r="H884" s="68" t="e">
        <f aca="false">VLOOKUP(A884,BD_ORDENES!A:BE,17,FALSE())</f>
        <v>#N/A</v>
      </c>
      <c r="I884" s="68" t="e">
        <f aca="false">VLOOKUP(A884,BD_ORDENES!A:BE,18,FALSE())</f>
        <v>#N/A</v>
      </c>
      <c r="J884" s="68" t="e">
        <f aca="false">VLOOKUP(A884,BD_ORDENES!A:BE,19,FALSE())</f>
        <v>#N/A</v>
      </c>
      <c r="K884" s="68" t="e">
        <f aca="false">VLOOKUP(A884,BD_ORDENES!A:BE,20,FALSE())</f>
        <v>#N/A</v>
      </c>
      <c r="L884" s="68" t="e">
        <f aca="false">VLOOKUP(A884,BD_ORDENES!A:BE,21,FALSE())</f>
        <v>#N/A</v>
      </c>
      <c r="M884" s="69" t="e">
        <f aca="false">VLOOKUP(A884,BD_ORDENES!A:BE,14,FALSE())</f>
        <v>#N/A</v>
      </c>
      <c r="N884" s="68" t="e">
        <f aca="false">VLOOKUP(A884,BD_ORDENES!A:BE,15,FALSE())</f>
        <v>#N/A</v>
      </c>
      <c r="O884" s="68" t="e">
        <f aca="false">VLOOKUP(A884,BD_ORDENES!A:BE,33,FALSE())</f>
        <v>#N/A</v>
      </c>
      <c r="P884" s="68" t="e">
        <f aca="false">VLOOKUP(A884,BD_ORDENES!A:BE,23,FALSE())</f>
        <v>#N/A</v>
      </c>
      <c r="Q884" s="68" t="e">
        <f aca="false">VLOOKUP(A884,BD_ORDENES!A:BE,52,FALSE())</f>
        <v>#N/A</v>
      </c>
      <c r="R884" s="68" t="e">
        <f aca="false">VLOOKUP(A884,BD_ORDENES!A:BE,25,FALSE())</f>
        <v>#N/A</v>
      </c>
      <c r="S884" s="68" t="e">
        <f aca="false">VLOOKUP(A884,BD_ORDENES!A:BE,22,FALSE())</f>
        <v>#N/A</v>
      </c>
      <c r="T884" s="65" t="e">
        <f aca="false">VLOOKUP(A884,BD_ORDENES!A:BE,55,FALSE())</f>
        <v>#N/A</v>
      </c>
      <c r="U884" s="68" t="e">
        <f aca="false">VLOOKUP(A884,BD_ORDENES!A:BE,57,FALSE())</f>
        <v>#N/A</v>
      </c>
      <c r="V884" s="70"/>
    </row>
    <row r="885" customFormat="false" ht="29.1" hidden="false" customHeight="false" outlineLevel="0" collapsed="false">
      <c r="A885" s="62" t="n">
        <f aca="false">A884+1</f>
        <v>878</v>
      </c>
      <c r="B885" s="63" t="e">
        <f aca="false">VLOOKUP(A885,BD_ORDENES!A:BG,12,FALSE())</f>
        <v>#N/A</v>
      </c>
      <c r="C885" s="64" t="n">
        <v>878</v>
      </c>
      <c r="D885" s="65" t="e">
        <f aca="false">VLOOKUP(A885,BD_ORDENES!A:BE,10,0)</f>
        <v>#N/A</v>
      </c>
      <c r="E885" s="66" t="e">
        <f aca="false">VLOOKUP(A885,BD_ORDENES!A:BG,4,FALSE())</f>
        <v>#N/A</v>
      </c>
      <c r="F885" s="66" t="e">
        <f aca="false">VLOOKUP(A885,BD_ORDENES!A:BE,56,FALSE())</f>
        <v>#N/A</v>
      </c>
      <c r="G885" s="67" t="e">
        <f aca="false">VLOOKUP(A885,BD_ORDENES!A:BE,13,FALSE())</f>
        <v>#N/A</v>
      </c>
      <c r="H885" s="68" t="e">
        <f aca="false">VLOOKUP(A885,BD_ORDENES!A:BE,17,FALSE())</f>
        <v>#N/A</v>
      </c>
      <c r="I885" s="68" t="e">
        <f aca="false">VLOOKUP(A885,BD_ORDENES!A:BE,18,FALSE())</f>
        <v>#N/A</v>
      </c>
      <c r="J885" s="68" t="e">
        <f aca="false">VLOOKUP(A885,BD_ORDENES!A:BE,19,FALSE())</f>
        <v>#N/A</v>
      </c>
      <c r="K885" s="68" t="e">
        <f aca="false">VLOOKUP(A885,BD_ORDENES!A:BE,20,FALSE())</f>
        <v>#N/A</v>
      </c>
      <c r="L885" s="68" t="e">
        <f aca="false">VLOOKUP(A885,BD_ORDENES!A:BE,21,FALSE())</f>
        <v>#N/A</v>
      </c>
      <c r="M885" s="69" t="e">
        <f aca="false">VLOOKUP(A885,BD_ORDENES!A:BE,14,FALSE())</f>
        <v>#N/A</v>
      </c>
      <c r="N885" s="68" t="e">
        <f aca="false">VLOOKUP(A885,BD_ORDENES!A:BE,15,FALSE())</f>
        <v>#N/A</v>
      </c>
      <c r="O885" s="68" t="e">
        <f aca="false">VLOOKUP(A885,BD_ORDENES!A:BE,33,FALSE())</f>
        <v>#N/A</v>
      </c>
      <c r="P885" s="68" t="e">
        <f aca="false">VLOOKUP(A885,BD_ORDENES!A:BE,23,FALSE())</f>
        <v>#N/A</v>
      </c>
      <c r="Q885" s="68" t="e">
        <f aca="false">VLOOKUP(A885,BD_ORDENES!A:BE,52,FALSE())</f>
        <v>#N/A</v>
      </c>
      <c r="R885" s="68" t="e">
        <f aca="false">VLOOKUP(A885,BD_ORDENES!A:BE,25,FALSE())</f>
        <v>#N/A</v>
      </c>
      <c r="S885" s="68" t="e">
        <f aca="false">VLOOKUP(A885,BD_ORDENES!A:BE,22,FALSE())</f>
        <v>#N/A</v>
      </c>
      <c r="T885" s="65" t="e">
        <f aca="false">VLOOKUP(A885,BD_ORDENES!A:BE,55,FALSE())</f>
        <v>#N/A</v>
      </c>
      <c r="U885" s="68" t="e">
        <f aca="false">VLOOKUP(A885,BD_ORDENES!A:BE,57,FALSE())</f>
        <v>#N/A</v>
      </c>
      <c r="V885" s="70"/>
    </row>
    <row r="886" customFormat="false" ht="29.1" hidden="false" customHeight="false" outlineLevel="0" collapsed="false">
      <c r="A886" s="62" t="n">
        <f aca="false">A885+1</f>
        <v>879</v>
      </c>
      <c r="B886" s="63" t="e">
        <f aca="false">VLOOKUP(A886,BD_ORDENES!A:BG,12,FALSE())</f>
        <v>#N/A</v>
      </c>
      <c r="C886" s="64" t="n">
        <v>879</v>
      </c>
      <c r="D886" s="65" t="e">
        <f aca="false">VLOOKUP(A886,BD_ORDENES!A:BE,10,0)</f>
        <v>#N/A</v>
      </c>
      <c r="E886" s="66" t="e">
        <f aca="false">VLOOKUP(A886,BD_ORDENES!A:BG,4,FALSE())</f>
        <v>#N/A</v>
      </c>
      <c r="F886" s="66" t="e">
        <f aca="false">VLOOKUP(A886,BD_ORDENES!A:BE,56,FALSE())</f>
        <v>#N/A</v>
      </c>
      <c r="G886" s="67" t="e">
        <f aca="false">VLOOKUP(A886,BD_ORDENES!A:BE,13,FALSE())</f>
        <v>#N/A</v>
      </c>
      <c r="H886" s="68" t="e">
        <f aca="false">VLOOKUP(A886,BD_ORDENES!A:BE,17,FALSE())</f>
        <v>#N/A</v>
      </c>
      <c r="I886" s="68" t="e">
        <f aca="false">VLOOKUP(A886,BD_ORDENES!A:BE,18,FALSE())</f>
        <v>#N/A</v>
      </c>
      <c r="J886" s="68" t="e">
        <f aca="false">VLOOKUP(A886,BD_ORDENES!A:BE,19,FALSE())</f>
        <v>#N/A</v>
      </c>
      <c r="K886" s="68" t="e">
        <f aca="false">VLOOKUP(A886,BD_ORDENES!A:BE,20,FALSE())</f>
        <v>#N/A</v>
      </c>
      <c r="L886" s="68" t="e">
        <f aca="false">VLOOKUP(A886,BD_ORDENES!A:BE,21,FALSE())</f>
        <v>#N/A</v>
      </c>
      <c r="M886" s="69" t="e">
        <f aca="false">VLOOKUP(A886,BD_ORDENES!A:BE,14,FALSE())</f>
        <v>#N/A</v>
      </c>
      <c r="N886" s="68" t="e">
        <f aca="false">VLOOKUP(A886,BD_ORDENES!A:BE,15,FALSE())</f>
        <v>#N/A</v>
      </c>
      <c r="O886" s="68" t="e">
        <f aca="false">VLOOKUP(A886,BD_ORDENES!A:BE,33,FALSE())</f>
        <v>#N/A</v>
      </c>
      <c r="P886" s="68" t="e">
        <f aca="false">VLOOKUP(A886,BD_ORDENES!A:BE,23,FALSE())</f>
        <v>#N/A</v>
      </c>
      <c r="Q886" s="68" t="e">
        <f aca="false">VLOOKUP(A886,BD_ORDENES!A:BE,52,FALSE())</f>
        <v>#N/A</v>
      </c>
      <c r="R886" s="68" t="e">
        <f aca="false">VLOOKUP(A886,BD_ORDENES!A:BE,25,FALSE())</f>
        <v>#N/A</v>
      </c>
      <c r="S886" s="68" t="e">
        <f aca="false">VLOOKUP(A886,BD_ORDENES!A:BE,22,FALSE())</f>
        <v>#N/A</v>
      </c>
      <c r="T886" s="65" t="e">
        <f aca="false">VLOOKUP(A886,BD_ORDENES!A:BE,55,FALSE())</f>
        <v>#N/A</v>
      </c>
      <c r="U886" s="68" t="e">
        <f aca="false">VLOOKUP(A886,BD_ORDENES!A:BE,57,FALSE())</f>
        <v>#N/A</v>
      </c>
      <c r="V886" s="70"/>
    </row>
    <row r="887" customFormat="false" ht="29.1" hidden="false" customHeight="false" outlineLevel="0" collapsed="false">
      <c r="A887" s="62" t="n">
        <f aca="false">A886+1</f>
        <v>880</v>
      </c>
      <c r="B887" s="63" t="e">
        <f aca="false">VLOOKUP(A887,BD_ORDENES!A:BG,12,FALSE())</f>
        <v>#N/A</v>
      </c>
      <c r="C887" s="64" t="n">
        <v>880</v>
      </c>
      <c r="D887" s="65" t="e">
        <f aca="false">VLOOKUP(A887,BD_ORDENES!A:BE,10,0)</f>
        <v>#N/A</v>
      </c>
      <c r="E887" s="66" t="e">
        <f aca="false">VLOOKUP(A887,BD_ORDENES!A:BG,4,FALSE())</f>
        <v>#N/A</v>
      </c>
      <c r="F887" s="66" t="e">
        <f aca="false">VLOOKUP(A887,BD_ORDENES!A:BE,56,FALSE())</f>
        <v>#N/A</v>
      </c>
      <c r="G887" s="67" t="e">
        <f aca="false">VLOOKUP(A887,BD_ORDENES!A:BE,13,FALSE())</f>
        <v>#N/A</v>
      </c>
      <c r="H887" s="68" t="e">
        <f aca="false">VLOOKUP(A887,BD_ORDENES!A:BE,17,FALSE())</f>
        <v>#N/A</v>
      </c>
      <c r="I887" s="68" t="e">
        <f aca="false">VLOOKUP(A887,BD_ORDENES!A:BE,18,FALSE())</f>
        <v>#N/A</v>
      </c>
      <c r="J887" s="68" t="e">
        <f aca="false">VLOOKUP(A887,BD_ORDENES!A:BE,19,FALSE())</f>
        <v>#N/A</v>
      </c>
      <c r="K887" s="68" t="e">
        <f aca="false">VLOOKUP(A887,BD_ORDENES!A:BE,20,FALSE())</f>
        <v>#N/A</v>
      </c>
      <c r="L887" s="68" t="e">
        <f aca="false">VLOOKUP(A887,BD_ORDENES!A:BE,21,FALSE())</f>
        <v>#N/A</v>
      </c>
      <c r="M887" s="69" t="e">
        <f aca="false">VLOOKUP(A887,BD_ORDENES!A:BE,14,FALSE())</f>
        <v>#N/A</v>
      </c>
      <c r="N887" s="68" t="e">
        <f aca="false">VLOOKUP(A887,BD_ORDENES!A:BE,15,FALSE())</f>
        <v>#N/A</v>
      </c>
      <c r="O887" s="68" t="e">
        <f aca="false">VLOOKUP(A887,BD_ORDENES!A:BE,33,FALSE())</f>
        <v>#N/A</v>
      </c>
      <c r="P887" s="68" t="e">
        <f aca="false">VLOOKUP(A887,BD_ORDENES!A:BE,23,FALSE())</f>
        <v>#N/A</v>
      </c>
      <c r="Q887" s="68" t="e">
        <f aca="false">VLOOKUP(A887,BD_ORDENES!A:BE,52,FALSE())</f>
        <v>#N/A</v>
      </c>
      <c r="R887" s="68" t="e">
        <f aca="false">VLOOKUP(A887,BD_ORDENES!A:BE,25,FALSE())</f>
        <v>#N/A</v>
      </c>
      <c r="S887" s="68" t="e">
        <f aca="false">VLOOKUP(A887,BD_ORDENES!A:BE,22,FALSE())</f>
        <v>#N/A</v>
      </c>
      <c r="T887" s="65" t="e">
        <f aca="false">VLOOKUP(A887,BD_ORDENES!A:BE,55,FALSE())</f>
        <v>#N/A</v>
      </c>
      <c r="U887" s="68" t="e">
        <f aca="false">VLOOKUP(A887,BD_ORDENES!A:BE,57,FALSE())</f>
        <v>#N/A</v>
      </c>
      <c r="V887" s="70"/>
    </row>
    <row r="888" customFormat="false" ht="29.1" hidden="false" customHeight="false" outlineLevel="0" collapsed="false">
      <c r="A888" s="62" t="n">
        <f aca="false">A887+1</f>
        <v>881</v>
      </c>
      <c r="B888" s="63" t="e">
        <f aca="false">VLOOKUP(A888,BD_ORDENES!A:BG,12,FALSE())</f>
        <v>#N/A</v>
      </c>
      <c r="C888" s="64" t="n">
        <v>881</v>
      </c>
      <c r="D888" s="65" t="e">
        <f aca="false">VLOOKUP(A888,BD_ORDENES!A:BE,10,0)</f>
        <v>#N/A</v>
      </c>
      <c r="E888" s="66" t="e">
        <f aca="false">VLOOKUP(A888,BD_ORDENES!A:BG,4,FALSE())</f>
        <v>#N/A</v>
      </c>
      <c r="F888" s="66" t="e">
        <f aca="false">VLOOKUP(A888,BD_ORDENES!A:BE,56,FALSE())</f>
        <v>#N/A</v>
      </c>
      <c r="G888" s="67" t="e">
        <f aca="false">VLOOKUP(A888,BD_ORDENES!A:BE,13,FALSE())</f>
        <v>#N/A</v>
      </c>
      <c r="H888" s="68" t="e">
        <f aca="false">VLOOKUP(A888,BD_ORDENES!A:BE,17,FALSE())</f>
        <v>#N/A</v>
      </c>
      <c r="I888" s="68" t="e">
        <f aca="false">VLOOKUP(A888,BD_ORDENES!A:BE,18,FALSE())</f>
        <v>#N/A</v>
      </c>
      <c r="J888" s="68" t="e">
        <f aca="false">VLOOKUP(A888,BD_ORDENES!A:BE,19,FALSE())</f>
        <v>#N/A</v>
      </c>
      <c r="K888" s="68" t="e">
        <f aca="false">VLOOKUP(A888,BD_ORDENES!A:BE,20,FALSE())</f>
        <v>#N/A</v>
      </c>
      <c r="L888" s="68" t="e">
        <f aca="false">VLOOKUP(A888,BD_ORDENES!A:BE,21,FALSE())</f>
        <v>#N/A</v>
      </c>
      <c r="M888" s="69" t="e">
        <f aca="false">VLOOKUP(A888,BD_ORDENES!A:BE,14,FALSE())</f>
        <v>#N/A</v>
      </c>
      <c r="N888" s="68" t="e">
        <f aca="false">VLOOKUP(A888,BD_ORDENES!A:BE,15,FALSE())</f>
        <v>#N/A</v>
      </c>
      <c r="O888" s="68" t="e">
        <f aca="false">VLOOKUP(A888,BD_ORDENES!A:BE,33,FALSE())</f>
        <v>#N/A</v>
      </c>
      <c r="P888" s="68" t="e">
        <f aca="false">VLOOKUP(A888,BD_ORDENES!A:BE,23,FALSE())</f>
        <v>#N/A</v>
      </c>
      <c r="Q888" s="68" t="e">
        <f aca="false">VLOOKUP(A888,BD_ORDENES!A:BE,52,FALSE())</f>
        <v>#N/A</v>
      </c>
      <c r="R888" s="68" t="e">
        <f aca="false">VLOOKUP(A888,BD_ORDENES!A:BE,25,FALSE())</f>
        <v>#N/A</v>
      </c>
      <c r="S888" s="68" t="e">
        <f aca="false">VLOOKUP(A888,BD_ORDENES!A:BE,22,FALSE())</f>
        <v>#N/A</v>
      </c>
      <c r="T888" s="65" t="e">
        <f aca="false">VLOOKUP(A888,BD_ORDENES!A:BE,55,FALSE())</f>
        <v>#N/A</v>
      </c>
      <c r="U888" s="68" t="e">
        <f aca="false">VLOOKUP(A888,BD_ORDENES!A:BE,57,FALSE())</f>
        <v>#N/A</v>
      </c>
      <c r="V888" s="70"/>
    </row>
    <row r="889" customFormat="false" ht="29.1" hidden="false" customHeight="false" outlineLevel="0" collapsed="false">
      <c r="A889" s="62" t="n">
        <f aca="false">A888+1</f>
        <v>882</v>
      </c>
      <c r="B889" s="63" t="e">
        <f aca="false">VLOOKUP(A889,BD_ORDENES!A:BG,12,FALSE())</f>
        <v>#N/A</v>
      </c>
      <c r="C889" s="64" t="n">
        <v>882</v>
      </c>
      <c r="D889" s="65" t="e">
        <f aca="false">VLOOKUP(A889,BD_ORDENES!A:BE,10,0)</f>
        <v>#N/A</v>
      </c>
      <c r="E889" s="66" t="e">
        <f aca="false">VLOOKUP(A889,BD_ORDENES!A:BG,4,FALSE())</f>
        <v>#N/A</v>
      </c>
      <c r="F889" s="66" t="e">
        <f aca="false">VLOOKUP(A889,BD_ORDENES!A:BE,56,FALSE())</f>
        <v>#N/A</v>
      </c>
      <c r="G889" s="67" t="e">
        <f aca="false">VLOOKUP(A889,BD_ORDENES!A:BE,13,FALSE())</f>
        <v>#N/A</v>
      </c>
      <c r="H889" s="68" t="e">
        <f aca="false">VLOOKUP(A889,BD_ORDENES!A:BE,17,FALSE())</f>
        <v>#N/A</v>
      </c>
      <c r="I889" s="68" t="e">
        <f aca="false">VLOOKUP(A889,BD_ORDENES!A:BE,18,FALSE())</f>
        <v>#N/A</v>
      </c>
      <c r="J889" s="68" t="e">
        <f aca="false">VLOOKUP(A889,BD_ORDENES!A:BE,19,FALSE())</f>
        <v>#N/A</v>
      </c>
      <c r="K889" s="68" t="e">
        <f aca="false">VLOOKUP(A889,BD_ORDENES!A:BE,20,FALSE())</f>
        <v>#N/A</v>
      </c>
      <c r="L889" s="68" t="e">
        <f aca="false">VLOOKUP(A889,BD_ORDENES!A:BE,21,FALSE())</f>
        <v>#N/A</v>
      </c>
      <c r="M889" s="69" t="e">
        <f aca="false">VLOOKUP(A889,BD_ORDENES!A:BE,14,FALSE())</f>
        <v>#N/A</v>
      </c>
      <c r="N889" s="68" t="e">
        <f aca="false">VLOOKUP(A889,BD_ORDENES!A:BE,15,FALSE())</f>
        <v>#N/A</v>
      </c>
      <c r="O889" s="68" t="e">
        <f aca="false">VLOOKUP(A889,BD_ORDENES!A:BE,33,FALSE())</f>
        <v>#N/A</v>
      </c>
      <c r="P889" s="68" t="e">
        <f aca="false">VLOOKUP(A889,BD_ORDENES!A:BE,23,FALSE())</f>
        <v>#N/A</v>
      </c>
      <c r="Q889" s="68" t="e">
        <f aca="false">VLOOKUP(A889,BD_ORDENES!A:BE,52,FALSE())</f>
        <v>#N/A</v>
      </c>
      <c r="R889" s="68" t="e">
        <f aca="false">VLOOKUP(A889,BD_ORDENES!A:BE,25,FALSE())</f>
        <v>#N/A</v>
      </c>
      <c r="S889" s="68" t="e">
        <f aca="false">VLOOKUP(A889,BD_ORDENES!A:BE,22,FALSE())</f>
        <v>#N/A</v>
      </c>
      <c r="T889" s="65" t="e">
        <f aca="false">VLOOKUP(A889,BD_ORDENES!A:BE,55,FALSE())</f>
        <v>#N/A</v>
      </c>
      <c r="U889" s="68" t="e">
        <f aca="false">VLOOKUP(A889,BD_ORDENES!A:BE,57,FALSE())</f>
        <v>#N/A</v>
      </c>
      <c r="V889" s="70"/>
    </row>
    <row r="890" customFormat="false" ht="29.1" hidden="false" customHeight="false" outlineLevel="0" collapsed="false">
      <c r="A890" s="62" t="n">
        <f aca="false">A889+1</f>
        <v>883</v>
      </c>
      <c r="B890" s="63" t="e">
        <f aca="false">VLOOKUP(A890,BD_ORDENES!A:BG,12,FALSE())</f>
        <v>#N/A</v>
      </c>
      <c r="C890" s="64" t="n">
        <v>883</v>
      </c>
      <c r="D890" s="65" t="e">
        <f aca="false">VLOOKUP(A890,BD_ORDENES!A:BE,10,0)</f>
        <v>#N/A</v>
      </c>
      <c r="E890" s="66" t="e">
        <f aca="false">VLOOKUP(A890,BD_ORDENES!A:BG,4,FALSE())</f>
        <v>#N/A</v>
      </c>
      <c r="F890" s="66" t="e">
        <f aca="false">VLOOKUP(A890,BD_ORDENES!A:BE,56,FALSE())</f>
        <v>#N/A</v>
      </c>
      <c r="G890" s="67" t="e">
        <f aca="false">VLOOKUP(A890,BD_ORDENES!A:BE,13,FALSE())</f>
        <v>#N/A</v>
      </c>
      <c r="H890" s="68" t="e">
        <f aca="false">VLOOKUP(A890,BD_ORDENES!A:BE,17,FALSE())</f>
        <v>#N/A</v>
      </c>
      <c r="I890" s="68" t="e">
        <f aca="false">VLOOKUP(A890,BD_ORDENES!A:BE,18,FALSE())</f>
        <v>#N/A</v>
      </c>
      <c r="J890" s="68" t="e">
        <f aca="false">VLOOKUP(A890,BD_ORDENES!A:BE,19,FALSE())</f>
        <v>#N/A</v>
      </c>
      <c r="K890" s="68" t="e">
        <f aca="false">VLOOKUP(A890,BD_ORDENES!A:BE,20,FALSE())</f>
        <v>#N/A</v>
      </c>
      <c r="L890" s="68" t="e">
        <f aca="false">VLOOKUP(A890,BD_ORDENES!A:BE,21,FALSE())</f>
        <v>#N/A</v>
      </c>
      <c r="M890" s="69" t="e">
        <f aca="false">VLOOKUP(A890,BD_ORDENES!A:BE,14,FALSE())</f>
        <v>#N/A</v>
      </c>
      <c r="N890" s="68" t="e">
        <f aca="false">VLOOKUP(A890,BD_ORDENES!A:BE,15,FALSE())</f>
        <v>#N/A</v>
      </c>
      <c r="O890" s="68" t="e">
        <f aca="false">VLOOKUP(A890,BD_ORDENES!A:BE,33,FALSE())</f>
        <v>#N/A</v>
      </c>
      <c r="P890" s="68" t="e">
        <f aca="false">VLOOKUP(A890,BD_ORDENES!A:BE,23,FALSE())</f>
        <v>#N/A</v>
      </c>
      <c r="Q890" s="68" t="e">
        <f aca="false">VLOOKUP(A890,BD_ORDENES!A:BE,52,FALSE())</f>
        <v>#N/A</v>
      </c>
      <c r="R890" s="68" t="e">
        <f aca="false">VLOOKUP(A890,BD_ORDENES!A:BE,25,FALSE())</f>
        <v>#N/A</v>
      </c>
      <c r="S890" s="68" t="e">
        <f aca="false">VLOOKUP(A890,BD_ORDENES!A:BE,22,FALSE())</f>
        <v>#N/A</v>
      </c>
      <c r="T890" s="65" t="e">
        <f aca="false">VLOOKUP(A890,BD_ORDENES!A:BE,55,FALSE())</f>
        <v>#N/A</v>
      </c>
      <c r="U890" s="68" t="e">
        <f aca="false">VLOOKUP(A890,BD_ORDENES!A:BE,57,FALSE())</f>
        <v>#N/A</v>
      </c>
      <c r="V890" s="70"/>
    </row>
    <row r="891" customFormat="false" ht="29.1" hidden="false" customHeight="false" outlineLevel="0" collapsed="false">
      <c r="A891" s="62" t="n">
        <f aca="false">A890+1</f>
        <v>884</v>
      </c>
      <c r="B891" s="63" t="e">
        <f aca="false">VLOOKUP(A891,BD_ORDENES!A:BG,12,FALSE())</f>
        <v>#N/A</v>
      </c>
      <c r="C891" s="64" t="n">
        <v>884</v>
      </c>
      <c r="D891" s="65" t="e">
        <f aca="false">VLOOKUP(A891,BD_ORDENES!A:BE,10,0)</f>
        <v>#N/A</v>
      </c>
      <c r="E891" s="66" t="e">
        <f aca="false">VLOOKUP(A891,BD_ORDENES!A:BG,4,FALSE())</f>
        <v>#N/A</v>
      </c>
      <c r="F891" s="66" t="e">
        <f aca="false">VLOOKUP(A891,BD_ORDENES!A:BE,56,FALSE())</f>
        <v>#N/A</v>
      </c>
      <c r="G891" s="67" t="e">
        <f aca="false">VLOOKUP(A891,BD_ORDENES!A:BE,13,FALSE())</f>
        <v>#N/A</v>
      </c>
      <c r="H891" s="68" t="e">
        <f aca="false">VLOOKUP(A891,BD_ORDENES!A:BE,17,FALSE())</f>
        <v>#N/A</v>
      </c>
      <c r="I891" s="68" t="e">
        <f aca="false">VLOOKUP(A891,BD_ORDENES!A:BE,18,FALSE())</f>
        <v>#N/A</v>
      </c>
      <c r="J891" s="68" t="e">
        <f aca="false">VLOOKUP(A891,BD_ORDENES!A:BE,19,FALSE())</f>
        <v>#N/A</v>
      </c>
      <c r="K891" s="68" t="e">
        <f aca="false">VLOOKUP(A891,BD_ORDENES!A:BE,20,FALSE())</f>
        <v>#N/A</v>
      </c>
      <c r="L891" s="68" t="e">
        <f aca="false">VLOOKUP(A891,BD_ORDENES!A:BE,21,FALSE())</f>
        <v>#N/A</v>
      </c>
      <c r="M891" s="69" t="e">
        <f aca="false">VLOOKUP(A891,BD_ORDENES!A:BE,14,FALSE())</f>
        <v>#N/A</v>
      </c>
      <c r="N891" s="68" t="e">
        <f aca="false">VLOOKUP(A891,BD_ORDENES!A:BE,15,FALSE())</f>
        <v>#N/A</v>
      </c>
      <c r="O891" s="68" t="e">
        <f aca="false">VLOOKUP(A891,BD_ORDENES!A:BE,33,FALSE())</f>
        <v>#N/A</v>
      </c>
      <c r="P891" s="68" t="e">
        <f aca="false">VLOOKUP(A891,BD_ORDENES!A:BE,23,FALSE())</f>
        <v>#N/A</v>
      </c>
      <c r="Q891" s="68" t="e">
        <f aca="false">VLOOKUP(A891,BD_ORDENES!A:BE,52,FALSE())</f>
        <v>#N/A</v>
      </c>
      <c r="R891" s="68" t="e">
        <f aca="false">VLOOKUP(A891,BD_ORDENES!A:BE,25,FALSE())</f>
        <v>#N/A</v>
      </c>
      <c r="S891" s="68" t="e">
        <f aca="false">VLOOKUP(A891,BD_ORDENES!A:BE,22,FALSE())</f>
        <v>#N/A</v>
      </c>
      <c r="T891" s="65" t="e">
        <f aca="false">VLOOKUP(A891,BD_ORDENES!A:BE,55,FALSE())</f>
        <v>#N/A</v>
      </c>
      <c r="U891" s="68" t="e">
        <f aca="false">VLOOKUP(A891,BD_ORDENES!A:BE,57,FALSE())</f>
        <v>#N/A</v>
      </c>
      <c r="V891" s="70"/>
    </row>
    <row r="892" customFormat="false" ht="29.1" hidden="false" customHeight="false" outlineLevel="0" collapsed="false">
      <c r="A892" s="62" t="n">
        <f aca="false">A891+1</f>
        <v>885</v>
      </c>
      <c r="B892" s="63" t="e">
        <f aca="false">VLOOKUP(A892,BD_ORDENES!A:BG,12,FALSE())</f>
        <v>#N/A</v>
      </c>
      <c r="C892" s="64" t="n">
        <v>885</v>
      </c>
      <c r="D892" s="65" t="e">
        <f aca="false">VLOOKUP(A892,BD_ORDENES!A:BE,10,0)</f>
        <v>#N/A</v>
      </c>
      <c r="E892" s="66" t="e">
        <f aca="false">VLOOKUP(A892,BD_ORDENES!A:BG,4,FALSE())</f>
        <v>#N/A</v>
      </c>
      <c r="F892" s="66" t="e">
        <f aca="false">VLOOKUP(A892,BD_ORDENES!A:BE,56,FALSE())</f>
        <v>#N/A</v>
      </c>
      <c r="G892" s="67" t="e">
        <f aca="false">VLOOKUP(A892,BD_ORDENES!A:BE,13,FALSE())</f>
        <v>#N/A</v>
      </c>
      <c r="H892" s="68" t="e">
        <f aca="false">VLOOKUP(A892,BD_ORDENES!A:BE,17,FALSE())</f>
        <v>#N/A</v>
      </c>
      <c r="I892" s="68" t="e">
        <f aca="false">VLOOKUP(A892,BD_ORDENES!A:BE,18,FALSE())</f>
        <v>#N/A</v>
      </c>
      <c r="J892" s="68" t="e">
        <f aca="false">VLOOKUP(A892,BD_ORDENES!A:BE,19,FALSE())</f>
        <v>#N/A</v>
      </c>
      <c r="K892" s="68" t="e">
        <f aca="false">VLOOKUP(A892,BD_ORDENES!A:BE,20,FALSE())</f>
        <v>#N/A</v>
      </c>
      <c r="L892" s="68" t="e">
        <f aca="false">VLOOKUP(A892,BD_ORDENES!A:BE,21,FALSE())</f>
        <v>#N/A</v>
      </c>
      <c r="M892" s="69" t="e">
        <f aca="false">VLOOKUP(A892,BD_ORDENES!A:BE,14,FALSE())</f>
        <v>#N/A</v>
      </c>
      <c r="N892" s="68" t="e">
        <f aca="false">VLOOKUP(A892,BD_ORDENES!A:BE,15,FALSE())</f>
        <v>#N/A</v>
      </c>
      <c r="O892" s="68" t="e">
        <f aca="false">VLOOKUP(A892,BD_ORDENES!A:BE,33,FALSE())</f>
        <v>#N/A</v>
      </c>
      <c r="P892" s="68" t="e">
        <f aca="false">VLOOKUP(A892,BD_ORDENES!A:BE,23,FALSE())</f>
        <v>#N/A</v>
      </c>
      <c r="Q892" s="68" t="e">
        <f aca="false">VLOOKUP(A892,BD_ORDENES!A:BE,52,FALSE())</f>
        <v>#N/A</v>
      </c>
      <c r="R892" s="68" t="e">
        <f aca="false">VLOOKUP(A892,BD_ORDENES!A:BE,25,FALSE())</f>
        <v>#N/A</v>
      </c>
      <c r="S892" s="68" t="e">
        <f aca="false">VLOOKUP(A892,BD_ORDENES!A:BE,22,FALSE())</f>
        <v>#N/A</v>
      </c>
      <c r="T892" s="65" t="e">
        <f aca="false">VLOOKUP(A892,BD_ORDENES!A:BE,55,FALSE())</f>
        <v>#N/A</v>
      </c>
      <c r="U892" s="68" t="e">
        <f aca="false">VLOOKUP(A892,BD_ORDENES!A:BE,57,FALSE())</f>
        <v>#N/A</v>
      </c>
      <c r="V892" s="70"/>
    </row>
    <row r="893" customFormat="false" ht="29.1" hidden="false" customHeight="false" outlineLevel="0" collapsed="false">
      <c r="A893" s="62" t="n">
        <f aca="false">A892+1</f>
        <v>886</v>
      </c>
      <c r="B893" s="63" t="e">
        <f aca="false">VLOOKUP(A893,BD_ORDENES!A:BG,12,FALSE())</f>
        <v>#N/A</v>
      </c>
      <c r="C893" s="64" t="n">
        <v>886</v>
      </c>
      <c r="D893" s="65" t="e">
        <f aca="false">VLOOKUP(A893,BD_ORDENES!A:BE,10,0)</f>
        <v>#N/A</v>
      </c>
      <c r="E893" s="66" t="e">
        <f aca="false">VLOOKUP(A893,BD_ORDENES!A:BG,4,FALSE())</f>
        <v>#N/A</v>
      </c>
      <c r="F893" s="66" t="e">
        <f aca="false">VLOOKUP(A893,BD_ORDENES!A:BE,56,FALSE())</f>
        <v>#N/A</v>
      </c>
      <c r="G893" s="67" t="e">
        <f aca="false">VLOOKUP(A893,BD_ORDENES!A:BE,13,FALSE())</f>
        <v>#N/A</v>
      </c>
      <c r="H893" s="68" t="e">
        <f aca="false">VLOOKUP(A893,BD_ORDENES!A:BE,17,FALSE())</f>
        <v>#N/A</v>
      </c>
      <c r="I893" s="68" t="e">
        <f aca="false">VLOOKUP(A893,BD_ORDENES!A:BE,18,FALSE())</f>
        <v>#N/A</v>
      </c>
      <c r="J893" s="68" t="e">
        <f aca="false">VLOOKUP(A893,BD_ORDENES!A:BE,19,FALSE())</f>
        <v>#N/A</v>
      </c>
      <c r="K893" s="68" t="e">
        <f aca="false">VLOOKUP(A893,BD_ORDENES!A:BE,20,FALSE())</f>
        <v>#N/A</v>
      </c>
      <c r="L893" s="68" t="e">
        <f aca="false">VLOOKUP(A893,BD_ORDENES!A:BE,21,FALSE())</f>
        <v>#N/A</v>
      </c>
      <c r="M893" s="69" t="e">
        <f aca="false">VLOOKUP(A893,BD_ORDENES!A:BE,14,FALSE())</f>
        <v>#N/A</v>
      </c>
      <c r="N893" s="68" t="e">
        <f aca="false">VLOOKUP(A893,BD_ORDENES!A:BE,15,FALSE())</f>
        <v>#N/A</v>
      </c>
      <c r="O893" s="68" t="e">
        <f aca="false">VLOOKUP(A893,BD_ORDENES!A:BE,33,FALSE())</f>
        <v>#N/A</v>
      </c>
      <c r="P893" s="68" t="e">
        <f aca="false">VLOOKUP(A893,BD_ORDENES!A:BE,23,FALSE())</f>
        <v>#N/A</v>
      </c>
      <c r="Q893" s="68" t="e">
        <f aca="false">VLOOKUP(A893,BD_ORDENES!A:BE,52,FALSE())</f>
        <v>#N/A</v>
      </c>
      <c r="R893" s="68" t="e">
        <f aca="false">VLOOKUP(A893,BD_ORDENES!A:BE,25,FALSE())</f>
        <v>#N/A</v>
      </c>
      <c r="S893" s="68" t="e">
        <f aca="false">VLOOKUP(A893,BD_ORDENES!A:BE,22,FALSE())</f>
        <v>#N/A</v>
      </c>
      <c r="T893" s="65" t="e">
        <f aca="false">VLOOKUP(A893,BD_ORDENES!A:BE,55,FALSE())</f>
        <v>#N/A</v>
      </c>
      <c r="U893" s="68" t="e">
        <f aca="false">VLOOKUP(A893,BD_ORDENES!A:BE,57,FALSE())</f>
        <v>#N/A</v>
      </c>
      <c r="V893" s="70"/>
    </row>
    <row r="894" customFormat="false" ht="29.1" hidden="false" customHeight="false" outlineLevel="0" collapsed="false">
      <c r="A894" s="62" t="n">
        <f aca="false">A893+1</f>
        <v>887</v>
      </c>
      <c r="B894" s="63" t="e">
        <f aca="false">VLOOKUP(A894,BD_ORDENES!A:BG,12,FALSE())</f>
        <v>#N/A</v>
      </c>
      <c r="C894" s="64" t="n">
        <v>887</v>
      </c>
      <c r="D894" s="65" t="e">
        <f aca="false">VLOOKUP(A894,BD_ORDENES!A:BE,10,0)</f>
        <v>#N/A</v>
      </c>
      <c r="E894" s="66" t="e">
        <f aca="false">VLOOKUP(A894,BD_ORDENES!A:BG,4,FALSE())</f>
        <v>#N/A</v>
      </c>
      <c r="F894" s="66" t="e">
        <f aca="false">VLOOKUP(A894,BD_ORDENES!A:BE,56,FALSE())</f>
        <v>#N/A</v>
      </c>
      <c r="G894" s="67" t="e">
        <f aca="false">VLOOKUP(A894,BD_ORDENES!A:BE,13,FALSE())</f>
        <v>#N/A</v>
      </c>
      <c r="H894" s="68" t="e">
        <f aca="false">VLOOKUP(A894,BD_ORDENES!A:BE,17,FALSE())</f>
        <v>#N/A</v>
      </c>
      <c r="I894" s="68" t="e">
        <f aca="false">VLOOKUP(A894,BD_ORDENES!A:BE,18,FALSE())</f>
        <v>#N/A</v>
      </c>
      <c r="J894" s="68" t="e">
        <f aca="false">VLOOKUP(A894,BD_ORDENES!A:BE,19,FALSE())</f>
        <v>#N/A</v>
      </c>
      <c r="K894" s="68" t="e">
        <f aca="false">VLOOKUP(A894,BD_ORDENES!A:BE,20,FALSE())</f>
        <v>#N/A</v>
      </c>
      <c r="L894" s="68" t="e">
        <f aca="false">VLOOKUP(A894,BD_ORDENES!A:BE,21,FALSE())</f>
        <v>#N/A</v>
      </c>
      <c r="M894" s="69" t="e">
        <f aca="false">VLOOKUP(A894,BD_ORDENES!A:BE,14,FALSE())</f>
        <v>#N/A</v>
      </c>
      <c r="N894" s="68" t="e">
        <f aca="false">VLOOKUP(A894,BD_ORDENES!A:BE,15,FALSE())</f>
        <v>#N/A</v>
      </c>
      <c r="O894" s="68" t="e">
        <f aca="false">VLOOKUP(A894,BD_ORDENES!A:BE,33,FALSE())</f>
        <v>#N/A</v>
      </c>
      <c r="P894" s="68" t="e">
        <f aca="false">VLOOKUP(A894,BD_ORDENES!A:BE,23,FALSE())</f>
        <v>#N/A</v>
      </c>
      <c r="Q894" s="68" t="e">
        <f aca="false">VLOOKUP(A894,BD_ORDENES!A:BE,52,FALSE())</f>
        <v>#N/A</v>
      </c>
      <c r="R894" s="68" t="e">
        <f aca="false">VLOOKUP(A894,BD_ORDENES!A:BE,25,FALSE())</f>
        <v>#N/A</v>
      </c>
      <c r="S894" s="68" t="e">
        <f aca="false">VLOOKUP(A894,BD_ORDENES!A:BE,22,FALSE())</f>
        <v>#N/A</v>
      </c>
      <c r="T894" s="65" t="e">
        <f aca="false">VLOOKUP(A894,BD_ORDENES!A:BE,55,FALSE())</f>
        <v>#N/A</v>
      </c>
      <c r="U894" s="68" t="e">
        <f aca="false">VLOOKUP(A894,BD_ORDENES!A:BE,57,FALSE())</f>
        <v>#N/A</v>
      </c>
      <c r="V894" s="70"/>
    </row>
    <row r="895" customFormat="false" ht="29.1" hidden="false" customHeight="false" outlineLevel="0" collapsed="false">
      <c r="A895" s="62" t="n">
        <f aca="false">A894+1</f>
        <v>888</v>
      </c>
      <c r="B895" s="63" t="e">
        <f aca="false">VLOOKUP(A895,BD_ORDENES!A:BG,12,FALSE())</f>
        <v>#N/A</v>
      </c>
      <c r="C895" s="64" t="n">
        <v>888</v>
      </c>
      <c r="D895" s="65" t="e">
        <f aca="false">VLOOKUP(A895,BD_ORDENES!A:BE,10,0)</f>
        <v>#N/A</v>
      </c>
      <c r="E895" s="66" t="e">
        <f aca="false">VLOOKUP(A895,BD_ORDENES!A:BG,4,FALSE())</f>
        <v>#N/A</v>
      </c>
      <c r="F895" s="66" t="e">
        <f aca="false">VLOOKUP(A895,BD_ORDENES!A:BE,56,FALSE())</f>
        <v>#N/A</v>
      </c>
      <c r="G895" s="67" t="e">
        <f aca="false">VLOOKUP(A895,BD_ORDENES!A:BE,13,FALSE())</f>
        <v>#N/A</v>
      </c>
      <c r="H895" s="68" t="e">
        <f aca="false">VLOOKUP(A895,BD_ORDENES!A:BE,17,FALSE())</f>
        <v>#N/A</v>
      </c>
      <c r="I895" s="68" t="e">
        <f aca="false">VLOOKUP(A895,BD_ORDENES!A:BE,18,FALSE())</f>
        <v>#N/A</v>
      </c>
      <c r="J895" s="68" t="e">
        <f aca="false">VLOOKUP(A895,BD_ORDENES!A:BE,19,FALSE())</f>
        <v>#N/A</v>
      </c>
      <c r="K895" s="68" t="e">
        <f aca="false">VLOOKUP(A895,BD_ORDENES!A:BE,20,FALSE())</f>
        <v>#N/A</v>
      </c>
      <c r="L895" s="68" t="e">
        <f aca="false">VLOOKUP(A895,BD_ORDENES!A:BE,21,FALSE())</f>
        <v>#N/A</v>
      </c>
      <c r="M895" s="69" t="e">
        <f aca="false">VLOOKUP(A895,BD_ORDENES!A:BE,14,FALSE())</f>
        <v>#N/A</v>
      </c>
      <c r="N895" s="68" t="e">
        <f aca="false">VLOOKUP(A895,BD_ORDENES!A:BE,15,FALSE())</f>
        <v>#N/A</v>
      </c>
      <c r="O895" s="68" t="e">
        <f aca="false">VLOOKUP(A895,BD_ORDENES!A:BE,33,FALSE())</f>
        <v>#N/A</v>
      </c>
      <c r="P895" s="68" t="e">
        <f aca="false">VLOOKUP(A895,BD_ORDENES!A:BE,23,FALSE())</f>
        <v>#N/A</v>
      </c>
      <c r="Q895" s="68" t="e">
        <f aca="false">VLOOKUP(A895,BD_ORDENES!A:BE,52,FALSE())</f>
        <v>#N/A</v>
      </c>
      <c r="R895" s="68" t="e">
        <f aca="false">VLOOKUP(A895,BD_ORDENES!A:BE,25,FALSE())</f>
        <v>#N/A</v>
      </c>
      <c r="S895" s="68" t="e">
        <f aca="false">VLOOKUP(A895,BD_ORDENES!A:BE,22,FALSE())</f>
        <v>#N/A</v>
      </c>
      <c r="T895" s="65" t="e">
        <f aca="false">VLOOKUP(A895,BD_ORDENES!A:BE,55,FALSE())</f>
        <v>#N/A</v>
      </c>
      <c r="U895" s="68" t="e">
        <f aca="false">VLOOKUP(A895,BD_ORDENES!A:BE,57,FALSE())</f>
        <v>#N/A</v>
      </c>
      <c r="V895" s="70"/>
    </row>
    <row r="896" customFormat="false" ht="29.1" hidden="false" customHeight="false" outlineLevel="0" collapsed="false">
      <c r="A896" s="62" t="n">
        <f aca="false">A895+1</f>
        <v>889</v>
      </c>
      <c r="B896" s="63" t="e">
        <f aca="false">VLOOKUP(A896,BD_ORDENES!A:BG,12,FALSE())</f>
        <v>#N/A</v>
      </c>
      <c r="C896" s="64" t="n">
        <v>889</v>
      </c>
      <c r="D896" s="65" t="e">
        <f aca="false">VLOOKUP(A896,BD_ORDENES!A:BE,10,0)</f>
        <v>#N/A</v>
      </c>
      <c r="E896" s="66" t="e">
        <f aca="false">VLOOKUP(A896,BD_ORDENES!A:BG,4,FALSE())</f>
        <v>#N/A</v>
      </c>
      <c r="F896" s="66" t="e">
        <f aca="false">VLOOKUP(A896,BD_ORDENES!A:BE,56,FALSE())</f>
        <v>#N/A</v>
      </c>
      <c r="G896" s="67" t="e">
        <f aca="false">VLOOKUP(A896,BD_ORDENES!A:BE,13,FALSE())</f>
        <v>#N/A</v>
      </c>
      <c r="H896" s="68" t="e">
        <f aca="false">VLOOKUP(A896,BD_ORDENES!A:BE,17,FALSE())</f>
        <v>#N/A</v>
      </c>
      <c r="I896" s="68" t="e">
        <f aca="false">VLOOKUP(A896,BD_ORDENES!A:BE,18,FALSE())</f>
        <v>#N/A</v>
      </c>
      <c r="J896" s="68" t="e">
        <f aca="false">VLOOKUP(A896,BD_ORDENES!A:BE,19,FALSE())</f>
        <v>#N/A</v>
      </c>
      <c r="K896" s="68" t="e">
        <f aca="false">VLOOKUP(A896,BD_ORDENES!A:BE,20,FALSE())</f>
        <v>#N/A</v>
      </c>
      <c r="L896" s="68" t="e">
        <f aca="false">VLOOKUP(A896,BD_ORDENES!A:BE,21,FALSE())</f>
        <v>#N/A</v>
      </c>
      <c r="M896" s="69" t="e">
        <f aca="false">VLOOKUP(A896,BD_ORDENES!A:BE,14,FALSE())</f>
        <v>#N/A</v>
      </c>
      <c r="N896" s="68" t="e">
        <f aca="false">VLOOKUP(A896,BD_ORDENES!A:BE,15,FALSE())</f>
        <v>#N/A</v>
      </c>
      <c r="O896" s="68" t="e">
        <f aca="false">VLOOKUP(A896,BD_ORDENES!A:BE,33,FALSE())</f>
        <v>#N/A</v>
      </c>
      <c r="P896" s="68" t="e">
        <f aca="false">VLOOKUP(A896,BD_ORDENES!A:BE,23,FALSE())</f>
        <v>#N/A</v>
      </c>
      <c r="Q896" s="68" t="e">
        <f aca="false">VLOOKUP(A896,BD_ORDENES!A:BE,52,FALSE())</f>
        <v>#N/A</v>
      </c>
      <c r="R896" s="68" t="e">
        <f aca="false">VLOOKUP(A896,BD_ORDENES!A:BE,25,FALSE())</f>
        <v>#N/A</v>
      </c>
      <c r="S896" s="68" t="e">
        <f aca="false">VLOOKUP(A896,BD_ORDENES!A:BE,22,FALSE())</f>
        <v>#N/A</v>
      </c>
      <c r="T896" s="65" t="e">
        <f aca="false">VLOOKUP(A896,BD_ORDENES!A:BE,55,FALSE())</f>
        <v>#N/A</v>
      </c>
      <c r="U896" s="68" t="e">
        <f aca="false">VLOOKUP(A896,BD_ORDENES!A:BE,57,FALSE())</f>
        <v>#N/A</v>
      </c>
      <c r="V896" s="70"/>
    </row>
    <row r="897" customFormat="false" ht="29.1" hidden="false" customHeight="false" outlineLevel="0" collapsed="false">
      <c r="A897" s="62" t="n">
        <f aca="false">A896+1</f>
        <v>890</v>
      </c>
      <c r="B897" s="63" t="e">
        <f aca="false">VLOOKUP(A897,BD_ORDENES!A:BG,12,FALSE())</f>
        <v>#N/A</v>
      </c>
      <c r="C897" s="64" t="n">
        <v>890</v>
      </c>
      <c r="D897" s="65" t="e">
        <f aca="false">VLOOKUP(A897,BD_ORDENES!A:BE,10,0)</f>
        <v>#N/A</v>
      </c>
      <c r="E897" s="66" t="e">
        <f aca="false">VLOOKUP(A897,BD_ORDENES!A:BG,4,FALSE())</f>
        <v>#N/A</v>
      </c>
      <c r="F897" s="66" t="e">
        <f aca="false">VLOOKUP(A897,BD_ORDENES!A:BE,56,FALSE())</f>
        <v>#N/A</v>
      </c>
      <c r="G897" s="67" t="e">
        <f aca="false">VLOOKUP(A897,BD_ORDENES!A:BE,13,FALSE())</f>
        <v>#N/A</v>
      </c>
      <c r="H897" s="68" t="e">
        <f aca="false">VLOOKUP(A897,BD_ORDENES!A:BE,17,FALSE())</f>
        <v>#N/A</v>
      </c>
      <c r="I897" s="68" t="e">
        <f aca="false">VLOOKUP(A897,BD_ORDENES!A:BE,18,FALSE())</f>
        <v>#N/A</v>
      </c>
      <c r="J897" s="68" t="e">
        <f aca="false">VLOOKUP(A897,BD_ORDENES!A:BE,19,FALSE())</f>
        <v>#N/A</v>
      </c>
      <c r="K897" s="68" t="e">
        <f aca="false">VLOOKUP(A897,BD_ORDENES!A:BE,20,FALSE())</f>
        <v>#N/A</v>
      </c>
      <c r="L897" s="68" t="e">
        <f aca="false">VLOOKUP(A897,BD_ORDENES!A:BE,21,FALSE())</f>
        <v>#N/A</v>
      </c>
      <c r="M897" s="69" t="e">
        <f aca="false">VLOOKUP(A897,BD_ORDENES!A:BE,14,FALSE())</f>
        <v>#N/A</v>
      </c>
      <c r="N897" s="68" t="e">
        <f aca="false">VLOOKUP(A897,BD_ORDENES!A:BE,15,FALSE())</f>
        <v>#N/A</v>
      </c>
      <c r="O897" s="68" t="e">
        <f aca="false">VLOOKUP(A897,BD_ORDENES!A:BE,33,FALSE())</f>
        <v>#N/A</v>
      </c>
      <c r="P897" s="68" t="e">
        <f aca="false">VLOOKUP(A897,BD_ORDENES!A:BE,23,FALSE())</f>
        <v>#N/A</v>
      </c>
      <c r="Q897" s="68" t="e">
        <f aca="false">VLOOKUP(A897,BD_ORDENES!A:BE,52,FALSE())</f>
        <v>#N/A</v>
      </c>
      <c r="R897" s="68" t="e">
        <f aca="false">VLOOKUP(A897,BD_ORDENES!A:BE,25,FALSE())</f>
        <v>#N/A</v>
      </c>
      <c r="S897" s="68" t="e">
        <f aca="false">VLOOKUP(A897,BD_ORDENES!A:BE,22,FALSE())</f>
        <v>#N/A</v>
      </c>
      <c r="T897" s="65" t="e">
        <f aca="false">VLOOKUP(A897,BD_ORDENES!A:BE,55,FALSE())</f>
        <v>#N/A</v>
      </c>
      <c r="U897" s="68" t="e">
        <f aca="false">VLOOKUP(A897,BD_ORDENES!A:BE,57,FALSE())</f>
        <v>#N/A</v>
      </c>
      <c r="V897" s="70"/>
    </row>
    <row r="898" customFormat="false" ht="29.1" hidden="false" customHeight="false" outlineLevel="0" collapsed="false">
      <c r="A898" s="62" t="n">
        <f aca="false">A897+1</f>
        <v>891</v>
      </c>
      <c r="B898" s="63" t="e">
        <f aca="false">VLOOKUP(A898,BD_ORDENES!A:BG,12,FALSE())</f>
        <v>#N/A</v>
      </c>
      <c r="C898" s="64" t="n">
        <v>891</v>
      </c>
      <c r="D898" s="65" t="e">
        <f aca="false">VLOOKUP(A898,BD_ORDENES!A:BE,10,0)</f>
        <v>#N/A</v>
      </c>
      <c r="E898" s="66" t="e">
        <f aca="false">VLOOKUP(A898,BD_ORDENES!A:BG,4,FALSE())</f>
        <v>#N/A</v>
      </c>
      <c r="F898" s="66" t="e">
        <f aca="false">VLOOKUP(A898,BD_ORDENES!A:BE,56,FALSE())</f>
        <v>#N/A</v>
      </c>
      <c r="G898" s="67" t="e">
        <f aca="false">VLOOKUP(A898,BD_ORDENES!A:BE,13,FALSE())</f>
        <v>#N/A</v>
      </c>
      <c r="H898" s="68" t="e">
        <f aca="false">VLOOKUP(A898,BD_ORDENES!A:BE,17,FALSE())</f>
        <v>#N/A</v>
      </c>
      <c r="I898" s="68" t="e">
        <f aca="false">VLOOKUP(A898,BD_ORDENES!A:BE,18,FALSE())</f>
        <v>#N/A</v>
      </c>
      <c r="J898" s="68" t="e">
        <f aca="false">VLOOKUP(A898,BD_ORDENES!A:BE,19,FALSE())</f>
        <v>#N/A</v>
      </c>
      <c r="K898" s="68" t="e">
        <f aca="false">VLOOKUP(A898,BD_ORDENES!A:BE,20,FALSE())</f>
        <v>#N/A</v>
      </c>
      <c r="L898" s="68" t="e">
        <f aca="false">VLOOKUP(A898,BD_ORDENES!A:BE,21,FALSE())</f>
        <v>#N/A</v>
      </c>
      <c r="M898" s="69" t="e">
        <f aca="false">VLOOKUP(A898,BD_ORDENES!A:BE,14,FALSE())</f>
        <v>#N/A</v>
      </c>
      <c r="N898" s="68" t="e">
        <f aca="false">VLOOKUP(A898,BD_ORDENES!A:BE,15,FALSE())</f>
        <v>#N/A</v>
      </c>
      <c r="O898" s="68" t="e">
        <f aca="false">VLOOKUP(A898,BD_ORDENES!A:BE,33,FALSE())</f>
        <v>#N/A</v>
      </c>
      <c r="P898" s="68" t="e">
        <f aca="false">VLOOKUP(A898,BD_ORDENES!A:BE,23,FALSE())</f>
        <v>#N/A</v>
      </c>
      <c r="Q898" s="68" t="e">
        <f aca="false">VLOOKUP(A898,BD_ORDENES!A:BE,52,FALSE())</f>
        <v>#N/A</v>
      </c>
      <c r="R898" s="68" t="e">
        <f aca="false">VLOOKUP(A898,BD_ORDENES!A:BE,25,FALSE())</f>
        <v>#N/A</v>
      </c>
      <c r="S898" s="68" t="e">
        <f aca="false">VLOOKUP(A898,BD_ORDENES!A:BE,22,FALSE())</f>
        <v>#N/A</v>
      </c>
      <c r="T898" s="65" t="e">
        <f aca="false">VLOOKUP(A898,BD_ORDENES!A:BE,55,FALSE())</f>
        <v>#N/A</v>
      </c>
      <c r="U898" s="68" t="e">
        <f aca="false">VLOOKUP(A898,BD_ORDENES!A:BE,57,FALSE())</f>
        <v>#N/A</v>
      </c>
      <c r="V898" s="70"/>
    </row>
    <row r="899" customFormat="false" ht="29.1" hidden="false" customHeight="false" outlineLevel="0" collapsed="false">
      <c r="A899" s="62" t="n">
        <f aca="false">A898+1</f>
        <v>892</v>
      </c>
      <c r="B899" s="63" t="e">
        <f aca="false">VLOOKUP(A899,BD_ORDENES!A:BG,12,FALSE())</f>
        <v>#N/A</v>
      </c>
      <c r="C899" s="64" t="n">
        <v>892</v>
      </c>
      <c r="D899" s="65" t="e">
        <f aca="false">VLOOKUP(A899,BD_ORDENES!A:BE,10,0)</f>
        <v>#N/A</v>
      </c>
      <c r="E899" s="66" t="e">
        <f aca="false">VLOOKUP(A899,BD_ORDENES!A:BG,4,FALSE())</f>
        <v>#N/A</v>
      </c>
      <c r="F899" s="66" t="e">
        <f aca="false">VLOOKUP(A899,BD_ORDENES!A:BE,56,FALSE())</f>
        <v>#N/A</v>
      </c>
      <c r="G899" s="67" t="e">
        <f aca="false">VLOOKUP(A899,BD_ORDENES!A:BE,13,FALSE())</f>
        <v>#N/A</v>
      </c>
      <c r="H899" s="68" t="e">
        <f aca="false">VLOOKUP(A899,BD_ORDENES!A:BE,17,FALSE())</f>
        <v>#N/A</v>
      </c>
      <c r="I899" s="68" t="e">
        <f aca="false">VLOOKUP(A899,BD_ORDENES!A:BE,18,FALSE())</f>
        <v>#N/A</v>
      </c>
      <c r="J899" s="68" t="e">
        <f aca="false">VLOOKUP(A899,BD_ORDENES!A:BE,19,FALSE())</f>
        <v>#N/A</v>
      </c>
      <c r="K899" s="68" t="e">
        <f aca="false">VLOOKUP(A899,BD_ORDENES!A:BE,20,FALSE())</f>
        <v>#N/A</v>
      </c>
      <c r="L899" s="68" t="e">
        <f aca="false">VLOOKUP(A899,BD_ORDENES!A:BE,21,FALSE())</f>
        <v>#N/A</v>
      </c>
      <c r="M899" s="69" t="e">
        <f aca="false">VLOOKUP(A899,BD_ORDENES!A:BE,14,FALSE())</f>
        <v>#N/A</v>
      </c>
      <c r="N899" s="68" t="e">
        <f aca="false">VLOOKUP(A899,BD_ORDENES!A:BE,15,FALSE())</f>
        <v>#N/A</v>
      </c>
      <c r="O899" s="68" t="e">
        <f aca="false">VLOOKUP(A899,BD_ORDENES!A:BE,33,FALSE())</f>
        <v>#N/A</v>
      </c>
      <c r="P899" s="68" t="e">
        <f aca="false">VLOOKUP(A899,BD_ORDENES!A:BE,23,FALSE())</f>
        <v>#N/A</v>
      </c>
      <c r="Q899" s="68" t="e">
        <f aca="false">VLOOKUP(A899,BD_ORDENES!A:BE,52,FALSE())</f>
        <v>#N/A</v>
      </c>
      <c r="R899" s="68" t="e">
        <f aca="false">VLOOKUP(A899,BD_ORDENES!A:BE,25,FALSE())</f>
        <v>#N/A</v>
      </c>
      <c r="S899" s="68" t="e">
        <f aca="false">VLOOKUP(A899,BD_ORDENES!A:BE,22,FALSE())</f>
        <v>#N/A</v>
      </c>
      <c r="T899" s="65" t="e">
        <f aca="false">VLOOKUP(A899,BD_ORDENES!A:BE,55,FALSE())</f>
        <v>#N/A</v>
      </c>
      <c r="U899" s="68" t="e">
        <f aca="false">VLOOKUP(A899,BD_ORDENES!A:BE,57,FALSE())</f>
        <v>#N/A</v>
      </c>
      <c r="V899" s="70"/>
    </row>
    <row r="900" customFormat="false" ht="29.1" hidden="false" customHeight="false" outlineLevel="0" collapsed="false">
      <c r="A900" s="62" t="n">
        <f aca="false">A899+1</f>
        <v>893</v>
      </c>
      <c r="B900" s="63" t="e">
        <f aca="false">VLOOKUP(A900,BD_ORDENES!A:BG,12,FALSE())</f>
        <v>#N/A</v>
      </c>
      <c r="C900" s="64" t="n">
        <v>893</v>
      </c>
      <c r="D900" s="65" t="e">
        <f aca="false">VLOOKUP(A900,BD_ORDENES!A:BE,10,0)</f>
        <v>#N/A</v>
      </c>
      <c r="E900" s="66" t="e">
        <f aca="false">VLOOKUP(A900,BD_ORDENES!A:BG,4,FALSE())</f>
        <v>#N/A</v>
      </c>
      <c r="F900" s="66" t="e">
        <f aca="false">VLOOKUP(A900,BD_ORDENES!A:BE,56,FALSE())</f>
        <v>#N/A</v>
      </c>
      <c r="G900" s="67" t="e">
        <f aca="false">VLOOKUP(A900,BD_ORDENES!A:BE,13,FALSE())</f>
        <v>#N/A</v>
      </c>
      <c r="H900" s="68" t="e">
        <f aca="false">VLOOKUP(A900,BD_ORDENES!A:BE,17,FALSE())</f>
        <v>#N/A</v>
      </c>
      <c r="I900" s="68" t="e">
        <f aca="false">VLOOKUP(A900,BD_ORDENES!A:BE,18,FALSE())</f>
        <v>#N/A</v>
      </c>
      <c r="J900" s="68" t="e">
        <f aca="false">VLOOKUP(A900,BD_ORDENES!A:BE,19,FALSE())</f>
        <v>#N/A</v>
      </c>
      <c r="K900" s="68" t="e">
        <f aca="false">VLOOKUP(A900,BD_ORDENES!A:BE,20,FALSE())</f>
        <v>#N/A</v>
      </c>
      <c r="L900" s="68" t="e">
        <f aca="false">VLOOKUP(A900,BD_ORDENES!A:BE,21,FALSE())</f>
        <v>#N/A</v>
      </c>
      <c r="M900" s="69" t="e">
        <f aca="false">VLOOKUP(A900,BD_ORDENES!A:BE,14,FALSE())</f>
        <v>#N/A</v>
      </c>
      <c r="N900" s="68" t="e">
        <f aca="false">VLOOKUP(A900,BD_ORDENES!A:BE,15,FALSE())</f>
        <v>#N/A</v>
      </c>
      <c r="O900" s="68" t="e">
        <f aca="false">VLOOKUP(A900,BD_ORDENES!A:BE,33,FALSE())</f>
        <v>#N/A</v>
      </c>
      <c r="P900" s="68" t="e">
        <f aca="false">VLOOKUP(A900,BD_ORDENES!A:BE,23,FALSE())</f>
        <v>#N/A</v>
      </c>
      <c r="Q900" s="68" t="e">
        <f aca="false">VLOOKUP(A900,BD_ORDENES!A:BE,52,FALSE())</f>
        <v>#N/A</v>
      </c>
      <c r="R900" s="68" t="e">
        <f aca="false">VLOOKUP(A900,BD_ORDENES!A:BE,25,FALSE())</f>
        <v>#N/A</v>
      </c>
      <c r="S900" s="68" t="e">
        <f aca="false">VLOOKUP(A900,BD_ORDENES!A:BE,22,FALSE())</f>
        <v>#N/A</v>
      </c>
      <c r="T900" s="65" t="e">
        <f aca="false">VLOOKUP(A900,BD_ORDENES!A:BE,55,FALSE())</f>
        <v>#N/A</v>
      </c>
      <c r="U900" s="68" t="e">
        <f aca="false">VLOOKUP(A900,BD_ORDENES!A:BE,57,FALSE())</f>
        <v>#N/A</v>
      </c>
      <c r="V900" s="70"/>
    </row>
    <row r="901" customFormat="false" ht="29.1" hidden="false" customHeight="false" outlineLevel="0" collapsed="false">
      <c r="A901" s="62" t="n">
        <f aca="false">A900+1</f>
        <v>894</v>
      </c>
      <c r="B901" s="63" t="e">
        <f aca="false">VLOOKUP(A901,BD_ORDENES!A:BG,12,FALSE())</f>
        <v>#N/A</v>
      </c>
      <c r="C901" s="64" t="n">
        <v>894</v>
      </c>
      <c r="D901" s="65" t="e">
        <f aca="false">VLOOKUP(A901,BD_ORDENES!A:BE,10,0)</f>
        <v>#N/A</v>
      </c>
      <c r="E901" s="66" t="e">
        <f aca="false">VLOOKUP(A901,BD_ORDENES!A:BG,4,FALSE())</f>
        <v>#N/A</v>
      </c>
      <c r="F901" s="66" t="e">
        <f aca="false">VLOOKUP(A901,BD_ORDENES!A:BE,56,FALSE())</f>
        <v>#N/A</v>
      </c>
      <c r="G901" s="67" t="e">
        <f aca="false">VLOOKUP(A901,BD_ORDENES!A:BE,13,FALSE())</f>
        <v>#N/A</v>
      </c>
      <c r="H901" s="68" t="e">
        <f aca="false">VLOOKUP(A901,BD_ORDENES!A:BE,17,FALSE())</f>
        <v>#N/A</v>
      </c>
      <c r="I901" s="68" t="e">
        <f aca="false">VLOOKUP(A901,BD_ORDENES!A:BE,18,FALSE())</f>
        <v>#N/A</v>
      </c>
      <c r="J901" s="68" t="e">
        <f aca="false">VLOOKUP(A901,BD_ORDENES!A:BE,19,FALSE())</f>
        <v>#N/A</v>
      </c>
      <c r="K901" s="68" t="e">
        <f aca="false">VLOOKUP(A901,BD_ORDENES!A:BE,20,FALSE())</f>
        <v>#N/A</v>
      </c>
      <c r="L901" s="68" t="e">
        <f aca="false">VLOOKUP(A901,BD_ORDENES!A:BE,21,FALSE())</f>
        <v>#N/A</v>
      </c>
      <c r="M901" s="69" t="e">
        <f aca="false">VLOOKUP(A901,BD_ORDENES!A:BE,14,FALSE())</f>
        <v>#N/A</v>
      </c>
      <c r="N901" s="68" t="e">
        <f aca="false">VLOOKUP(A901,BD_ORDENES!A:BE,15,FALSE())</f>
        <v>#N/A</v>
      </c>
      <c r="O901" s="68" t="e">
        <f aca="false">VLOOKUP(A901,BD_ORDENES!A:BE,33,FALSE())</f>
        <v>#N/A</v>
      </c>
      <c r="P901" s="68" t="e">
        <f aca="false">VLOOKUP(A901,BD_ORDENES!A:BE,23,FALSE())</f>
        <v>#N/A</v>
      </c>
      <c r="Q901" s="68" t="e">
        <f aca="false">VLOOKUP(A901,BD_ORDENES!A:BE,52,FALSE())</f>
        <v>#N/A</v>
      </c>
      <c r="R901" s="68" t="e">
        <f aca="false">VLOOKUP(A901,BD_ORDENES!A:BE,25,FALSE())</f>
        <v>#N/A</v>
      </c>
      <c r="S901" s="68" t="e">
        <f aca="false">VLOOKUP(A901,BD_ORDENES!A:BE,22,FALSE())</f>
        <v>#N/A</v>
      </c>
      <c r="T901" s="65" t="e">
        <f aca="false">VLOOKUP(A901,BD_ORDENES!A:BE,55,FALSE())</f>
        <v>#N/A</v>
      </c>
      <c r="U901" s="68" t="e">
        <f aca="false">VLOOKUP(A901,BD_ORDENES!A:BE,57,FALSE())</f>
        <v>#N/A</v>
      </c>
      <c r="V901" s="70"/>
    </row>
    <row r="902" customFormat="false" ht="29.1" hidden="false" customHeight="false" outlineLevel="0" collapsed="false">
      <c r="A902" s="62" t="n">
        <f aca="false">A901+1</f>
        <v>895</v>
      </c>
      <c r="B902" s="63" t="e">
        <f aca="false">VLOOKUP(A902,BD_ORDENES!A:BG,12,FALSE())</f>
        <v>#N/A</v>
      </c>
      <c r="C902" s="64" t="n">
        <v>895</v>
      </c>
      <c r="D902" s="65" t="e">
        <f aca="false">VLOOKUP(A902,BD_ORDENES!A:BE,10,0)</f>
        <v>#N/A</v>
      </c>
      <c r="E902" s="66" t="e">
        <f aca="false">VLOOKUP(A902,BD_ORDENES!A:BG,4,FALSE())</f>
        <v>#N/A</v>
      </c>
      <c r="F902" s="66" t="e">
        <f aca="false">VLOOKUP(A902,BD_ORDENES!A:BE,56,FALSE())</f>
        <v>#N/A</v>
      </c>
      <c r="G902" s="67" t="e">
        <f aca="false">VLOOKUP(A902,BD_ORDENES!A:BE,13,FALSE())</f>
        <v>#N/A</v>
      </c>
      <c r="H902" s="68" t="e">
        <f aca="false">VLOOKUP(A902,BD_ORDENES!A:BE,17,FALSE())</f>
        <v>#N/A</v>
      </c>
      <c r="I902" s="68" t="e">
        <f aca="false">VLOOKUP(A902,BD_ORDENES!A:BE,18,FALSE())</f>
        <v>#N/A</v>
      </c>
      <c r="J902" s="68" t="e">
        <f aca="false">VLOOKUP(A902,BD_ORDENES!A:BE,19,FALSE())</f>
        <v>#N/A</v>
      </c>
      <c r="K902" s="68" t="e">
        <f aca="false">VLOOKUP(A902,BD_ORDENES!A:BE,20,FALSE())</f>
        <v>#N/A</v>
      </c>
      <c r="L902" s="68" t="e">
        <f aca="false">VLOOKUP(A902,BD_ORDENES!A:BE,21,FALSE())</f>
        <v>#N/A</v>
      </c>
      <c r="M902" s="69" t="e">
        <f aca="false">VLOOKUP(A902,BD_ORDENES!A:BE,14,FALSE())</f>
        <v>#N/A</v>
      </c>
      <c r="N902" s="68" t="e">
        <f aca="false">VLOOKUP(A902,BD_ORDENES!A:BE,15,FALSE())</f>
        <v>#N/A</v>
      </c>
      <c r="O902" s="68" t="e">
        <f aca="false">VLOOKUP(A902,BD_ORDENES!A:BE,33,FALSE())</f>
        <v>#N/A</v>
      </c>
      <c r="P902" s="68" t="e">
        <f aca="false">VLOOKUP(A902,BD_ORDENES!A:BE,23,FALSE())</f>
        <v>#N/A</v>
      </c>
      <c r="Q902" s="68" t="e">
        <f aca="false">VLOOKUP(A902,BD_ORDENES!A:BE,52,FALSE())</f>
        <v>#N/A</v>
      </c>
      <c r="R902" s="68" t="e">
        <f aca="false">VLOOKUP(A902,BD_ORDENES!A:BE,25,FALSE())</f>
        <v>#N/A</v>
      </c>
      <c r="S902" s="68" t="e">
        <f aca="false">VLOOKUP(A902,BD_ORDENES!A:BE,22,FALSE())</f>
        <v>#N/A</v>
      </c>
      <c r="T902" s="65" t="e">
        <f aca="false">VLOOKUP(A902,BD_ORDENES!A:BE,55,FALSE())</f>
        <v>#N/A</v>
      </c>
      <c r="U902" s="68" t="e">
        <f aca="false">VLOOKUP(A902,BD_ORDENES!A:BE,57,FALSE())</f>
        <v>#N/A</v>
      </c>
      <c r="V902" s="70"/>
    </row>
    <row r="903" customFormat="false" ht="29.1" hidden="false" customHeight="false" outlineLevel="0" collapsed="false">
      <c r="A903" s="62" t="n">
        <f aca="false">A902+1</f>
        <v>896</v>
      </c>
      <c r="B903" s="63" t="e">
        <f aca="false">VLOOKUP(A903,BD_ORDENES!A:BG,12,FALSE())</f>
        <v>#N/A</v>
      </c>
      <c r="C903" s="64" t="n">
        <v>896</v>
      </c>
      <c r="D903" s="65" t="e">
        <f aca="false">VLOOKUP(A903,BD_ORDENES!A:BE,10,0)</f>
        <v>#N/A</v>
      </c>
      <c r="E903" s="66" t="e">
        <f aca="false">VLOOKUP(A903,BD_ORDENES!A:BG,4,FALSE())</f>
        <v>#N/A</v>
      </c>
      <c r="F903" s="66" t="e">
        <f aca="false">VLOOKUP(A903,BD_ORDENES!A:BE,56,FALSE())</f>
        <v>#N/A</v>
      </c>
      <c r="G903" s="67" t="e">
        <f aca="false">VLOOKUP(A903,BD_ORDENES!A:BE,13,FALSE())</f>
        <v>#N/A</v>
      </c>
      <c r="H903" s="68" t="e">
        <f aca="false">VLOOKUP(A903,BD_ORDENES!A:BE,17,FALSE())</f>
        <v>#N/A</v>
      </c>
      <c r="I903" s="68" t="e">
        <f aca="false">VLOOKUP(A903,BD_ORDENES!A:BE,18,FALSE())</f>
        <v>#N/A</v>
      </c>
      <c r="J903" s="68" t="e">
        <f aca="false">VLOOKUP(A903,BD_ORDENES!A:BE,19,FALSE())</f>
        <v>#N/A</v>
      </c>
      <c r="K903" s="68" t="e">
        <f aca="false">VLOOKUP(A903,BD_ORDENES!A:BE,20,FALSE())</f>
        <v>#N/A</v>
      </c>
      <c r="L903" s="68" t="e">
        <f aca="false">VLOOKUP(A903,BD_ORDENES!A:BE,21,FALSE())</f>
        <v>#N/A</v>
      </c>
      <c r="M903" s="69" t="e">
        <f aca="false">VLOOKUP(A903,BD_ORDENES!A:BE,14,FALSE())</f>
        <v>#N/A</v>
      </c>
      <c r="N903" s="68" t="e">
        <f aca="false">VLOOKUP(A903,BD_ORDENES!A:BE,15,FALSE())</f>
        <v>#N/A</v>
      </c>
      <c r="O903" s="68" t="e">
        <f aca="false">VLOOKUP(A903,BD_ORDENES!A:BE,33,FALSE())</f>
        <v>#N/A</v>
      </c>
      <c r="P903" s="68" t="e">
        <f aca="false">VLOOKUP(A903,BD_ORDENES!A:BE,23,FALSE())</f>
        <v>#N/A</v>
      </c>
      <c r="Q903" s="68" t="e">
        <f aca="false">VLOOKUP(A903,BD_ORDENES!A:BE,52,FALSE())</f>
        <v>#N/A</v>
      </c>
      <c r="R903" s="68" t="e">
        <f aca="false">VLOOKUP(A903,BD_ORDENES!A:BE,25,FALSE())</f>
        <v>#N/A</v>
      </c>
      <c r="S903" s="68" t="e">
        <f aca="false">VLOOKUP(A903,BD_ORDENES!A:BE,22,FALSE())</f>
        <v>#N/A</v>
      </c>
      <c r="T903" s="65" t="e">
        <f aca="false">VLOOKUP(A903,BD_ORDENES!A:BE,55,FALSE())</f>
        <v>#N/A</v>
      </c>
      <c r="U903" s="68" t="e">
        <f aca="false">VLOOKUP(A903,BD_ORDENES!A:BE,57,FALSE())</f>
        <v>#N/A</v>
      </c>
      <c r="V903" s="70"/>
    </row>
    <row r="904" customFormat="false" ht="29.1" hidden="false" customHeight="false" outlineLevel="0" collapsed="false">
      <c r="A904" s="62" t="n">
        <f aca="false">A903+1</f>
        <v>897</v>
      </c>
      <c r="B904" s="63" t="e">
        <f aca="false">VLOOKUP(A904,BD_ORDENES!A:BG,12,FALSE())</f>
        <v>#N/A</v>
      </c>
      <c r="C904" s="64" t="n">
        <v>897</v>
      </c>
      <c r="D904" s="65" t="e">
        <f aca="false">VLOOKUP(A904,BD_ORDENES!A:BE,10,0)</f>
        <v>#N/A</v>
      </c>
      <c r="E904" s="66" t="e">
        <f aca="false">VLOOKUP(A904,BD_ORDENES!A:BG,4,FALSE())</f>
        <v>#N/A</v>
      </c>
      <c r="F904" s="66" t="e">
        <f aca="false">VLOOKUP(A904,BD_ORDENES!A:BE,56,FALSE())</f>
        <v>#N/A</v>
      </c>
      <c r="G904" s="67" t="e">
        <f aca="false">VLOOKUP(A904,BD_ORDENES!A:BE,13,FALSE())</f>
        <v>#N/A</v>
      </c>
      <c r="H904" s="68" t="e">
        <f aca="false">VLOOKUP(A904,BD_ORDENES!A:BE,17,FALSE())</f>
        <v>#N/A</v>
      </c>
      <c r="I904" s="68" t="e">
        <f aca="false">VLOOKUP(A904,BD_ORDENES!A:BE,18,FALSE())</f>
        <v>#N/A</v>
      </c>
      <c r="J904" s="68" t="e">
        <f aca="false">VLOOKUP(A904,BD_ORDENES!A:BE,19,FALSE())</f>
        <v>#N/A</v>
      </c>
      <c r="K904" s="68" t="e">
        <f aca="false">VLOOKUP(A904,BD_ORDENES!A:BE,20,FALSE())</f>
        <v>#N/A</v>
      </c>
      <c r="L904" s="68" t="e">
        <f aca="false">VLOOKUP(A904,BD_ORDENES!A:BE,21,FALSE())</f>
        <v>#N/A</v>
      </c>
      <c r="M904" s="69" t="e">
        <f aca="false">VLOOKUP(A904,BD_ORDENES!A:BE,14,FALSE())</f>
        <v>#N/A</v>
      </c>
      <c r="N904" s="68" t="e">
        <f aca="false">VLOOKUP(A904,BD_ORDENES!A:BE,15,FALSE())</f>
        <v>#N/A</v>
      </c>
      <c r="O904" s="68" t="e">
        <f aca="false">VLOOKUP(A904,BD_ORDENES!A:BE,33,FALSE())</f>
        <v>#N/A</v>
      </c>
      <c r="P904" s="68" t="e">
        <f aca="false">VLOOKUP(A904,BD_ORDENES!A:BE,23,FALSE())</f>
        <v>#N/A</v>
      </c>
      <c r="Q904" s="68" t="e">
        <f aca="false">VLOOKUP(A904,BD_ORDENES!A:BE,52,FALSE())</f>
        <v>#N/A</v>
      </c>
      <c r="R904" s="68" t="e">
        <f aca="false">VLOOKUP(A904,BD_ORDENES!A:BE,25,FALSE())</f>
        <v>#N/A</v>
      </c>
      <c r="S904" s="68" t="e">
        <f aca="false">VLOOKUP(A904,BD_ORDENES!A:BE,22,FALSE())</f>
        <v>#N/A</v>
      </c>
      <c r="T904" s="65" t="e">
        <f aca="false">VLOOKUP(A904,BD_ORDENES!A:BE,55,FALSE())</f>
        <v>#N/A</v>
      </c>
      <c r="U904" s="68" t="e">
        <f aca="false">VLOOKUP(A904,BD_ORDENES!A:BE,57,FALSE())</f>
        <v>#N/A</v>
      </c>
      <c r="V904" s="70"/>
    </row>
    <row r="905" customFormat="false" ht="29.1" hidden="false" customHeight="false" outlineLevel="0" collapsed="false">
      <c r="A905" s="62" t="n">
        <f aca="false">A904+1</f>
        <v>898</v>
      </c>
      <c r="B905" s="63" t="e">
        <f aca="false">VLOOKUP(A905,BD_ORDENES!A:BG,12,FALSE())</f>
        <v>#N/A</v>
      </c>
      <c r="C905" s="64" t="n">
        <v>898</v>
      </c>
      <c r="D905" s="65" t="e">
        <f aca="false">VLOOKUP(A905,BD_ORDENES!A:BE,10,0)</f>
        <v>#N/A</v>
      </c>
      <c r="E905" s="66" t="e">
        <f aca="false">VLOOKUP(A905,BD_ORDENES!A:BG,4,FALSE())</f>
        <v>#N/A</v>
      </c>
      <c r="F905" s="66" t="e">
        <f aca="false">VLOOKUP(A905,BD_ORDENES!A:BE,56,FALSE())</f>
        <v>#N/A</v>
      </c>
      <c r="G905" s="67" t="e">
        <f aca="false">VLOOKUP(A905,BD_ORDENES!A:BE,13,FALSE())</f>
        <v>#N/A</v>
      </c>
      <c r="H905" s="68" t="e">
        <f aca="false">VLOOKUP(A905,BD_ORDENES!A:BE,17,FALSE())</f>
        <v>#N/A</v>
      </c>
      <c r="I905" s="68" t="e">
        <f aca="false">VLOOKUP(A905,BD_ORDENES!A:BE,18,FALSE())</f>
        <v>#N/A</v>
      </c>
      <c r="J905" s="68" t="e">
        <f aca="false">VLOOKUP(A905,BD_ORDENES!A:BE,19,FALSE())</f>
        <v>#N/A</v>
      </c>
      <c r="K905" s="68" t="e">
        <f aca="false">VLOOKUP(A905,BD_ORDENES!A:BE,20,FALSE())</f>
        <v>#N/A</v>
      </c>
      <c r="L905" s="68" t="e">
        <f aca="false">VLOOKUP(A905,BD_ORDENES!A:BE,21,FALSE())</f>
        <v>#N/A</v>
      </c>
      <c r="M905" s="69" t="e">
        <f aca="false">VLOOKUP(A905,BD_ORDENES!A:BE,14,FALSE())</f>
        <v>#N/A</v>
      </c>
      <c r="N905" s="68" t="e">
        <f aca="false">VLOOKUP(A905,BD_ORDENES!A:BE,15,FALSE())</f>
        <v>#N/A</v>
      </c>
      <c r="O905" s="68" t="e">
        <f aca="false">VLOOKUP(A905,BD_ORDENES!A:BE,33,FALSE())</f>
        <v>#N/A</v>
      </c>
      <c r="P905" s="68" t="e">
        <f aca="false">VLOOKUP(A905,BD_ORDENES!A:BE,23,FALSE())</f>
        <v>#N/A</v>
      </c>
      <c r="Q905" s="68" t="e">
        <f aca="false">VLOOKUP(A905,BD_ORDENES!A:BE,52,FALSE())</f>
        <v>#N/A</v>
      </c>
      <c r="R905" s="68" t="e">
        <f aca="false">VLOOKUP(A905,BD_ORDENES!A:BE,25,FALSE())</f>
        <v>#N/A</v>
      </c>
      <c r="S905" s="68" t="e">
        <f aca="false">VLOOKUP(A905,BD_ORDENES!A:BE,22,FALSE())</f>
        <v>#N/A</v>
      </c>
      <c r="T905" s="65" t="e">
        <f aca="false">VLOOKUP(A905,BD_ORDENES!A:BE,55,FALSE())</f>
        <v>#N/A</v>
      </c>
      <c r="U905" s="68" t="e">
        <f aca="false">VLOOKUP(A905,BD_ORDENES!A:BE,57,FALSE())</f>
        <v>#N/A</v>
      </c>
      <c r="V905" s="70"/>
    </row>
    <row r="906" customFormat="false" ht="29.1" hidden="false" customHeight="false" outlineLevel="0" collapsed="false">
      <c r="A906" s="62" t="n">
        <f aca="false">A905+1</f>
        <v>899</v>
      </c>
      <c r="B906" s="63" t="e">
        <f aca="false">VLOOKUP(A906,BD_ORDENES!A:BG,12,FALSE())</f>
        <v>#N/A</v>
      </c>
      <c r="C906" s="64" t="n">
        <v>899</v>
      </c>
      <c r="D906" s="65" t="e">
        <f aca="false">VLOOKUP(A906,BD_ORDENES!A:BE,10,0)</f>
        <v>#N/A</v>
      </c>
      <c r="E906" s="66" t="e">
        <f aca="false">VLOOKUP(A906,BD_ORDENES!A:BG,4,FALSE())</f>
        <v>#N/A</v>
      </c>
      <c r="F906" s="66" t="e">
        <f aca="false">VLOOKUP(A906,BD_ORDENES!A:BE,56,FALSE())</f>
        <v>#N/A</v>
      </c>
      <c r="G906" s="67" t="e">
        <f aca="false">VLOOKUP(A906,BD_ORDENES!A:BE,13,FALSE())</f>
        <v>#N/A</v>
      </c>
      <c r="H906" s="68" t="e">
        <f aca="false">VLOOKUP(A906,BD_ORDENES!A:BE,17,FALSE())</f>
        <v>#N/A</v>
      </c>
      <c r="I906" s="68" t="e">
        <f aca="false">VLOOKUP(A906,BD_ORDENES!A:BE,18,FALSE())</f>
        <v>#N/A</v>
      </c>
      <c r="J906" s="68" t="e">
        <f aca="false">VLOOKUP(A906,BD_ORDENES!A:BE,19,FALSE())</f>
        <v>#N/A</v>
      </c>
      <c r="K906" s="68" t="e">
        <f aca="false">VLOOKUP(A906,BD_ORDENES!A:BE,20,FALSE())</f>
        <v>#N/A</v>
      </c>
      <c r="L906" s="68" t="e">
        <f aca="false">VLOOKUP(A906,BD_ORDENES!A:BE,21,FALSE())</f>
        <v>#N/A</v>
      </c>
      <c r="M906" s="69" t="e">
        <f aca="false">VLOOKUP(A906,BD_ORDENES!A:BE,14,FALSE())</f>
        <v>#N/A</v>
      </c>
      <c r="N906" s="68" t="e">
        <f aca="false">VLOOKUP(A906,BD_ORDENES!A:BE,15,FALSE())</f>
        <v>#N/A</v>
      </c>
      <c r="O906" s="68" t="e">
        <f aca="false">VLOOKUP(A906,BD_ORDENES!A:BE,33,FALSE())</f>
        <v>#N/A</v>
      </c>
      <c r="P906" s="68" t="e">
        <f aca="false">VLOOKUP(A906,BD_ORDENES!A:BE,23,FALSE())</f>
        <v>#N/A</v>
      </c>
      <c r="Q906" s="68" t="e">
        <f aca="false">VLOOKUP(A906,BD_ORDENES!A:BE,52,FALSE())</f>
        <v>#N/A</v>
      </c>
      <c r="R906" s="68" t="e">
        <f aca="false">VLOOKUP(A906,BD_ORDENES!A:BE,25,FALSE())</f>
        <v>#N/A</v>
      </c>
      <c r="S906" s="68" t="e">
        <f aca="false">VLOOKUP(A906,BD_ORDENES!A:BE,22,FALSE())</f>
        <v>#N/A</v>
      </c>
      <c r="T906" s="65" t="e">
        <f aca="false">VLOOKUP(A906,BD_ORDENES!A:BE,55,FALSE())</f>
        <v>#N/A</v>
      </c>
      <c r="U906" s="68" t="e">
        <f aca="false">VLOOKUP(A906,BD_ORDENES!A:BE,57,FALSE())</f>
        <v>#N/A</v>
      </c>
      <c r="V906" s="70"/>
    </row>
    <row r="907" customFormat="false" ht="29.1" hidden="false" customHeight="false" outlineLevel="0" collapsed="false">
      <c r="A907" s="62" t="n">
        <f aca="false">A906+1</f>
        <v>900</v>
      </c>
      <c r="B907" s="63" t="e">
        <f aca="false">VLOOKUP(A907,BD_ORDENES!A:BG,12,FALSE())</f>
        <v>#N/A</v>
      </c>
      <c r="C907" s="64" t="n">
        <v>900</v>
      </c>
      <c r="D907" s="65" t="e">
        <f aca="false">VLOOKUP(A907,BD_ORDENES!A:BE,10,0)</f>
        <v>#N/A</v>
      </c>
      <c r="E907" s="66" t="e">
        <f aca="false">VLOOKUP(A907,BD_ORDENES!A:BG,4,FALSE())</f>
        <v>#N/A</v>
      </c>
      <c r="F907" s="66" t="e">
        <f aca="false">VLOOKUP(A907,BD_ORDENES!A:BE,56,FALSE())</f>
        <v>#N/A</v>
      </c>
      <c r="G907" s="67" t="e">
        <f aca="false">VLOOKUP(A907,BD_ORDENES!A:BE,13,FALSE())</f>
        <v>#N/A</v>
      </c>
      <c r="H907" s="68" t="e">
        <f aca="false">VLOOKUP(A907,BD_ORDENES!A:BE,17,FALSE())</f>
        <v>#N/A</v>
      </c>
      <c r="I907" s="68" t="e">
        <f aca="false">VLOOKUP(A907,BD_ORDENES!A:BE,18,FALSE())</f>
        <v>#N/A</v>
      </c>
      <c r="J907" s="68" t="e">
        <f aca="false">VLOOKUP(A907,BD_ORDENES!A:BE,19,FALSE())</f>
        <v>#N/A</v>
      </c>
      <c r="K907" s="68" t="e">
        <f aca="false">VLOOKUP(A907,BD_ORDENES!A:BE,20,FALSE())</f>
        <v>#N/A</v>
      </c>
      <c r="L907" s="68" t="e">
        <f aca="false">VLOOKUP(A907,BD_ORDENES!A:BE,21,FALSE())</f>
        <v>#N/A</v>
      </c>
      <c r="M907" s="69" t="e">
        <f aca="false">VLOOKUP(A907,BD_ORDENES!A:BE,14,FALSE())</f>
        <v>#N/A</v>
      </c>
      <c r="N907" s="68" t="e">
        <f aca="false">VLOOKUP(A907,BD_ORDENES!A:BE,15,FALSE())</f>
        <v>#N/A</v>
      </c>
      <c r="O907" s="68" t="e">
        <f aca="false">VLOOKUP(A907,BD_ORDENES!A:BE,33,FALSE())</f>
        <v>#N/A</v>
      </c>
      <c r="P907" s="68" t="e">
        <f aca="false">VLOOKUP(A907,BD_ORDENES!A:BE,23,FALSE())</f>
        <v>#N/A</v>
      </c>
      <c r="Q907" s="68" t="e">
        <f aca="false">VLOOKUP(A907,BD_ORDENES!A:BE,52,FALSE())</f>
        <v>#N/A</v>
      </c>
      <c r="R907" s="68" t="e">
        <f aca="false">VLOOKUP(A907,BD_ORDENES!A:BE,25,FALSE())</f>
        <v>#N/A</v>
      </c>
      <c r="S907" s="68" t="e">
        <f aca="false">VLOOKUP(A907,BD_ORDENES!A:BE,22,FALSE())</f>
        <v>#N/A</v>
      </c>
      <c r="T907" s="65" t="e">
        <f aca="false">VLOOKUP(A907,BD_ORDENES!A:BE,55,FALSE())</f>
        <v>#N/A</v>
      </c>
      <c r="U907" s="68" t="e">
        <f aca="false">VLOOKUP(A907,BD_ORDENES!A:BE,57,FALSE())</f>
        <v>#N/A</v>
      </c>
      <c r="V907" s="70"/>
    </row>
    <row r="908" customFormat="false" ht="29.1" hidden="false" customHeight="false" outlineLevel="0" collapsed="false">
      <c r="A908" s="62" t="n">
        <f aca="false">A907+1</f>
        <v>901</v>
      </c>
      <c r="B908" s="63" t="e">
        <f aca="false">VLOOKUP(A908,BD_ORDENES!A:BG,12,FALSE())</f>
        <v>#N/A</v>
      </c>
      <c r="C908" s="64" t="n">
        <v>901</v>
      </c>
      <c r="D908" s="65" t="e">
        <f aca="false">VLOOKUP(A908,BD_ORDENES!A:BE,10,0)</f>
        <v>#N/A</v>
      </c>
      <c r="E908" s="66" t="e">
        <f aca="false">VLOOKUP(A908,BD_ORDENES!A:BG,4,FALSE())</f>
        <v>#N/A</v>
      </c>
      <c r="F908" s="66" t="e">
        <f aca="false">VLOOKUP(A908,BD_ORDENES!A:BE,56,FALSE())</f>
        <v>#N/A</v>
      </c>
      <c r="G908" s="67" t="e">
        <f aca="false">VLOOKUP(A908,BD_ORDENES!A:BE,13,FALSE())</f>
        <v>#N/A</v>
      </c>
      <c r="H908" s="68" t="e">
        <f aca="false">VLOOKUP(A908,BD_ORDENES!A:BE,17,FALSE())</f>
        <v>#N/A</v>
      </c>
      <c r="I908" s="68" t="e">
        <f aca="false">VLOOKUP(A908,BD_ORDENES!A:BE,18,FALSE())</f>
        <v>#N/A</v>
      </c>
      <c r="J908" s="68" t="e">
        <f aca="false">VLOOKUP(A908,BD_ORDENES!A:BE,19,FALSE())</f>
        <v>#N/A</v>
      </c>
      <c r="K908" s="68" t="e">
        <f aca="false">VLOOKUP(A908,BD_ORDENES!A:BE,20,FALSE())</f>
        <v>#N/A</v>
      </c>
      <c r="L908" s="68" t="e">
        <f aca="false">VLOOKUP(A908,BD_ORDENES!A:BE,21,FALSE())</f>
        <v>#N/A</v>
      </c>
      <c r="M908" s="69" t="e">
        <f aca="false">VLOOKUP(A908,BD_ORDENES!A:BE,14,FALSE())</f>
        <v>#N/A</v>
      </c>
      <c r="N908" s="68" t="e">
        <f aca="false">VLOOKUP(A908,BD_ORDENES!A:BE,15,FALSE())</f>
        <v>#N/A</v>
      </c>
      <c r="O908" s="68" t="e">
        <f aca="false">VLOOKUP(A908,BD_ORDENES!A:BE,33,FALSE())</f>
        <v>#N/A</v>
      </c>
      <c r="P908" s="68" t="e">
        <f aca="false">VLOOKUP(A908,BD_ORDENES!A:BE,23,FALSE())</f>
        <v>#N/A</v>
      </c>
      <c r="Q908" s="68" t="e">
        <f aca="false">VLOOKUP(A908,BD_ORDENES!A:BE,52,FALSE())</f>
        <v>#N/A</v>
      </c>
      <c r="R908" s="68" t="e">
        <f aca="false">VLOOKUP(A908,BD_ORDENES!A:BE,25,FALSE())</f>
        <v>#N/A</v>
      </c>
      <c r="S908" s="68" t="e">
        <f aca="false">VLOOKUP(A908,BD_ORDENES!A:BE,22,FALSE())</f>
        <v>#N/A</v>
      </c>
      <c r="T908" s="65" t="e">
        <f aca="false">VLOOKUP(A908,BD_ORDENES!A:BE,55,FALSE())</f>
        <v>#N/A</v>
      </c>
      <c r="U908" s="68" t="e">
        <f aca="false">VLOOKUP(A908,BD_ORDENES!A:BE,57,FALSE())</f>
        <v>#N/A</v>
      </c>
      <c r="V908" s="70"/>
    </row>
    <row r="909" customFormat="false" ht="29.1" hidden="false" customHeight="false" outlineLevel="0" collapsed="false">
      <c r="A909" s="62" t="n">
        <f aca="false">A908+1</f>
        <v>902</v>
      </c>
      <c r="B909" s="63" t="e">
        <f aca="false">VLOOKUP(A909,BD_ORDENES!A:BG,12,FALSE())</f>
        <v>#N/A</v>
      </c>
      <c r="C909" s="64" t="n">
        <v>902</v>
      </c>
      <c r="D909" s="65" t="e">
        <f aca="false">VLOOKUP(A909,BD_ORDENES!A:BE,10,0)</f>
        <v>#N/A</v>
      </c>
      <c r="E909" s="66" t="e">
        <f aca="false">VLOOKUP(A909,BD_ORDENES!A:BG,4,FALSE())</f>
        <v>#N/A</v>
      </c>
      <c r="F909" s="66" t="e">
        <f aca="false">VLOOKUP(A909,BD_ORDENES!A:BE,56,FALSE())</f>
        <v>#N/A</v>
      </c>
      <c r="G909" s="67" t="e">
        <f aca="false">VLOOKUP(A909,BD_ORDENES!A:BE,13,FALSE())</f>
        <v>#N/A</v>
      </c>
      <c r="H909" s="68" t="e">
        <f aca="false">VLOOKUP(A909,BD_ORDENES!A:BE,17,FALSE())</f>
        <v>#N/A</v>
      </c>
      <c r="I909" s="68" t="e">
        <f aca="false">VLOOKUP(A909,BD_ORDENES!A:BE,18,FALSE())</f>
        <v>#N/A</v>
      </c>
      <c r="J909" s="68" t="e">
        <f aca="false">VLOOKUP(A909,BD_ORDENES!A:BE,19,FALSE())</f>
        <v>#N/A</v>
      </c>
      <c r="K909" s="68" t="e">
        <f aca="false">VLOOKUP(A909,BD_ORDENES!A:BE,20,FALSE())</f>
        <v>#N/A</v>
      </c>
      <c r="L909" s="68" t="e">
        <f aca="false">VLOOKUP(A909,BD_ORDENES!A:BE,21,FALSE())</f>
        <v>#N/A</v>
      </c>
      <c r="M909" s="69" t="e">
        <f aca="false">VLOOKUP(A909,BD_ORDENES!A:BE,14,FALSE())</f>
        <v>#N/A</v>
      </c>
      <c r="N909" s="68" t="e">
        <f aca="false">VLOOKUP(A909,BD_ORDENES!A:BE,15,FALSE())</f>
        <v>#N/A</v>
      </c>
      <c r="O909" s="68" t="e">
        <f aca="false">VLOOKUP(A909,BD_ORDENES!A:BE,33,FALSE())</f>
        <v>#N/A</v>
      </c>
      <c r="P909" s="68" t="e">
        <f aca="false">VLOOKUP(A909,BD_ORDENES!A:BE,23,FALSE())</f>
        <v>#N/A</v>
      </c>
      <c r="Q909" s="68" t="e">
        <f aca="false">VLOOKUP(A909,BD_ORDENES!A:BE,52,FALSE())</f>
        <v>#N/A</v>
      </c>
      <c r="R909" s="68" t="e">
        <f aca="false">VLOOKUP(A909,BD_ORDENES!A:BE,25,FALSE())</f>
        <v>#N/A</v>
      </c>
      <c r="S909" s="68" t="e">
        <f aca="false">VLOOKUP(A909,BD_ORDENES!A:BE,22,FALSE())</f>
        <v>#N/A</v>
      </c>
      <c r="T909" s="65" t="e">
        <f aca="false">VLOOKUP(A909,BD_ORDENES!A:BE,55,FALSE())</f>
        <v>#N/A</v>
      </c>
      <c r="U909" s="68" t="e">
        <f aca="false">VLOOKUP(A909,BD_ORDENES!A:BE,57,FALSE())</f>
        <v>#N/A</v>
      </c>
      <c r="V909" s="70"/>
    </row>
    <row r="910" customFormat="false" ht="29.1" hidden="false" customHeight="false" outlineLevel="0" collapsed="false">
      <c r="A910" s="62" t="n">
        <f aca="false">A909+1</f>
        <v>903</v>
      </c>
      <c r="B910" s="63" t="e">
        <f aca="false">VLOOKUP(A910,BD_ORDENES!A:BG,12,FALSE())</f>
        <v>#N/A</v>
      </c>
      <c r="C910" s="64" t="n">
        <v>903</v>
      </c>
      <c r="D910" s="65" t="e">
        <f aca="false">VLOOKUP(A910,BD_ORDENES!A:BE,10,0)</f>
        <v>#N/A</v>
      </c>
      <c r="E910" s="66" t="e">
        <f aca="false">VLOOKUP(A910,BD_ORDENES!A:BG,4,FALSE())</f>
        <v>#N/A</v>
      </c>
      <c r="F910" s="66" t="e">
        <f aca="false">VLOOKUP(A910,BD_ORDENES!A:BE,56,FALSE())</f>
        <v>#N/A</v>
      </c>
      <c r="G910" s="67" t="e">
        <f aca="false">VLOOKUP(A910,BD_ORDENES!A:BE,13,FALSE())</f>
        <v>#N/A</v>
      </c>
      <c r="H910" s="68" t="e">
        <f aca="false">VLOOKUP(A910,BD_ORDENES!A:BE,17,FALSE())</f>
        <v>#N/A</v>
      </c>
      <c r="I910" s="68" t="e">
        <f aca="false">VLOOKUP(A910,BD_ORDENES!A:BE,18,FALSE())</f>
        <v>#N/A</v>
      </c>
      <c r="J910" s="68" t="e">
        <f aca="false">VLOOKUP(A910,BD_ORDENES!A:BE,19,FALSE())</f>
        <v>#N/A</v>
      </c>
      <c r="K910" s="68" t="e">
        <f aca="false">VLOOKUP(A910,BD_ORDENES!A:BE,20,FALSE())</f>
        <v>#N/A</v>
      </c>
      <c r="L910" s="68" t="e">
        <f aca="false">VLOOKUP(A910,BD_ORDENES!A:BE,21,FALSE())</f>
        <v>#N/A</v>
      </c>
      <c r="M910" s="69" t="e">
        <f aca="false">VLOOKUP(A910,BD_ORDENES!A:BE,14,FALSE())</f>
        <v>#N/A</v>
      </c>
      <c r="N910" s="68" t="e">
        <f aca="false">VLOOKUP(A910,BD_ORDENES!A:BE,15,FALSE())</f>
        <v>#N/A</v>
      </c>
      <c r="O910" s="68" t="e">
        <f aca="false">VLOOKUP(A910,BD_ORDENES!A:BE,33,FALSE())</f>
        <v>#N/A</v>
      </c>
      <c r="P910" s="68" t="e">
        <f aca="false">VLOOKUP(A910,BD_ORDENES!A:BE,23,FALSE())</f>
        <v>#N/A</v>
      </c>
      <c r="Q910" s="68" t="e">
        <f aca="false">VLOOKUP(A910,BD_ORDENES!A:BE,52,FALSE())</f>
        <v>#N/A</v>
      </c>
      <c r="R910" s="68" t="e">
        <f aca="false">VLOOKUP(A910,BD_ORDENES!A:BE,25,FALSE())</f>
        <v>#N/A</v>
      </c>
      <c r="S910" s="68" t="e">
        <f aca="false">VLOOKUP(A910,BD_ORDENES!A:BE,22,FALSE())</f>
        <v>#N/A</v>
      </c>
      <c r="T910" s="65" t="e">
        <f aca="false">VLOOKUP(A910,BD_ORDENES!A:BE,55,FALSE())</f>
        <v>#N/A</v>
      </c>
      <c r="U910" s="68" t="e">
        <f aca="false">VLOOKUP(A910,BD_ORDENES!A:BE,57,FALSE())</f>
        <v>#N/A</v>
      </c>
      <c r="V910" s="70"/>
    </row>
    <row r="911" customFormat="false" ht="29.1" hidden="false" customHeight="false" outlineLevel="0" collapsed="false">
      <c r="A911" s="62" t="n">
        <f aca="false">A910+1</f>
        <v>904</v>
      </c>
      <c r="B911" s="63" t="e">
        <f aca="false">VLOOKUP(A911,BD_ORDENES!A:BG,12,FALSE())</f>
        <v>#N/A</v>
      </c>
      <c r="C911" s="64" t="n">
        <v>904</v>
      </c>
      <c r="D911" s="65" t="e">
        <f aca="false">VLOOKUP(A911,BD_ORDENES!A:BE,10,0)</f>
        <v>#N/A</v>
      </c>
      <c r="E911" s="66" t="e">
        <f aca="false">VLOOKUP(A911,BD_ORDENES!A:BG,4,FALSE())</f>
        <v>#N/A</v>
      </c>
      <c r="F911" s="66" t="e">
        <f aca="false">VLOOKUP(A911,BD_ORDENES!A:BE,56,FALSE())</f>
        <v>#N/A</v>
      </c>
      <c r="G911" s="67" t="e">
        <f aca="false">VLOOKUP(A911,BD_ORDENES!A:BE,13,FALSE())</f>
        <v>#N/A</v>
      </c>
      <c r="H911" s="68" t="e">
        <f aca="false">VLOOKUP(A911,BD_ORDENES!A:BE,17,FALSE())</f>
        <v>#N/A</v>
      </c>
      <c r="I911" s="68" t="e">
        <f aca="false">VLOOKUP(A911,BD_ORDENES!A:BE,18,FALSE())</f>
        <v>#N/A</v>
      </c>
      <c r="J911" s="68" t="e">
        <f aca="false">VLOOKUP(A911,BD_ORDENES!A:BE,19,FALSE())</f>
        <v>#N/A</v>
      </c>
      <c r="K911" s="68" t="e">
        <f aca="false">VLOOKUP(A911,BD_ORDENES!A:BE,20,FALSE())</f>
        <v>#N/A</v>
      </c>
      <c r="L911" s="68" t="e">
        <f aca="false">VLOOKUP(A911,BD_ORDENES!A:BE,21,FALSE())</f>
        <v>#N/A</v>
      </c>
      <c r="M911" s="69" t="e">
        <f aca="false">VLOOKUP(A911,BD_ORDENES!A:BE,14,FALSE())</f>
        <v>#N/A</v>
      </c>
      <c r="N911" s="68" t="e">
        <f aca="false">VLOOKUP(A911,BD_ORDENES!A:BE,15,FALSE())</f>
        <v>#N/A</v>
      </c>
      <c r="O911" s="68" t="e">
        <f aca="false">VLOOKUP(A911,BD_ORDENES!A:BE,33,FALSE())</f>
        <v>#N/A</v>
      </c>
      <c r="P911" s="68" t="e">
        <f aca="false">VLOOKUP(A911,BD_ORDENES!A:BE,23,FALSE())</f>
        <v>#N/A</v>
      </c>
      <c r="Q911" s="68" t="e">
        <f aca="false">VLOOKUP(A911,BD_ORDENES!A:BE,52,FALSE())</f>
        <v>#N/A</v>
      </c>
      <c r="R911" s="68" t="e">
        <f aca="false">VLOOKUP(A911,BD_ORDENES!A:BE,25,FALSE())</f>
        <v>#N/A</v>
      </c>
      <c r="S911" s="68" t="e">
        <f aca="false">VLOOKUP(A911,BD_ORDENES!A:BE,22,FALSE())</f>
        <v>#N/A</v>
      </c>
      <c r="T911" s="65" t="e">
        <f aca="false">VLOOKUP(A911,BD_ORDENES!A:BE,55,FALSE())</f>
        <v>#N/A</v>
      </c>
      <c r="U911" s="68" t="e">
        <f aca="false">VLOOKUP(A911,BD_ORDENES!A:BE,57,FALSE())</f>
        <v>#N/A</v>
      </c>
      <c r="V911" s="70"/>
    </row>
    <row r="912" customFormat="false" ht="29.1" hidden="false" customHeight="false" outlineLevel="0" collapsed="false">
      <c r="A912" s="62" t="n">
        <f aca="false">A911+1</f>
        <v>905</v>
      </c>
      <c r="B912" s="63" t="e">
        <f aca="false">VLOOKUP(A912,BD_ORDENES!A:BG,12,FALSE())</f>
        <v>#N/A</v>
      </c>
      <c r="C912" s="64" t="n">
        <v>905</v>
      </c>
      <c r="D912" s="65" t="e">
        <f aca="false">VLOOKUP(A912,BD_ORDENES!A:BE,10,0)</f>
        <v>#N/A</v>
      </c>
      <c r="E912" s="66" t="e">
        <f aca="false">VLOOKUP(A912,BD_ORDENES!A:BG,4,FALSE())</f>
        <v>#N/A</v>
      </c>
      <c r="F912" s="66" t="e">
        <f aca="false">VLOOKUP(A912,BD_ORDENES!A:BE,56,FALSE())</f>
        <v>#N/A</v>
      </c>
      <c r="G912" s="67" t="e">
        <f aca="false">VLOOKUP(A912,BD_ORDENES!A:BE,13,FALSE())</f>
        <v>#N/A</v>
      </c>
      <c r="H912" s="68" t="e">
        <f aca="false">VLOOKUP(A912,BD_ORDENES!A:BE,17,FALSE())</f>
        <v>#N/A</v>
      </c>
      <c r="I912" s="68" t="e">
        <f aca="false">VLOOKUP(A912,BD_ORDENES!A:BE,18,FALSE())</f>
        <v>#N/A</v>
      </c>
      <c r="J912" s="68" t="e">
        <f aca="false">VLOOKUP(A912,BD_ORDENES!A:BE,19,FALSE())</f>
        <v>#N/A</v>
      </c>
      <c r="K912" s="68" t="e">
        <f aca="false">VLOOKUP(A912,BD_ORDENES!A:BE,20,FALSE())</f>
        <v>#N/A</v>
      </c>
      <c r="L912" s="68" t="e">
        <f aca="false">VLOOKUP(A912,BD_ORDENES!A:BE,21,FALSE())</f>
        <v>#N/A</v>
      </c>
      <c r="M912" s="69" t="e">
        <f aca="false">VLOOKUP(A912,BD_ORDENES!A:BE,14,FALSE())</f>
        <v>#N/A</v>
      </c>
      <c r="N912" s="68" t="e">
        <f aca="false">VLOOKUP(A912,BD_ORDENES!A:BE,15,FALSE())</f>
        <v>#N/A</v>
      </c>
      <c r="O912" s="68" t="e">
        <f aca="false">VLOOKUP(A912,BD_ORDENES!A:BE,33,FALSE())</f>
        <v>#N/A</v>
      </c>
      <c r="P912" s="68" t="e">
        <f aca="false">VLOOKUP(A912,BD_ORDENES!A:BE,23,FALSE())</f>
        <v>#N/A</v>
      </c>
      <c r="Q912" s="68" t="e">
        <f aca="false">VLOOKUP(A912,BD_ORDENES!A:BE,52,FALSE())</f>
        <v>#N/A</v>
      </c>
      <c r="R912" s="68" t="e">
        <f aca="false">VLOOKUP(A912,BD_ORDENES!A:BE,25,FALSE())</f>
        <v>#N/A</v>
      </c>
      <c r="S912" s="68" t="e">
        <f aca="false">VLOOKUP(A912,BD_ORDENES!A:BE,22,FALSE())</f>
        <v>#N/A</v>
      </c>
      <c r="T912" s="65" t="e">
        <f aca="false">VLOOKUP(A912,BD_ORDENES!A:BE,55,FALSE())</f>
        <v>#N/A</v>
      </c>
      <c r="U912" s="68" t="e">
        <f aca="false">VLOOKUP(A912,BD_ORDENES!A:BE,57,FALSE())</f>
        <v>#N/A</v>
      </c>
      <c r="V912" s="70"/>
    </row>
    <row r="913" customFormat="false" ht="29.1" hidden="false" customHeight="false" outlineLevel="0" collapsed="false">
      <c r="A913" s="62" t="n">
        <f aca="false">A912+1</f>
        <v>906</v>
      </c>
      <c r="B913" s="63" t="e">
        <f aca="false">VLOOKUP(A913,BD_ORDENES!A:BG,12,FALSE())</f>
        <v>#N/A</v>
      </c>
      <c r="C913" s="64" t="n">
        <v>906</v>
      </c>
      <c r="D913" s="65" t="e">
        <f aca="false">VLOOKUP(A913,BD_ORDENES!A:BE,10,0)</f>
        <v>#N/A</v>
      </c>
      <c r="E913" s="66" t="e">
        <f aca="false">VLOOKUP(A913,BD_ORDENES!A:BG,4,FALSE())</f>
        <v>#N/A</v>
      </c>
      <c r="F913" s="66" t="e">
        <f aca="false">VLOOKUP(A913,BD_ORDENES!A:BE,56,FALSE())</f>
        <v>#N/A</v>
      </c>
      <c r="G913" s="67" t="e">
        <f aca="false">VLOOKUP(A913,BD_ORDENES!A:BE,13,FALSE())</f>
        <v>#N/A</v>
      </c>
      <c r="H913" s="68" t="e">
        <f aca="false">VLOOKUP(A913,BD_ORDENES!A:BE,17,FALSE())</f>
        <v>#N/A</v>
      </c>
      <c r="I913" s="68" t="e">
        <f aca="false">VLOOKUP(A913,BD_ORDENES!A:BE,18,FALSE())</f>
        <v>#N/A</v>
      </c>
      <c r="J913" s="68" t="e">
        <f aca="false">VLOOKUP(A913,BD_ORDENES!A:BE,19,FALSE())</f>
        <v>#N/A</v>
      </c>
      <c r="K913" s="68" t="e">
        <f aca="false">VLOOKUP(A913,BD_ORDENES!A:BE,20,FALSE())</f>
        <v>#N/A</v>
      </c>
      <c r="L913" s="68" t="e">
        <f aca="false">VLOOKUP(A913,BD_ORDENES!A:BE,21,FALSE())</f>
        <v>#N/A</v>
      </c>
      <c r="M913" s="69" t="e">
        <f aca="false">VLOOKUP(A913,BD_ORDENES!A:BE,14,FALSE())</f>
        <v>#N/A</v>
      </c>
      <c r="N913" s="68" t="e">
        <f aca="false">VLOOKUP(A913,BD_ORDENES!A:BE,15,FALSE())</f>
        <v>#N/A</v>
      </c>
      <c r="O913" s="68" t="e">
        <f aca="false">VLOOKUP(A913,BD_ORDENES!A:BE,33,FALSE())</f>
        <v>#N/A</v>
      </c>
      <c r="P913" s="68" t="e">
        <f aca="false">VLOOKUP(A913,BD_ORDENES!A:BE,23,FALSE())</f>
        <v>#N/A</v>
      </c>
      <c r="Q913" s="68" t="e">
        <f aca="false">VLOOKUP(A913,BD_ORDENES!A:BE,52,FALSE())</f>
        <v>#N/A</v>
      </c>
      <c r="R913" s="68" t="e">
        <f aca="false">VLOOKUP(A913,BD_ORDENES!A:BE,25,FALSE())</f>
        <v>#N/A</v>
      </c>
      <c r="S913" s="68" t="e">
        <f aca="false">VLOOKUP(A913,BD_ORDENES!A:BE,22,FALSE())</f>
        <v>#N/A</v>
      </c>
      <c r="T913" s="65" t="e">
        <f aca="false">VLOOKUP(A913,BD_ORDENES!A:BE,55,FALSE())</f>
        <v>#N/A</v>
      </c>
      <c r="U913" s="68" t="e">
        <f aca="false">VLOOKUP(A913,BD_ORDENES!A:BE,57,FALSE())</f>
        <v>#N/A</v>
      </c>
      <c r="V913" s="70"/>
    </row>
    <row r="914" customFormat="false" ht="29.1" hidden="false" customHeight="false" outlineLevel="0" collapsed="false">
      <c r="A914" s="62" t="n">
        <f aca="false">A913+1</f>
        <v>907</v>
      </c>
      <c r="B914" s="63" t="e">
        <f aca="false">VLOOKUP(A914,BD_ORDENES!A:BG,12,FALSE())</f>
        <v>#N/A</v>
      </c>
      <c r="C914" s="64" t="n">
        <v>907</v>
      </c>
      <c r="D914" s="65" t="e">
        <f aca="false">VLOOKUP(A914,BD_ORDENES!A:BE,10,0)</f>
        <v>#N/A</v>
      </c>
      <c r="E914" s="66" t="e">
        <f aca="false">VLOOKUP(A914,BD_ORDENES!A:BG,4,FALSE())</f>
        <v>#N/A</v>
      </c>
      <c r="F914" s="66" t="e">
        <f aca="false">VLOOKUP(A914,BD_ORDENES!A:BE,56,FALSE())</f>
        <v>#N/A</v>
      </c>
      <c r="G914" s="67" t="e">
        <f aca="false">VLOOKUP(A914,BD_ORDENES!A:BE,13,FALSE())</f>
        <v>#N/A</v>
      </c>
      <c r="H914" s="68" t="e">
        <f aca="false">VLOOKUP(A914,BD_ORDENES!A:BE,17,FALSE())</f>
        <v>#N/A</v>
      </c>
      <c r="I914" s="68" t="e">
        <f aca="false">VLOOKUP(A914,BD_ORDENES!A:BE,18,FALSE())</f>
        <v>#N/A</v>
      </c>
      <c r="J914" s="68" t="e">
        <f aca="false">VLOOKUP(A914,BD_ORDENES!A:BE,19,FALSE())</f>
        <v>#N/A</v>
      </c>
      <c r="K914" s="68" t="e">
        <f aca="false">VLOOKUP(A914,BD_ORDENES!A:BE,20,FALSE())</f>
        <v>#N/A</v>
      </c>
      <c r="L914" s="68" t="e">
        <f aca="false">VLOOKUP(A914,BD_ORDENES!A:BE,21,FALSE())</f>
        <v>#N/A</v>
      </c>
      <c r="M914" s="69" t="e">
        <f aca="false">VLOOKUP(A914,BD_ORDENES!A:BE,14,FALSE())</f>
        <v>#N/A</v>
      </c>
      <c r="N914" s="68" t="e">
        <f aca="false">VLOOKUP(A914,BD_ORDENES!A:BE,15,FALSE())</f>
        <v>#N/A</v>
      </c>
      <c r="O914" s="68" t="e">
        <f aca="false">VLOOKUP(A914,BD_ORDENES!A:BE,33,FALSE())</f>
        <v>#N/A</v>
      </c>
      <c r="P914" s="68" t="e">
        <f aca="false">VLOOKUP(A914,BD_ORDENES!A:BE,23,FALSE())</f>
        <v>#N/A</v>
      </c>
      <c r="Q914" s="68" t="e">
        <f aca="false">VLOOKUP(A914,BD_ORDENES!A:BE,52,FALSE())</f>
        <v>#N/A</v>
      </c>
      <c r="R914" s="68" t="e">
        <f aca="false">VLOOKUP(A914,BD_ORDENES!A:BE,25,FALSE())</f>
        <v>#N/A</v>
      </c>
      <c r="S914" s="68" t="e">
        <f aca="false">VLOOKUP(A914,BD_ORDENES!A:BE,22,FALSE())</f>
        <v>#N/A</v>
      </c>
      <c r="T914" s="65" t="e">
        <f aca="false">VLOOKUP(A914,BD_ORDENES!A:BE,55,FALSE())</f>
        <v>#N/A</v>
      </c>
      <c r="U914" s="68" t="e">
        <f aca="false">VLOOKUP(A914,BD_ORDENES!A:BE,57,FALSE())</f>
        <v>#N/A</v>
      </c>
      <c r="V914" s="70"/>
    </row>
    <row r="915" customFormat="false" ht="29.1" hidden="false" customHeight="false" outlineLevel="0" collapsed="false">
      <c r="A915" s="62" t="n">
        <f aca="false">A914+1</f>
        <v>908</v>
      </c>
      <c r="B915" s="63" t="e">
        <f aca="false">VLOOKUP(A915,BD_ORDENES!A:BG,12,FALSE())</f>
        <v>#N/A</v>
      </c>
      <c r="C915" s="64" t="n">
        <v>908</v>
      </c>
      <c r="D915" s="65" t="e">
        <f aca="false">VLOOKUP(A915,BD_ORDENES!A:BE,10,0)</f>
        <v>#N/A</v>
      </c>
      <c r="E915" s="66" t="e">
        <f aca="false">VLOOKUP(A915,BD_ORDENES!A:BG,4,FALSE())</f>
        <v>#N/A</v>
      </c>
      <c r="F915" s="66" t="e">
        <f aca="false">VLOOKUP(A915,BD_ORDENES!A:BE,56,FALSE())</f>
        <v>#N/A</v>
      </c>
      <c r="G915" s="67" t="e">
        <f aca="false">VLOOKUP(A915,BD_ORDENES!A:BE,13,FALSE())</f>
        <v>#N/A</v>
      </c>
      <c r="H915" s="68" t="e">
        <f aca="false">VLOOKUP(A915,BD_ORDENES!A:BE,17,FALSE())</f>
        <v>#N/A</v>
      </c>
      <c r="I915" s="68" t="e">
        <f aca="false">VLOOKUP(A915,BD_ORDENES!A:BE,18,FALSE())</f>
        <v>#N/A</v>
      </c>
      <c r="J915" s="68" t="e">
        <f aca="false">VLOOKUP(A915,BD_ORDENES!A:BE,19,FALSE())</f>
        <v>#N/A</v>
      </c>
      <c r="K915" s="68" t="e">
        <f aca="false">VLOOKUP(A915,BD_ORDENES!A:BE,20,FALSE())</f>
        <v>#N/A</v>
      </c>
      <c r="L915" s="68" t="e">
        <f aca="false">VLOOKUP(A915,BD_ORDENES!A:BE,21,FALSE())</f>
        <v>#N/A</v>
      </c>
      <c r="M915" s="69" t="e">
        <f aca="false">VLOOKUP(A915,BD_ORDENES!A:BE,14,FALSE())</f>
        <v>#N/A</v>
      </c>
      <c r="N915" s="68" t="e">
        <f aca="false">VLOOKUP(A915,BD_ORDENES!A:BE,15,FALSE())</f>
        <v>#N/A</v>
      </c>
      <c r="O915" s="68" t="e">
        <f aca="false">VLOOKUP(A915,BD_ORDENES!A:BE,33,FALSE())</f>
        <v>#N/A</v>
      </c>
      <c r="P915" s="68" t="e">
        <f aca="false">VLOOKUP(A915,BD_ORDENES!A:BE,23,FALSE())</f>
        <v>#N/A</v>
      </c>
      <c r="Q915" s="68" t="e">
        <f aca="false">VLOOKUP(A915,BD_ORDENES!A:BE,52,FALSE())</f>
        <v>#N/A</v>
      </c>
      <c r="R915" s="68" t="e">
        <f aca="false">VLOOKUP(A915,BD_ORDENES!A:BE,25,FALSE())</f>
        <v>#N/A</v>
      </c>
      <c r="S915" s="68" t="e">
        <f aca="false">VLOOKUP(A915,BD_ORDENES!A:BE,22,FALSE())</f>
        <v>#N/A</v>
      </c>
      <c r="T915" s="65" t="e">
        <f aca="false">VLOOKUP(A915,BD_ORDENES!A:BE,55,FALSE())</f>
        <v>#N/A</v>
      </c>
      <c r="U915" s="68" t="e">
        <f aca="false">VLOOKUP(A915,BD_ORDENES!A:BE,57,FALSE())</f>
        <v>#N/A</v>
      </c>
      <c r="V915" s="70"/>
    </row>
    <row r="916" customFormat="false" ht="29.1" hidden="false" customHeight="false" outlineLevel="0" collapsed="false">
      <c r="A916" s="62" t="n">
        <f aca="false">A915+1</f>
        <v>909</v>
      </c>
      <c r="B916" s="63" t="e">
        <f aca="false">VLOOKUP(A916,BD_ORDENES!A:BG,12,FALSE())</f>
        <v>#N/A</v>
      </c>
      <c r="C916" s="64" t="n">
        <v>909</v>
      </c>
      <c r="D916" s="65" t="e">
        <f aca="false">VLOOKUP(A916,BD_ORDENES!A:BE,10,0)</f>
        <v>#N/A</v>
      </c>
      <c r="E916" s="66" t="e">
        <f aca="false">VLOOKUP(A916,BD_ORDENES!A:BG,4,FALSE())</f>
        <v>#N/A</v>
      </c>
      <c r="F916" s="66" t="e">
        <f aca="false">VLOOKUP(A916,BD_ORDENES!A:BE,56,FALSE())</f>
        <v>#N/A</v>
      </c>
      <c r="G916" s="67" t="e">
        <f aca="false">VLOOKUP(A916,BD_ORDENES!A:BE,13,FALSE())</f>
        <v>#N/A</v>
      </c>
      <c r="H916" s="68" t="e">
        <f aca="false">VLOOKUP(A916,BD_ORDENES!A:BE,17,FALSE())</f>
        <v>#N/A</v>
      </c>
      <c r="I916" s="68" t="e">
        <f aca="false">VLOOKUP(A916,BD_ORDENES!A:BE,18,FALSE())</f>
        <v>#N/A</v>
      </c>
      <c r="J916" s="68" t="e">
        <f aca="false">VLOOKUP(A916,BD_ORDENES!A:BE,19,FALSE())</f>
        <v>#N/A</v>
      </c>
      <c r="K916" s="68" t="e">
        <f aca="false">VLOOKUP(A916,BD_ORDENES!A:BE,20,FALSE())</f>
        <v>#N/A</v>
      </c>
      <c r="L916" s="68" t="e">
        <f aca="false">VLOOKUP(A916,BD_ORDENES!A:BE,21,FALSE())</f>
        <v>#N/A</v>
      </c>
      <c r="M916" s="69" t="e">
        <f aca="false">VLOOKUP(A916,BD_ORDENES!A:BE,14,FALSE())</f>
        <v>#N/A</v>
      </c>
      <c r="N916" s="68" t="e">
        <f aca="false">VLOOKUP(A916,BD_ORDENES!A:BE,15,FALSE())</f>
        <v>#N/A</v>
      </c>
      <c r="O916" s="68" t="e">
        <f aca="false">VLOOKUP(A916,BD_ORDENES!A:BE,33,FALSE())</f>
        <v>#N/A</v>
      </c>
      <c r="P916" s="68" t="e">
        <f aca="false">VLOOKUP(A916,BD_ORDENES!A:BE,23,FALSE())</f>
        <v>#N/A</v>
      </c>
      <c r="Q916" s="68" t="e">
        <f aca="false">VLOOKUP(A916,BD_ORDENES!A:BE,52,FALSE())</f>
        <v>#N/A</v>
      </c>
      <c r="R916" s="68" t="e">
        <f aca="false">VLOOKUP(A916,BD_ORDENES!A:BE,25,FALSE())</f>
        <v>#N/A</v>
      </c>
      <c r="S916" s="68" t="e">
        <f aca="false">VLOOKUP(A916,BD_ORDENES!A:BE,22,FALSE())</f>
        <v>#N/A</v>
      </c>
      <c r="T916" s="65" t="e">
        <f aca="false">VLOOKUP(A916,BD_ORDENES!A:BE,55,FALSE())</f>
        <v>#N/A</v>
      </c>
      <c r="U916" s="68" t="e">
        <f aca="false">VLOOKUP(A916,BD_ORDENES!A:BE,57,FALSE())</f>
        <v>#N/A</v>
      </c>
      <c r="V916" s="70"/>
    </row>
    <row r="917" customFormat="false" ht="29.1" hidden="false" customHeight="false" outlineLevel="0" collapsed="false">
      <c r="A917" s="62" t="n">
        <f aca="false">A916+1</f>
        <v>910</v>
      </c>
      <c r="B917" s="63" t="e">
        <f aca="false">VLOOKUP(A917,BD_ORDENES!A:BG,12,FALSE())</f>
        <v>#N/A</v>
      </c>
      <c r="C917" s="64" t="n">
        <v>910</v>
      </c>
      <c r="D917" s="65" t="e">
        <f aca="false">VLOOKUP(A917,BD_ORDENES!A:BE,10,0)</f>
        <v>#N/A</v>
      </c>
      <c r="E917" s="66" t="e">
        <f aca="false">VLOOKUP(A917,BD_ORDENES!A:BG,4,FALSE())</f>
        <v>#N/A</v>
      </c>
      <c r="F917" s="66" t="e">
        <f aca="false">VLOOKUP(A917,BD_ORDENES!A:BE,56,FALSE())</f>
        <v>#N/A</v>
      </c>
      <c r="G917" s="67" t="e">
        <f aca="false">VLOOKUP(A917,BD_ORDENES!A:BE,13,FALSE())</f>
        <v>#N/A</v>
      </c>
      <c r="H917" s="68" t="e">
        <f aca="false">VLOOKUP(A917,BD_ORDENES!A:BE,17,FALSE())</f>
        <v>#N/A</v>
      </c>
      <c r="I917" s="68" t="e">
        <f aca="false">VLOOKUP(A917,BD_ORDENES!A:BE,18,FALSE())</f>
        <v>#N/A</v>
      </c>
      <c r="J917" s="68" t="e">
        <f aca="false">VLOOKUP(A917,BD_ORDENES!A:BE,19,FALSE())</f>
        <v>#N/A</v>
      </c>
      <c r="K917" s="68" t="e">
        <f aca="false">VLOOKUP(A917,BD_ORDENES!A:BE,20,FALSE())</f>
        <v>#N/A</v>
      </c>
      <c r="L917" s="68" t="e">
        <f aca="false">VLOOKUP(A917,BD_ORDENES!A:BE,21,FALSE())</f>
        <v>#N/A</v>
      </c>
      <c r="M917" s="69" t="e">
        <f aca="false">VLOOKUP(A917,BD_ORDENES!A:BE,14,FALSE())</f>
        <v>#N/A</v>
      </c>
      <c r="N917" s="68" t="e">
        <f aca="false">VLOOKUP(A917,BD_ORDENES!A:BE,15,FALSE())</f>
        <v>#N/A</v>
      </c>
      <c r="O917" s="68" t="e">
        <f aca="false">VLOOKUP(A917,BD_ORDENES!A:BE,33,FALSE())</f>
        <v>#N/A</v>
      </c>
      <c r="P917" s="68" t="e">
        <f aca="false">VLOOKUP(A917,BD_ORDENES!A:BE,23,FALSE())</f>
        <v>#N/A</v>
      </c>
      <c r="Q917" s="68" t="e">
        <f aca="false">VLOOKUP(A917,BD_ORDENES!A:BE,52,FALSE())</f>
        <v>#N/A</v>
      </c>
      <c r="R917" s="68" t="e">
        <f aca="false">VLOOKUP(A917,BD_ORDENES!A:BE,25,FALSE())</f>
        <v>#N/A</v>
      </c>
      <c r="S917" s="68" t="e">
        <f aca="false">VLOOKUP(A917,BD_ORDENES!A:BE,22,FALSE())</f>
        <v>#N/A</v>
      </c>
      <c r="T917" s="65" t="e">
        <f aca="false">VLOOKUP(A917,BD_ORDENES!A:BE,55,FALSE())</f>
        <v>#N/A</v>
      </c>
      <c r="U917" s="68" t="e">
        <f aca="false">VLOOKUP(A917,BD_ORDENES!A:BE,57,FALSE())</f>
        <v>#N/A</v>
      </c>
      <c r="V917" s="70"/>
    </row>
    <row r="918" customFormat="false" ht="29.1" hidden="false" customHeight="false" outlineLevel="0" collapsed="false">
      <c r="A918" s="62" t="n">
        <f aca="false">A917+1</f>
        <v>911</v>
      </c>
      <c r="B918" s="63" t="e">
        <f aca="false">VLOOKUP(A918,BD_ORDENES!A:BG,12,FALSE())</f>
        <v>#N/A</v>
      </c>
      <c r="C918" s="64" t="n">
        <v>911</v>
      </c>
      <c r="D918" s="65" t="e">
        <f aca="false">VLOOKUP(A918,BD_ORDENES!A:BE,10,0)</f>
        <v>#N/A</v>
      </c>
      <c r="E918" s="66" t="e">
        <f aca="false">VLOOKUP(A918,BD_ORDENES!A:BG,4,FALSE())</f>
        <v>#N/A</v>
      </c>
      <c r="F918" s="66" t="e">
        <f aca="false">VLOOKUP(A918,BD_ORDENES!A:BE,56,FALSE())</f>
        <v>#N/A</v>
      </c>
      <c r="G918" s="67" t="e">
        <f aca="false">VLOOKUP(A918,BD_ORDENES!A:BE,13,FALSE())</f>
        <v>#N/A</v>
      </c>
      <c r="H918" s="68" t="e">
        <f aca="false">VLOOKUP(A918,BD_ORDENES!A:BE,17,FALSE())</f>
        <v>#N/A</v>
      </c>
      <c r="I918" s="68" t="e">
        <f aca="false">VLOOKUP(A918,BD_ORDENES!A:BE,18,FALSE())</f>
        <v>#N/A</v>
      </c>
      <c r="J918" s="68" t="e">
        <f aca="false">VLOOKUP(A918,BD_ORDENES!A:BE,19,FALSE())</f>
        <v>#N/A</v>
      </c>
      <c r="K918" s="68" t="e">
        <f aca="false">VLOOKUP(A918,BD_ORDENES!A:BE,20,FALSE())</f>
        <v>#N/A</v>
      </c>
      <c r="L918" s="68" t="e">
        <f aca="false">VLOOKUP(A918,BD_ORDENES!A:BE,21,FALSE())</f>
        <v>#N/A</v>
      </c>
      <c r="M918" s="69" t="e">
        <f aca="false">VLOOKUP(A918,BD_ORDENES!A:BE,14,FALSE())</f>
        <v>#N/A</v>
      </c>
      <c r="N918" s="68" t="e">
        <f aca="false">VLOOKUP(A918,BD_ORDENES!A:BE,15,FALSE())</f>
        <v>#N/A</v>
      </c>
      <c r="O918" s="68" t="e">
        <f aca="false">VLOOKUP(A918,BD_ORDENES!A:BE,33,FALSE())</f>
        <v>#N/A</v>
      </c>
      <c r="P918" s="68" t="e">
        <f aca="false">VLOOKUP(A918,BD_ORDENES!A:BE,23,FALSE())</f>
        <v>#N/A</v>
      </c>
      <c r="Q918" s="68" t="e">
        <f aca="false">VLOOKUP(A918,BD_ORDENES!A:BE,52,FALSE())</f>
        <v>#N/A</v>
      </c>
      <c r="R918" s="68" t="e">
        <f aca="false">VLOOKUP(A918,BD_ORDENES!A:BE,25,FALSE())</f>
        <v>#N/A</v>
      </c>
      <c r="S918" s="68" t="e">
        <f aca="false">VLOOKUP(A918,BD_ORDENES!A:BE,22,FALSE())</f>
        <v>#N/A</v>
      </c>
      <c r="T918" s="65" t="e">
        <f aca="false">VLOOKUP(A918,BD_ORDENES!A:BE,55,FALSE())</f>
        <v>#N/A</v>
      </c>
      <c r="U918" s="68" t="e">
        <f aca="false">VLOOKUP(A918,BD_ORDENES!A:BE,57,FALSE())</f>
        <v>#N/A</v>
      </c>
      <c r="V918" s="70"/>
    </row>
    <row r="919" customFormat="false" ht="29.1" hidden="false" customHeight="false" outlineLevel="0" collapsed="false">
      <c r="A919" s="62" t="n">
        <f aca="false">A918+1</f>
        <v>912</v>
      </c>
      <c r="B919" s="63" t="e">
        <f aca="false">VLOOKUP(A919,BD_ORDENES!A:BG,12,FALSE())</f>
        <v>#N/A</v>
      </c>
      <c r="C919" s="64" t="n">
        <v>912</v>
      </c>
      <c r="D919" s="65" t="e">
        <f aca="false">VLOOKUP(A919,BD_ORDENES!A:BE,10,0)</f>
        <v>#N/A</v>
      </c>
      <c r="E919" s="66" t="e">
        <f aca="false">VLOOKUP(A919,BD_ORDENES!A:BG,4,FALSE())</f>
        <v>#N/A</v>
      </c>
      <c r="F919" s="66" t="e">
        <f aca="false">VLOOKUP(A919,BD_ORDENES!A:BE,56,FALSE())</f>
        <v>#N/A</v>
      </c>
      <c r="G919" s="67" t="e">
        <f aca="false">VLOOKUP(A919,BD_ORDENES!A:BE,13,FALSE())</f>
        <v>#N/A</v>
      </c>
      <c r="H919" s="68" t="e">
        <f aca="false">VLOOKUP(A919,BD_ORDENES!A:BE,17,FALSE())</f>
        <v>#N/A</v>
      </c>
      <c r="I919" s="68" t="e">
        <f aca="false">VLOOKUP(A919,BD_ORDENES!A:BE,18,FALSE())</f>
        <v>#N/A</v>
      </c>
      <c r="J919" s="68" t="e">
        <f aca="false">VLOOKUP(A919,BD_ORDENES!A:BE,19,FALSE())</f>
        <v>#N/A</v>
      </c>
      <c r="K919" s="68" t="e">
        <f aca="false">VLOOKUP(A919,BD_ORDENES!A:BE,20,FALSE())</f>
        <v>#N/A</v>
      </c>
      <c r="L919" s="68" t="e">
        <f aca="false">VLOOKUP(A919,BD_ORDENES!A:BE,21,FALSE())</f>
        <v>#N/A</v>
      </c>
      <c r="M919" s="69" t="e">
        <f aca="false">VLOOKUP(A919,BD_ORDENES!A:BE,14,FALSE())</f>
        <v>#N/A</v>
      </c>
      <c r="N919" s="68" t="e">
        <f aca="false">VLOOKUP(A919,BD_ORDENES!A:BE,15,FALSE())</f>
        <v>#N/A</v>
      </c>
      <c r="O919" s="68" t="e">
        <f aca="false">VLOOKUP(A919,BD_ORDENES!A:BE,33,FALSE())</f>
        <v>#N/A</v>
      </c>
      <c r="P919" s="68" t="e">
        <f aca="false">VLOOKUP(A919,BD_ORDENES!A:BE,23,FALSE())</f>
        <v>#N/A</v>
      </c>
      <c r="Q919" s="68" t="e">
        <f aca="false">VLOOKUP(A919,BD_ORDENES!A:BE,52,FALSE())</f>
        <v>#N/A</v>
      </c>
      <c r="R919" s="68" t="e">
        <f aca="false">VLOOKUP(A919,BD_ORDENES!A:BE,25,FALSE())</f>
        <v>#N/A</v>
      </c>
      <c r="S919" s="68" t="e">
        <f aca="false">VLOOKUP(A919,BD_ORDENES!A:BE,22,FALSE())</f>
        <v>#N/A</v>
      </c>
      <c r="T919" s="65" t="e">
        <f aca="false">VLOOKUP(A919,BD_ORDENES!A:BE,55,FALSE())</f>
        <v>#N/A</v>
      </c>
      <c r="U919" s="68" t="e">
        <f aca="false">VLOOKUP(A919,BD_ORDENES!A:BE,57,FALSE())</f>
        <v>#N/A</v>
      </c>
      <c r="V919" s="70"/>
    </row>
    <row r="920" customFormat="false" ht="29.1" hidden="false" customHeight="false" outlineLevel="0" collapsed="false">
      <c r="A920" s="62" t="n">
        <f aca="false">A919+1</f>
        <v>913</v>
      </c>
      <c r="B920" s="63" t="e">
        <f aca="false">VLOOKUP(A920,BD_ORDENES!A:BG,12,FALSE())</f>
        <v>#N/A</v>
      </c>
      <c r="C920" s="64" t="n">
        <v>913</v>
      </c>
      <c r="D920" s="65" t="e">
        <f aca="false">VLOOKUP(A920,BD_ORDENES!A:BE,10,0)</f>
        <v>#N/A</v>
      </c>
      <c r="E920" s="66" t="e">
        <f aca="false">VLOOKUP(A920,BD_ORDENES!A:BG,4,FALSE())</f>
        <v>#N/A</v>
      </c>
      <c r="F920" s="66" t="e">
        <f aca="false">VLOOKUP(A920,BD_ORDENES!A:BE,56,FALSE())</f>
        <v>#N/A</v>
      </c>
      <c r="G920" s="67" t="e">
        <f aca="false">VLOOKUP(A920,BD_ORDENES!A:BE,13,FALSE())</f>
        <v>#N/A</v>
      </c>
      <c r="H920" s="68" t="e">
        <f aca="false">VLOOKUP(A920,BD_ORDENES!A:BE,17,FALSE())</f>
        <v>#N/A</v>
      </c>
      <c r="I920" s="68" t="e">
        <f aca="false">VLOOKUP(A920,BD_ORDENES!A:BE,18,FALSE())</f>
        <v>#N/A</v>
      </c>
      <c r="J920" s="68" t="e">
        <f aca="false">VLOOKUP(A920,BD_ORDENES!A:BE,19,FALSE())</f>
        <v>#N/A</v>
      </c>
      <c r="K920" s="68" t="e">
        <f aca="false">VLOOKUP(A920,BD_ORDENES!A:BE,20,FALSE())</f>
        <v>#N/A</v>
      </c>
      <c r="L920" s="68" t="e">
        <f aca="false">VLOOKUP(A920,BD_ORDENES!A:BE,21,FALSE())</f>
        <v>#N/A</v>
      </c>
      <c r="M920" s="69" t="e">
        <f aca="false">VLOOKUP(A920,BD_ORDENES!A:BE,14,FALSE())</f>
        <v>#N/A</v>
      </c>
      <c r="N920" s="68" t="e">
        <f aca="false">VLOOKUP(A920,BD_ORDENES!A:BE,15,FALSE())</f>
        <v>#N/A</v>
      </c>
      <c r="O920" s="68" t="e">
        <f aca="false">VLOOKUP(A920,BD_ORDENES!A:BE,33,FALSE())</f>
        <v>#N/A</v>
      </c>
      <c r="P920" s="68" t="e">
        <f aca="false">VLOOKUP(A920,BD_ORDENES!A:BE,23,FALSE())</f>
        <v>#N/A</v>
      </c>
      <c r="Q920" s="68" t="e">
        <f aca="false">VLOOKUP(A920,BD_ORDENES!A:BE,52,FALSE())</f>
        <v>#N/A</v>
      </c>
      <c r="R920" s="68" t="e">
        <f aca="false">VLOOKUP(A920,BD_ORDENES!A:BE,25,FALSE())</f>
        <v>#N/A</v>
      </c>
      <c r="S920" s="68" t="e">
        <f aca="false">VLOOKUP(A920,BD_ORDENES!A:BE,22,FALSE())</f>
        <v>#N/A</v>
      </c>
      <c r="T920" s="65" t="e">
        <f aca="false">VLOOKUP(A920,BD_ORDENES!A:BE,55,FALSE())</f>
        <v>#N/A</v>
      </c>
      <c r="U920" s="68" t="e">
        <f aca="false">VLOOKUP(A920,BD_ORDENES!A:BE,57,FALSE())</f>
        <v>#N/A</v>
      </c>
      <c r="V920" s="70"/>
    </row>
    <row r="921" customFormat="false" ht="29.1" hidden="false" customHeight="false" outlineLevel="0" collapsed="false">
      <c r="A921" s="62" t="n">
        <f aca="false">A920+1</f>
        <v>914</v>
      </c>
      <c r="B921" s="63" t="e">
        <f aca="false">VLOOKUP(A921,BD_ORDENES!A:BG,12,FALSE())</f>
        <v>#N/A</v>
      </c>
      <c r="C921" s="64" t="n">
        <v>914</v>
      </c>
      <c r="D921" s="65" t="e">
        <f aca="false">VLOOKUP(A921,BD_ORDENES!A:BE,10,0)</f>
        <v>#N/A</v>
      </c>
      <c r="E921" s="66" t="e">
        <f aca="false">VLOOKUP(A921,BD_ORDENES!A:BG,4,FALSE())</f>
        <v>#N/A</v>
      </c>
      <c r="F921" s="66" t="e">
        <f aca="false">VLOOKUP(A921,BD_ORDENES!A:BE,56,FALSE())</f>
        <v>#N/A</v>
      </c>
      <c r="G921" s="67" t="e">
        <f aca="false">VLOOKUP(A921,BD_ORDENES!A:BE,13,FALSE())</f>
        <v>#N/A</v>
      </c>
      <c r="H921" s="68" t="e">
        <f aca="false">VLOOKUP(A921,BD_ORDENES!A:BE,17,FALSE())</f>
        <v>#N/A</v>
      </c>
      <c r="I921" s="68" t="e">
        <f aca="false">VLOOKUP(A921,BD_ORDENES!A:BE,18,FALSE())</f>
        <v>#N/A</v>
      </c>
      <c r="J921" s="68" t="e">
        <f aca="false">VLOOKUP(A921,BD_ORDENES!A:BE,19,FALSE())</f>
        <v>#N/A</v>
      </c>
      <c r="K921" s="68" t="e">
        <f aca="false">VLOOKUP(A921,BD_ORDENES!A:BE,20,FALSE())</f>
        <v>#N/A</v>
      </c>
      <c r="L921" s="68" t="e">
        <f aca="false">VLOOKUP(A921,BD_ORDENES!A:BE,21,FALSE())</f>
        <v>#N/A</v>
      </c>
      <c r="M921" s="69" t="e">
        <f aca="false">VLOOKUP(A921,BD_ORDENES!A:BE,14,FALSE())</f>
        <v>#N/A</v>
      </c>
      <c r="N921" s="68" t="e">
        <f aca="false">VLOOKUP(A921,BD_ORDENES!A:BE,15,FALSE())</f>
        <v>#N/A</v>
      </c>
      <c r="O921" s="68" t="e">
        <f aca="false">VLOOKUP(A921,BD_ORDENES!A:BE,33,FALSE())</f>
        <v>#N/A</v>
      </c>
      <c r="P921" s="68" t="e">
        <f aca="false">VLOOKUP(A921,BD_ORDENES!A:BE,23,FALSE())</f>
        <v>#N/A</v>
      </c>
      <c r="Q921" s="68" t="e">
        <f aca="false">VLOOKUP(A921,BD_ORDENES!A:BE,52,FALSE())</f>
        <v>#N/A</v>
      </c>
      <c r="R921" s="68" t="e">
        <f aca="false">VLOOKUP(A921,BD_ORDENES!A:BE,25,FALSE())</f>
        <v>#N/A</v>
      </c>
      <c r="S921" s="68" t="e">
        <f aca="false">VLOOKUP(A921,BD_ORDENES!A:BE,22,FALSE())</f>
        <v>#N/A</v>
      </c>
      <c r="T921" s="65" t="e">
        <f aca="false">VLOOKUP(A921,BD_ORDENES!A:BE,55,FALSE())</f>
        <v>#N/A</v>
      </c>
      <c r="U921" s="68" t="e">
        <f aca="false">VLOOKUP(A921,BD_ORDENES!A:BE,57,FALSE())</f>
        <v>#N/A</v>
      </c>
      <c r="V921" s="70"/>
    </row>
    <row r="922" customFormat="false" ht="29.1" hidden="false" customHeight="false" outlineLevel="0" collapsed="false">
      <c r="A922" s="62" t="n">
        <f aca="false">A921+1</f>
        <v>915</v>
      </c>
      <c r="B922" s="63" t="e">
        <f aca="false">VLOOKUP(A922,BD_ORDENES!A:BG,12,FALSE())</f>
        <v>#N/A</v>
      </c>
      <c r="C922" s="64" t="n">
        <v>915</v>
      </c>
      <c r="D922" s="65" t="e">
        <f aca="false">VLOOKUP(A922,BD_ORDENES!A:BE,10,0)</f>
        <v>#N/A</v>
      </c>
      <c r="E922" s="66" t="e">
        <f aca="false">VLOOKUP(A922,BD_ORDENES!A:BG,4,FALSE())</f>
        <v>#N/A</v>
      </c>
      <c r="F922" s="66" t="e">
        <f aca="false">VLOOKUP(A922,BD_ORDENES!A:BE,56,FALSE())</f>
        <v>#N/A</v>
      </c>
      <c r="G922" s="67" t="e">
        <f aca="false">VLOOKUP(A922,BD_ORDENES!A:BE,13,FALSE())</f>
        <v>#N/A</v>
      </c>
      <c r="H922" s="68" t="e">
        <f aca="false">VLOOKUP(A922,BD_ORDENES!A:BE,17,FALSE())</f>
        <v>#N/A</v>
      </c>
      <c r="I922" s="68" t="e">
        <f aca="false">VLOOKUP(A922,BD_ORDENES!A:BE,18,FALSE())</f>
        <v>#N/A</v>
      </c>
      <c r="J922" s="68" t="e">
        <f aca="false">VLOOKUP(A922,BD_ORDENES!A:BE,19,FALSE())</f>
        <v>#N/A</v>
      </c>
      <c r="K922" s="68" t="e">
        <f aca="false">VLOOKUP(A922,BD_ORDENES!A:BE,20,FALSE())</f>
        <v>#N/A</v>
      </c>
      <c r="L922" s="68" t="e">
        <f aca="false">VLOOKUP(A922,BD_ORDENES!A:BE,21,FALSE())</f>
        <v>#N/A</v>
      </c>
      <c r="M922" s="69" t="e">
        <f aca="false">VLOOKUP(A922,BD_ORDENES!A:BE,14,FALSE())</f>
        <v>#N/A</v>
      </c>
      <c r="N922" s="68" t="e">
        <f aca="false">VLOOKUP(A922,BD_ORDENES!A:BE,15,FALSE())</f>
        <v>#N/A</v>
      </c>
      <c r="O922" s="68" t="e">
        <f aca="false">VLOOKUP(A922,BD_ORDENES!A:BE,33,FALSE())</f>
        <v>#N/A</v>
      </c>
      <c r="P922" s="68" t="e">
        <f aca="false">VLOOKUP(A922,BD_ORDENES!A:BE,23,FALSE())</f>
        <v>#N/A</v>
      </c>
      <c r="Q922" s="68" t="e">
        <f aca="false">VLOOKUP(A922,BD_ORDENES!A:BE,52,FALSE())</f>
        <v>#N/A</v>
      </c>
      <c r="R922" s="68" t="e">
        <f aca="false">VLOOKUP(A922,BD_ORDENES!A:BE,25,FALSE())</f>
        <v>#N/A</v>
      </c>
      <c r="S922" s="68" t="e">
        <f aca="false">VLOOKUP(A922,BD_ORDENES!A:BE,22,FALSE())</f>
        <v>#N/A</v>
      </c>
      <c r="T922" s="65" t="e">
        <f aca="false">VLOOKUP(A922,BD_ORDENES!A:BE,55,FALSE())</f>
        <v>#N/A</v>
      </c>
      <c r="U922" s="68" t="e">
        <f aca="false">VLOOKUP(A922,BD_ORDENES!A:BE,57,FALSE())</f>
        <v>#N/A</v>
      </c>
      <c r="V922" s="70"/>
    </row>
    <row r="923" customFormat="false" ht="29.1" hidden="false" customHeight="false" outlineLevel="0" collapsed="false">
      <c r="A923" s="62" t="n">
        <f aca="false">A922+1</f>
        <v>916</v>
      </c>
      <c r="B923" s="63" t="e">
        <f aca="false">VLOOKUP(A923,BD_ORDENES!A:BG,12,FALSE())</f>
        <v>#N/A</v>
      </c>
      <c r="C923" s="64" t="n">
        <v>916</v>
      </c>
      <c r="D923" s="65" t="e">
        <f aca="false">VLOOKUP(A923,BD_ORDENES!A:BE,10,0)</f>
        <v>#N/A</v>
      </c>
      <c r="E923" s="66" t="e">
        <f aca="false">VLOOKUP(A923,BD_ORDENES!A:BG,4,FALSE())</f>
        <v>#N/A</v>
      </c>
      <c r="F923" s="66" t="e">
        <f aca="false">VLOOKUP(A923,BD_ORDENES!A:BE,56,FALSE())</f>
        <v>#N/A</v>
      </c>
      <c r="G923" s="67" t="e">
        <f aca="false">VLOOKUP(A923,BD_ORDENES!A:BE,13,FALSE())</f>
        <v>#N/A</v>
      </c>
      <c r="H923" s="68" t="e">
        <f aca="false">VLOOKUP(A923,BD_ORDENES!A:BE,17,FALSE())</f>
        <v>#N/A</v>
      </c>
      <c r="I923" s="68" t="e">
        <f aca="false">VLOOKUP(A923,BD_ORDENES!A:BE,18,FALSE())</f>
        <v>#N/A</v>
      </c>
      <c r="J923" s="68" t="e">
        <f aca="false">VLOOKUP(A923,BD_ORDENES!A:BE,19,FALSE())</f>
        <v>#N/A</v>
      </c>
      <c r="K923" s="68" t="e">
        <f aca="false">VLOOKUP(A923,BD_ORDENES!A:BE,20,FALSE())</f>
        <v>#N/A</v>
      </c>
      <c r="L923" s="68" t="e">
        <f aca="false">VLOOKUP(A923,BD_ORDENES!A:BE,21,FALSE())</f>
        <v>#N/A</v>
      </c>
      <c r="M923" s="69" t="e">
        <f aca="false">VLOOKUP(A923,BD_ORDENES!A:BE,14,FALSE())</f>
        <v>#N/A</v>
      </c>
      <c r="N923" s="68" t="e">
        <f aca="false">VLOOKUP(A923,BD_ORDENES!A:BE,15,FALSE())</f>
        <v>#N/A</v>
      </c>
      <c r="O923" s="68" t="e">
        <f aca="false">VLOOKUP(A923,BD_ORDENES!A:BE,33,FALSE())</f>
        <v>#N/A</v>
      </c>
      <c r="P923" s="68" t="e">
        <f aca="false">VLOOKUP(A923,BD_ORDENES!A:BE,23,FALSE())</f>
        <v>#N/A</v>
      </c>
      <c r="Q923" s="68" t="e">
        <f aca="false">VLOOKUP(A923,BD_ORDENES!A:BE,52,FALSE())</f>
        <v>#N/A</v>
      </c>
      <c r="R923" s="68" t="e">
        <f aca="false">VLOOKUP(A923,BD_ORDENES!A:BE,25,FALSE())</f>
        <v>#N/A</v>
      </c>
      <c r="S923" s="68" t="e">
        <f aca="false">VLOOKUP(A923,BD_ORDENES!A:BE,22,FALSE())</f>
        <v>#N/A</v>
      </c>
      <c r="T923" s="65" t="e">
        <f aca="false">VLOOKUP(A923,BD_ORDENES!A:BE,55,FALSE())</f>
        <v>#N/A</v>
      </c>
      <c r="U923" s="68" t="e">
        <f aca="false">VLOOKUP(A923,BD_ORDENES!A:BE,57,FALSE())</f>
        <v>#N/A</v>
      </c>
      <c r="V923" s="70"/>
    </row>
    <row r="924" customFormat="false" ht="29.1" hidden="false" customHeight="false" outlineLevel="0" collapsed="false">
      <c r="A924" s="62" t="n">
        <f aca="false">A923+1</f>
        <v>917</v>
      </c>
      <c r="B924" s="63" t="e">
        <f aca="false">VLOOKUP(A924,BD_ORDENES!A:BG,12,FALSE())</f>
        <v>#N/A</v>
      </c>
      <c r="C924" s="64" t="n">
        <v>917</v>
      </c>
      <c r="D924" s="65" t="e">
        <f aca="false">VLOOKUP(A924,BD_ORDENES!A:BE,10,0)</f>
        <v>#N/A</v>
      </c>
      <c r="E924" s="66" t="e">
        <f aca="false">VLOOKUP(A924,BD_ORDENES!A:BG,4,FALSE())</f>
        <v>#N/A</v>
      </c>
      <c r="F924" s="66" t="e">
        <f aca="false">VLOOKUP(A924,BD_ORDENES!A:BE,56,FALSE())</f>
        <v>#N/A</v>
      </c>
      <c r="G924" s="67" t="e">
        <f aca="false">VLOOKUP(A924,BD_ORDENES!A:BE,13,FALSE())</f>
        <v>#N/A</v>
      </c>
      <c r="H924" s="68" t="e">
        <f aca="false">VLOOKUP(A924,BD_ORDENES!A:BE,17,FALSE())</f>
        <v>#N/A</v>
      </c>
      <c r="I924" s="68" t="e">
        <f aca="false">VLOOKUP(A924,BD_ORDENES!A:BE,18,FALSE())</f>
        <v>#N/A</v>
      </c>
      <c r="J924" s="68" t="e">
        <f aca="false">VLOOKUP(A924,BD_ORDENES!A:BE,19,FALSE())</f>
        <v>#N/A</v>
      </c>
      <c r="K924" s="68" t="e">
        <f aca="false">VLOOKUP(A924,BD_ORDENES!A:BE,20,FALSE())</f>
        <v>#N/A</v>
      </c>
      <c r="L924" s="68" t="e">
        <f aca="false">VLOOKUP(A924,BD_ORDENES!A:BE,21,FALSE())</f>
        <v>#N/A</v>
      </c>
      <c r="M924" s="69" t="e">
        <f aca="false">VLOOKUP(A924,BD_ORDENES!A:BE,14,FALSE())</f>
        <v>#N/A</v>
      </c>
      <c r="N924" s="68" t="e">
        <f aca="false">VLOOKUP(A924,BD_ORDENES!A:BE,15,FALSE())</f>
        <v>#N/A</v>
      </c>
      <c r="O924" s="68" t="e">
        <f aca="false">VLOOKUP(A924,BD_ORDENES!A:BE,33,FALSE())</f>
        <v>#N/A</v>
      </c>
      <c r="P924" s="68" t="e">
        <f aca="false">VLOOKUP(A924,BD_ORDENES!A:BE,23,FALSE())</f>
        <v>#N/A</v>
      </c>
      <c r="Q924" s="68" t="e">
        <f aca="false">VLOOKUP(A924,BD_ORDENES!A:BE,52,FALSE())</f>
        <v>#N/A</v>
      </c>
      <c r="R924" s="68" t="e">
        <f aca="false">VLOOKUP(A924,BD_ORDENES!A:BE,25,FALSE())</f>
        <v>#N/A</v>
      </c>
      <c r="S924" s="68" t="e">
        <f aca="false">VLOOKUP(A924,BD_ORDENES!A:BE,22,FALSE())</f>
        <v>#N/A</v>
      </c>
      <c r="T924" s="65" t="e">
        <f aca="false">VLOOKUP(A924,BD_ORDENES!A:BE,55,FALSE())</f>
        <v>#N/A</v>
      </c>
      <c r="U924" s="68" t="e">
        <f aca="false">VLOOKUP(A924,BD_ORDENES!A:BE,57,FALSE())</f>
        <v>#N/A</v>
      </c>
      <c r="V924" s="70"/>
    </row>
    <row r="925" customFormat="false" ht="29.1" hidden="false" customHeight="false" outlineLevel="0" collapsed="false">
      <c r="A925" s="62" t="n">
        <f aca="false">A924+1</f>
        <v>918</v>
      </c>
      <c r="B925" s="63" t="e">
        <f aca="false">VLOOKUP(A925,BD_ORDENES!A:BG,12,FALSE())</f>
        <v>#N/A</v>
      </c>
      <c r="C925" s="64" t="n">
        <v>918</v>
      </c>
      <c r="D925" s="65" t="e">
        <f aca="false">VLOOKUP(A925,BD_ORDENES!A:BE,10,0)</f>
        <v>#N/A</v>
      </c>
      <c r="E925" s="66" t="e">
        <f aca="false">VLOOKUP(A925,BD_ORDENES!A:BG,4,FALSE())</f>
        <v>#N/A</v>
      </c>
      <c r="F925" s="66" t="e">
        <f aca="false">VLOOKUP(A925,BD_ORDENES!A:BE,56,FALSE())</f>
        <v>#N/A</v>
      </c>
      <c r="G925" s="67" t="e">
        <f aca="false">VLOOKUP(A925,BD_ORDENES!A:BE,13,FALSE())</f>
        <v>#N/A</v>
      </c>
      <c r="H925" s="68" t="e">
        <f aca="false">VLOOKUP(A925,BD_ORDENES!A:BE,17,FALSE())</f>
        <v>#N/A</v>
      </c>
      <c r="I925" s="68" t="e">
        <f aca="false">VLOOKUP(A925,BD_ORDENES!A:BE,18,FALSE())</f>
        <v>#N/A</v>
      </c>
      <c r="J925" s="68" t="e">
        <f aca="false">VLOOKUP(A925,BD_ORDENES!A:BE,19,FALSE())</f>
        <v>#N/A</v>
      </c>
      <c r="K925" s="68" t="e">
        <f aca="false">VLOOKUP(A925,BD_ORDENES!A:BE,20,FALSE())</f>
        <v>#N/A</v>
      </c>
      <c r="L925" s="68" t="e">
        <f aca="false">VLOOKUP(A925,BD_ORDENES!A:BE,21,FALSE())</f>
        <v>#N/A</v>
      </c>
      <c r="M925" s="69" t="e">
        <f aca="false">VLOOKUP(A925,BD_ORDENES!A:BE,14,FALSE())</f>
        <v>#N/A</v>
      </c>
      <c r="N925" s="68" t="e">
        <f aca="false">VLOOKUP(A925,BD_ORDENES!A:BE,15,FALSE())</f>
        <v>#N/A</v>
      </c>
      <c r="O925" s="68" t="e">
        <f aca="false">VLOOKUP(A925,BD_ORDENES!A:BE,33,FALSE())</f>
        <v>#N/A</v>
      </c>
      <c r="P925" s="68" t="e">
        <f aca="false">VLOOKUP(A925,BD_ORDENES!A:BE,23,FALSE())</f>
        <v>#N/A</v>
      </c>
      <c r="Q925" s="68" t="e">
        <f aca="false">VLOOKUP(A925,BD_ORDENES!A:BE,52,FALSE())</f>
        <v>#N/A</v>
      </c>
      <c r="R925" s="68" t="e">
        <f aca="false">VLOOKUP(A925,BD_ORDENES!A:BE,25,FALSE())</f>
        <v>#N/A</v>
      </c>
      <c r="S925" s="68" t="e">
        <f aca="false">VLOOKUP(A925,BD_ORDENES!A:BE,22,FALSE())</f>
        <v>#N/A</v>
      </c>
      <c r="T925" s="65" t="e">
        <f aca="false">VLOOKUP(A925,BD_ORDENES!A:BE,55,FALSE())</f>
        <v>#N/A</v>
      </c>
      <c r="U925" s="68" t="e">
        <f aca="false">VLOOKUP(A925,BD_ORDENES!A:BE,57,FALSE())</f>
        <v>#N/A</v>
      </c>
      <c r="V925" s="70"/>
    </row>
    <row r="926" customFormat="false" ht="29.1" hidden="false" customHeight="false" outlineLevel="0" collapsed="false">
      <c r="A926" s="62" t="n">
        <f aca="false">A925+1</f>
        <v>919</v>
      </c>
      <c r="B926" s="63" t="e">
        <f aca="false">VLOOKUP(A926,BD_ORDENES!A:BG,12,FALSE())</f>
        <v>#N/A</v>
      </c>
      <c r="C926" s="64" t="n">
        <v>919</v>
      </c>
      <c r="D926" s="65" t="e">
        <f aca="false">VLOOKUP(A926,BD_ORDENES!A:BE,10,0)</f>
        <v>#N/A</v>
      </c>
      <c r="E926" s="66" t="e">
        <f aca="false">VLOOKUP(A926,BD_ORDENES!A:BG,4,FALSE())</f>
        <v>#N/A</v>
      </c>
      <c r="F926" s="66" t="e">
        <f aca="false">VLOOKUP(A926,BD_ORDENES!A:BE,56,FALSE())</f>
        <v>#N/A</v>
      </c>
      <c r="G926" s="67" t="e">
        <f aca="false">VLOOKUP(A926,BD_ORDENES!A:BE,13,FALSE())</f>
        <v>#N/A</v>
      </c>
      <c r="H926" s="68" t="e">
        <f aca="false">VLOOKUP(A926,BD_ORDENES!A:BE,17,FALSE())</f>
        <v>#N/A</v>
      </c>
      <c r="I926" s="68" t="e">
        <f aca="false">VLOOKUP(A926,BD_ORDENES!A:BE,18,FALSE())</f>
        <v>#N/A</v>
      </c>
      <c r="J926" s="68" t="e">
        <f aca="false">VLOOKUP(A926,BD_ORDENES!A:BE,19,FALSE())</f>
        <v>#N/A</v>
      </c>
      <c r="K926" s="68" t="e">
        <f aca="false">VLOOKUP(A926,BD_ORDENES!A:BE,20,FALSE())</f>
        <v>#N/A</v>
      </c>
      <c r="L926" s="68" t="e">
        <f aca="false">VLOOKUP(A926,BD_ORDENES!A:BE,21,FALSE())</f>
        <v>#N/A</v>
      </c>
      <c r="M926" s="69" t="e">
        <f aca="false">VLOOKUP(A926,BD_ORDENES!A:BE,14,FALSE())</f>
        <v>#N/A</v>
      </c>
      <c r="N926" s="68" t="e">
        <f aca="false">VLOOKUP(A926,BD_ORDENES!A:BE,15,FALSE())</f>
        <v>#N/A</v>
      </c>
      <c r="O926" s="68" t="e">
        <f aca="false">VLOOKUP(A926,BD_ORDENES!A:BE,33,FALSE())</f>
        <v>#N/A</v>
      </c>
      <c r="P926" s="68" t="e">
        <f aca="false">VLOOKUP(A926,BD_ORDENES!A:BE,23,FALSE())</f>
        <v>#N/A</v>
      </c>
      <c r="Q926" s="68" t="e">
        <f aca="false">VLOOKUP(A926,BD_ORDENES!A:BE,52,FALSE())</f>
        <v>#N/A</v>
      </c>
      <c r="R926" s="68" t="e">
        <f aca="false">VLOOKUP(A926,BD_ORDENES!A:BE,25,FALSE())</f>
        <v>#N/A</v>
      </c>
      <c r="S926" s="68" t="e">
        <f aca="false">VLOOKUP(A926,BD_ORDENES!A:BE,22,FALSE())</f>
        <v>#N/A</v>
      </c>
      <c r="T926" s="65" t="e">
        <f aca="false">VLOOKUP(A926,BD_ORDENES!A:BE,55,FALSE())</f>
        <v>#N/A</v>
      </c>
      <c r="U926" s="68" t="e">
        <f aca="false">VLOOKUP(A926,BD_ORDENES!A:BE,57,FALSE())</f>
        <v>#N/A</v>
      </c>
      <c r="V926" s="70"/>
    </row>
    <row r="927" customFormat="false" ht="29.1" hidden="false" customHeight="false" outlineLevel="0" collapsed="false">
      <c r="A927" s="62" t="n">
        <f aca="false">A926+1</f>
        <v>920</v>
      </c>
      <c r="B927" s="63" t="e">
        <f aca="false">VLOOKUP(A927,BD_ORDENES!A:BG,12,FALSE())</f>
        <v>#N/A</v>
      </c>
      <c r="C927" s="64" t="n">
        <v>920</v>
      </c>
      <c r="D927" s="65" t="e">
        <f aca="false">VLOOKUP(A927,BD_ORDENES!A:BE,10,0)</f>
        <v>#N/A</v>
      </c>
      <c r="E927" s="66" t="e">
        <f aca="false">VLOOKUP(A927,BD_ORDENES!A:BG,4,FALSE())</f>
        <v>#N/A</v>
      </c>
      <c r="F927" s="66" t="e">
        <f aca="false">VLOOKUP(A927,BD_ORDENES!A:BE,56,FALSE())</f>
        <v>#N/A</v>
      </c>
      <c r="G927" s="67" t="e">
        <f aca="false">VLOOKUP(A927,BD_ORDENES!A:BE,13,FALSE())</f>
        <v>#N/A</v>
      </c>
      <c r="H927" s="68" t="e">
        <f aca="false">VLOOKUP(A927,BD_ORDENES!A:BE,17,FALSE())</f>
        <v>#N/A</v>
      </c>
      <c r="I927" s="68" t="e">
        <f aca="false">VLOOKUP(A927,BD_ORDENES!A:BE,18,FALSE())</f>
        <v>#N/A</v>
      </c>
      <c r="J927" s="68" t="e">
        <f aca="false">VLOOKUP(A927,BD_ORDENES!A:BE,19,FALSE())</f>
        <v>#N/A</v>
      </c>
      <c r="K927" s="68" t="e">
        <f aca="false">VLOOKUP(A927,BD_ORDENES!A:BE,20,FALSE())</f>
        <v>#N/A</v>
      </c>
      <c r="L927" s="68" t="e">
        <f aca="false">VLOOKUP(A927,BD_ORDENES!A:BE,21,FALSE())</f>
        <v>#N/A</v>
      </c>
      <c r="M927" s="69" t="e">
        <f aca="false">VLOOKUP(A927,BD_ORDENES!A:BE,14,FALSE())</f>
        <v>#N/A</v>
      </c>
      <c r="N927" s="68" t="e">
        <f aca="false">VLOOKUP(A927,BD_ORDENES!A:BE,15,FALSE())</f>
        <v>#N/A</v>
      </c>
      <c r="O927" s="68" t="e">
        <f aca="false">VLOOKUP(A927,BD_ORDENES!A:BE,33,FALSE())</f>
        <v>#N/A</v>
      </c>
      <c r="P927" s="68" t="e">
        <f aca="false">VLOOKUP(A927,BD_ORDENES!A:BE,23,FALSE())</f>
        <v>#N/A</v>
      </c>
      <c r="Q927" s="68" t="e">
        <f aca="false">VLOOKUP(A927,BD_ORDENES!A:BE,52,FALSE())</f>
        <v>#N/A</v>
      </c>
      <c r="R927" s="68" t="e">
        <f aca="false">VLOOKUP(A927,BD_ORDENES!A:BE,25,FALSE())</f>
        <v>#N/A</v>
      </c>
      <c r="S927" s="68" t="e">
        <f aca="false">VLOOKUP(A927,BD_ORDENES!A:BE,22,FALSE())</f>
        <v>#N/A</v>
      </c>
      <c r="T927" s="65" t="e">
        <f aca="false">VLOOKUP(A927,BD_ORDENES!A:BE,55,FALSE())</f>
        <v>#N/A</v>
      </c>
      <c r="U927" s="68" t="e">
        <f aca="false">VLOOKUP(A927,BD_ORDENES!A:BE,57,FALSE())</f>
        <v>#N/A</v>
      </c>
      <c r="V927" s="70"/>
    </row>
    <row r="928" customFormat="false" ht="29.1" hidden="false" customHeight="false" outlineLevel="0" collapsed="false">
      <c r="A928" s="62" t="n">
        <f aca="false">A927+1</f>
        <v>921</v>
      </c>
      <c r="B928" s="63" t="e">
        <f aca="false">VLOOKUP(A928,BD_ORDENES!A:BG,12,FALSE())</f>
        <v>#N/A</v>
      </c>
      <c r="C928" s="64" t="n">
        <v>921</v>
      </c>
      <c r="D928" s="65" t="e">
        <f aca="false">VLOOKUP(A928,BD_ORDENES!A:BE,10,0)</f>
        <v>#N/A</v>
      </c>
      <c r="E928" s="66" t="e">
        <f aca="false">VLOOKUP(A928,BD_ORDENES!A:BG,4,FALSE())</f>
        <v>#N/A</v>
      </c>
      <c r="F928" s="66" t="e">
        <f aca="false">VLOOKUP(A928,BD_ORDENES!A:BE,56,FALSE())</f>
        <v>#N/A</v>
      </c>
      <c r="G928" s="67" t="e">
        <f aca="false">VLOOKUP(A928,BD_ORDENES!A:BE,13,FALSE())</f>
        <v>#N/A</v>
      </c>
      <c r="H928" s="68" t="e">
        <f aca="false">VLOOKUP(A928,BD_ORDENES!A:BE,17,FALSE())</f>
        <v>#N/A</v>
      </c>
      <c r="I928" s="68" t="e">
        <f aca="false">VLOOKUP(A928,BD_ORDENES!A:BE,18,FALSE())</f>
        <v>#N/A</v>
      </c>
      <c r="J928" s="68" t="e">
        <f aca="false">VLOOKUP(A928,BD_ORDENES!A:BE,19,FALSE())</f>
        <v>#N/A</v>
      </c>
      <c r="K928" s="68" t="e">
        <f aca="false">VLOOKUP(A928,BD_ORDENES!A:BE,20,FALSE())</f>
        <v>#N/A</v>
      </c>
      <c r="L928" s="68" t="e">
        <f aca="false">VLOOKUP(A928,BD_ORDENES!A:BE,21,FALSE())</f>
        <v>#N/A</v>
      </c>
      <c r="M928" s="69" t="e">
        <f aca="false">VLOOKUP(A928,BD_ORDENES!A:BE,14,FALSE())</f>
        <v>#N/A</v>
      </c>
      <c r="N928" s="68" t="e">
        <f aca="false">VLOOKUP(A928,BD_ORDENES!A:BE,15,FALSE())</f>
        <v>#N/A</v>
      </c>
      <c r="O928" s="68" t="e">
        <f aca="false">VLOOKUP(A928,BD_ORDENES!A:BE,33,FALSE())</f>
        <v>#N/A</v>
      </c>
      <c r="P928" s="68" t="e">
        <f aca="false">VLOOKUP(A928,BD_ORDENES!A:BE,23,FALSE())</f>
        <v>#N/A</v>
      </c>
      <c r="Q928" s="68" t="e">
        <f aca="false">VLOOKUP(A928,BD_ORDENES!A:BE,52,FALSE())</f>
        <v>#N/A</v>
      </c>
      <c r="R928" s="68" t="e">
        <f aca="false">VLOOKUP(A928,BD_ORDENES!A:BE,25,FALSE())</f>
        <v>#N/A</v>
      </c>
      <c r="S928" s="68" t="e">
        <f aca="false">VLOOKUP(A928,BD_ORDENES!A:BE,22,FALSE())</f>
        <v>#N/A</v>
      </c>
      <c r="T928" s="65" t="e">
        <f aca="false">VLOOKUP(A928,BD_ORDENES!A:BE,55,FALSE())</f>
        <v>#N/A</v>
      </c>
      <c r="U928" s="68" t="e">
        <f aca="false">VLOOKUP(A928,BD_ORDENES!A:BE,57,FALSE())</f>
        <v>#N/A</v>
      </c>
      <c r="V928" s="70"/>
    </row>
    <row r="929" customFormat="false" ht="29.1" hidden="false" customHeight="false" outlineLevel="0" collapsed="false">
      <c r="A929" s="62" t="n">
        <f aca="false">A928+1</f>
        <v>922</v>
      </c>
      <c r="B929" s="63" t="e">
        <f aca="false">VLOOKUP(A929,BD_ORDENES!A:BG,12,FALSE())</f>
        <v>#N/A</v>
      </c>
      <c r="C929" s="64" t="n">
        <v>922</v>
      </c>
      <c r="D929" s="65" t="e">
        <f aca="false">VLOOKUP(A929,BD_ORDENES!A:BE,10,0)</f>
        <v>#N/A</v>
      </c>
      <c r="E929" s="66" t="e">
        <f aca="false">VLOOKUP(A929,BD_ORDENES!A:BG,4,FALSE())</f>
        <v>#N/A</v>
      </c>
      <c r="F929" s="66" t="e">
        <f aca="false">VLOOKUP(A929,BD_ORDENES!A:BE,56,FALSE())</f>
        <v>#N/A</v>
      </c>
      <c r="G929" s="67" t="e">
        <f aca="false">VLOOKUP(A929,BD_ORDENES!A:BE,13,FALSE())</f>
        <v>#N/A</v>
      </c>
      <c r="H929" s="68" t="e">
        <f aca="false">VLOOKUP(A929,BD_ORDENES!A:BE,17,FALSE())</f>
        <v>#N/A</v>
      </c>
      <c r="I929" s="68" t="e">
        <f aca="false">VLOOKUP(A929,BD_ORDENES!A:BE,18,FALSE())</f>
        <v>#N/A</v>
      </c>
      <c r="J929" s="68" t="e">
        <f aca="false">VLOOKUP(A929,BD_ORDENES!A:BE,19,FALSE())</f>
        <v>#N/A</v>
      </c>
      <c r="K929" s="68" t="e">
        <f aca="false">VLOOKUP(A929,BD_ORDENES!A:BE,20,FALSE())</f>
        <v>#N/A</v>
      </c>
      <c r="L929" s="68" t="e">
        <f aca="false">VLOOKUP(A929,BD_ORDENES!A:BE,21,FALSE())</f>
        <v>#N/A</v>
      </c>
      <c r="M929" s="69" t="e">
        <f aca="false">VLOOKUP(A929,BD_ORDENES!A:BE,14,FALSE())</f>
        <v>#N/A</v>
      </c>
      <c r="N929" s="68" t="e">
        <f aca="false">VLOOKUP(A929,BD_ORDENES!A:BE,15,FALSE())</f>
        <v>#N/A</v>
      </c>
      <c r="O929" s="68" t="e">
        <f aca="false">VLOOKUP(A929,BD_ORDENES!A:BE,33,FALSE())</f>
        <v>#N/A</v>
      </c>
      <c r="P929" s="68" t="e">
        <f aca="false">VLOOKUP(A929,BD_ORDENES!A:BE,23,FALSE())</f>
        <v>#N/A</v>
      </c>
      <c r="Q929" s="68" t="e">
        <f aca="false">VLOOKUP(A929,BD_ORDENES!A:BE,52,FALSE())</f>
        <v>#N/A</v>
      </c>
      <c r="R929" s="68" t="e">
        <f aca="false">VLOOKUP(A929,BD_ORDENES!A:BE,25,FALSE())</f>
        <v>#N/A</v>
      </c>
      <c r="S929" s="68" t="e">
        <f aca="false">VLOOKUP(A929,BD_ORDENES!A:BE,22,FALSE())</f>
        <v>#N/A</v>
      </c>
      <c r="T929" s="65" t="e">
        <f aca="false">VLOOKUP(A929,BD_ORDENES!A:BE,55,FALSE())</f>
        <v>#N/A</v>
      </c>
      <c r="U929" s="68" t="e">
        <f aca="false">VLOOKUP(A929,BD_ORDENES!A:BE,57,FALSE())</f>
        <v>#N/A</v>
      </c>
      <c r="V929" s="70"/>
    </row>
    <row r="930" customFormat="false" ht="29.1" hidden="false" customHeight="false" outlineLevel="0" collapsed="false">
      <c r="A930" s="62" t="n">
        <f aca="false">A929+1</f>
        <v>923</v>
      </c>
      <c r="B930" s="63" t="e">
        <f aca="false">VLOOKUP(A930,BD_ORDENES!A:BG,12,FALSE())</f>
        <v>#N/A</v>
      </c>
      <c r="C930" s="64" t="n">
        <v>923</v>
      </c>
      <c r="D930" s="65" t="e">
        <f aca="false">VLOOKUP(A930,BD_ORDENES!A:BE,10,0)</f>
        <v>#N/A</v>
      </c>
      <c r="E930" s="66" t="e">
        <f aca="false">VLOOKUP(A930,BD_ORDENES!A:BG,4,FALSE())</f>
        <v>#N/A</v>
      </c>
      <c r="F930" s="66" t="e">
        <f aca="false">VLOOKUP(A930,BD_ORDENES!A:BE,56,FALSE())</f>
        <v>#N/A</v>
      </c>
      <c r="G930" s="67" t="e">
        <f aca="false">VLOOKUP(A930,BD_ORDENES!A:BE,13,FALSE())</f>
        <v>#N/A</v>
      </c>
      <c r="H930" s="68" t="e">
        <f aca="false">VLOOKUP(A930,BD_ORDENES!A:BE,17,FALSE())</f>
        <v>#N/A</v>
      </c>
      <c r="I930" s="68" t="e">
        <f aca="false">VLOOKUP(A930,BD_ORDENES!A:BE,18,FALSE())</f>
        <v>#N/A</v>
      </c>
      <c r="J930" s="68" t="e">
        <f aca="false">VLOOKUP(A930,BD_ORDENES!A:BE,19,FALSE())</f>
        <v>#N/A</v>
      </c>
      <c r="K930" s="68" t="e">
        <f aca="false">VLOOKUP(A930,BD_ORDENES!A:BE,20,FALSE())</f>
        <v>#N/A</v>
      </c>
      <c r="L930" s="68" t="e">
        <f aca="false">VLOOKUP(A930,BD_ORDENES!A:BE,21,FALSE())</f>
        <v>#N/A</v>
      </c>
      <c r="M930" s="69" t="e">
        <f aca="false">VLOOKUP(A930,BD_ORDENES!A:BE,14,FALSE())</f>
        <v>#N/A</v>
      </c>
      <c r="N930" s="68" t="e">
        <f aca="false">VLOOKUP(A930,BD_ORDENES!A:BE,15,FALSE())</f>
        <v>#N/A</v>
      </c>
      <c r="O930" s="68" t="e">
        <f aca="false">VLOOKUP(A930,BD_ORDENES!A:BE,33,FALSE())</f>
        <v>#N/A</v>
      </c>
      <c r="P930" s="68" t="e">
        <f aca="false">VLOOKUP(A930,BD_ORDENES!A:BE,23,FALSE())</f>
        <v>#N/A</v>
      </c>
      <c r="Q930" s="68" t="e">
        <f aca="false">VLOOKUP(A930,BD_ORDENES!A:BE,52,FALSE())</f>
        <v>#N/A</v>
      </c>
      <c r="R930" s="68" t="e">
        <f aca="false">VLOOKUP(A930,BD_ORDENES!A:BE,25,FALSE())</f>
        <v>#N/A</v>
      </c>
      <c r="S930" s="68" t="e">
        <f aca="false">VLOOKUP(A930,BD_ORDENES!A:BE,22,FALSE())</f>
        <v>#N/A</v>
      </c>
      <c r="T930" s="65" t="e">
        <f aca="false">VLOOKUP(A930,BD_ORDENES!A:BE,55,FALSE())</f>
        <v>#N/A</v>
      </c>
      <c r="U930" s="68" t="e">
        <f aca="false">VLOOKUP(A930,BD_ORDENES!A:BE,57,FALSE())</f>
        <v>#N/A</v>
      </c>
      <c r="V930" s="70"/>
    </row>
    <row r="931" customFormat="false" ht="29.1" hidden="false" customHeight="false" outlineLevel="0" collapsed="false">
      <c r="A931" s="62" t="n">
        <f aca="false">A930+1</f>
        <v>924</v>
      </c>
      <c r="B931" s="63" t="e">
        <f aca="false">VLOOKUP(A931,BD_ORDENES!A:BG,12,FALSE())</f>
        <v>#N/A</v>
      </c>
      <c r="C931" s="64" t="n">
        <v>924</v>
      </c>
      <c r="D931" s="65" t="e">
        <f aca="false">VLOOKUP(A931,BD_ORDENES!A:BE,10,0)</f>
        <v>#N/A</v>
      </c>
      <c r="E931" s="66" t="e">
        <f aca="false">VLOOKUP(A931,BD_ORDENES!A:BG,4,FALSE())</f>
        <v>#N/A</v>
      </c>
      <c r="F931" s="66" t="e">
        <f aca="false">VLOOKUP(A931,BD_ORDENES!A:BE,56,FALSE())</f>
        <v>#N/A</v>
      </c>
      <c r="G931" s="67" t="e">
        <f aca="false">VLOOKUP(A931,BD_ORDENES!A:BE,13,FALSE())</f>
        <v>#N/A</v>
      </c>
      <c r="H931" s="68" t="e">
        <f aca="false">VLOOKUP(A931,BD_ORDENES!A:BE,17,FALSE())</f>
        <v>#N/A</v>
      </c>
      <c r="I931" s="68" t="e">
        <f aca="false">VLOOKUP(A931,BD_ORDENES!A:BE,18,FALSE())</f>
        <v>#N/A</v>
      </c>
      <c r="J931" s="68" t="e">
        <f aca="false">VLOOKUP(A931,BD_ORDENES!A:BE,19,FALSE())</f>
        <v>#N/A</v>
      </c>
      <c r="K931" s="68" t="e">
        <f aca="false">VLOOKUP(A931,BD_ORDENES!A:BE,20,FALSE())</f>
        <v>#N/A</v>
      </c>
      <c r="L931" s="68" t="e">
        <f aca="false">VLOOKUP(A931,BD_ORDENES!A:BE,21,FALSE())</f>
        <v>#N/A</v>
      </c>
      <c r="M931" s="69" t="e">
        <f aca="false">VLOOKUP(A931,BD_ORDENES!A:BE,14,FALSE())</f>
        <v>#N/A</v>
      </c>
      <c r="N931" s="68" t="e">
        <f aca="false">VLOOKUP(A931,BD_ORDENES!A:BE,15,FALSE())</f>
        <v>#N/A</v>
      </c>
      <c r="O931" s="68" t="e">
        <f aca="false">VLOOKUP(A931,BD_ORDENES!A:BE,33,FALSE())</f>
        <v>#N/A</v>
      </c>
      <c r="P931" s="68" t="e">
        <f aca="false">VLOOKUP(A931,BD_ORDENES!A:BE,23,FALSE())</f>
        <v>#N/A</v>
      </c>
      <c r="Q931" s="68" t="e">
        <f aca="false">VLOOKUP(A931,BD_ORDENES!A:BE,52,FALSE())</f>
        <v>#N/A</v>
      </c>
      <c r="R931" s="68" t="e">
        <f aca="false">VLOOKUP(A931,BD_ORDENES!A:BE,25,FALSE())</f>
        <v>#N/A</v>
      </c>
      <c r="S931" s="68" t="e">
        <f aca="false">VLOOKUP(A931,BD_ORDENES!A:BE,22,FALSE())</f>
        <v>#N/A</v>
      </c>
      <c r="T931" s="65" t="e">
        <f aca="false">VLOOKUP(A931,BD_ORDENES!A:BE,55,FALSE())</f>
        <v>#N/A</v>
      </c>
      <c r="U931" s="68" t="e">
        <f aca="false">VLOOKUP(A931,BD_ORDENES!A:BE,57,FALSE())</f>
        <v>#N/A</v>
      </c>
      <c r="V931" s="70"/>
    </row>
    <row r="932" customFormat="false" ht="29.1" hidden="false" customHeight="false" outlineLevel="0" collapsed="false">
      <c r="A932" s="62" t="n">
        <f aca="false">A931+1</f>
        <v>925</v>
      </c>
      <c r="B932" s="63" t="e">
        <f aca="false">VLOOKUP(A932,BD_ORDENES!A:BG,12,FALSE())</f>
        <v>#N/A</v>
      </c>
      <c r="C932" s="64" t="n">
        <v>925</v>
      </c>
      <c r="D932" s="65" t="e">
        <f aca="false">VLOOKUP(A932,BD_ORDENES!A:BE,10,0)</f>
        <v>#N/A</v>
      </c>
      <c r="E932" s="66" t="e">
        <f aca="false">VLOOKUP(A932,BD_ORDENES!A:BG,4,FALSE())</f>
        <v>#N/A</v>
      </c>
      <c r="F932" s="66" t="e">
        <f aca="false">VLOOKUP(A932,BD_ORDENES!A:BE,56,FALSE())</f>
        <v>#N/A</v>
      </c>
      <c r="G932" s="67" t="e">
        <f aca="false">VLOOKUP(A932,BD_ORDENES!A:BE,13,FALSE())</f>
        <v>#N/A</v>
      </c>
      <c r="H932" s="68" t="e">
        <f aca="false">VLOOKUP(A932,BD_ORDENES!A:BE,17,FALSE())</f>
        <v>#N/A</v>
      </c>
      <c r="I932" s="68" t="e">
        <f aca="false">VLOOKUP(A932,BD_ORDENES!A:BE,18,FALSE())</f>
        <v>#N/A</v>
      </c>
      <c r="J932" s="68" t="e">
        <f aca="false">VLOOKUP(A932,BD_ORDENES!A:BE,19,FALSE())</f>
        <v>#N/A</v>
      </c>
      <c r="K932" s="68" t="e">
        <f aca="false">VLOOKUP(A932,BD_ORDENES!A:BE,20,FALSE())</f>
        <v>#N/A</v>
      </c>
      <c r="L932" s="68" t="e">
        <f aca="false">VLOOKUP(A932,BD_ORDENES!A:BE,21,FALSE())</f>
        <v>#N/A</v>
      </c>
      <c r="M932" s="69" t="e">
        <f aca="false">VLOOKUP(A932,BD_ORDENES!A:BE,14,FALSE())</f>
        <v>#N/A</v>
      </c>
      <c r="N932" s="68" t="e">
        <f aca="false">VLOOKUP(A932,BD_ORDENES!A:BE,15,FALSE())</f>
        <v>#N/A</v>
      </c>
      <c r="O932" s="68" t="e">
        <f aca="false">VLOOKUP(A932,BD_ORDENES!A:BE,33,FALSE())</f>
        <v>#N/A</v>
      </c>
      <c r="P932" s="68" t="e">
        <f aca="false">VLOOKUP(A932,BD_ORDENES!A:BE,23,FALSE())</f>
        <v>#N/A</v>
      </c>
      <c r="Q932" s="68" t="e">
        <f aca="false">VLOOKUP(A932,BD_ORDENES!A:BE,52,FALSE())</f>
        <v>#N/A</v>
      </c>
      <c r="R932" s="68" t="e">
        <f aca="false">VLOOKUP(A932,BD_ORDENES!A:BE,25,FALSE())</f>
        <v>#N/A</v>
      </c>
      <c r="S932" s="68" t="e">
        <f aca="false">VLOOKUP(A932,BD_ORDENES!A:BE,22,FALSE())</f>
        <v>#N/A</v>
      </c>
      <c r="T932" s="65" t="e">
        <f aca="false">VLOOKUP(A932,BD_ORDENES!A:BE,55,FALSE())</f>
        <v>#N/A</v>
      </c>
      <c r="U932" s="68" t="e">
        <f aca="false">VLOOKUP(A932,BD_ORDENES!A:BE,57,FALSE())</f>
        <v>#N/A</v>
      </c>
      <c r="V932" s="70"/>
    </row>
    <row r="933" customFormat="false" ht="29.1" hidden="false" customHeight="false" outlineLevel="0" collapsed="false">
      <c r="A933" s="62" t="n">
        <f aca="false">A932+1</f>
        <v>926</v>
      </c>
      <c r="B933" s="63" t="e">
        <f aca="false">VLOOKUP(A933,BD_ORDENES!A:BG,12,FALSE())</f>
        <v>#N/A</v>
      </c>
      <c r="C933" s="64" t="n">
        <v>926</v>
      </c>
      <c r="D933" s="65" t="e">
        <f aca="false">VLOOKUP(A933,BD_ORDENES!A:BE,10,0)</f>
        <v>#N/A</v>
      </c>
      <c r="E933" s="66" t="e">
        <f aca="false">VLOOKUP(A933,BD_ORDENES!A:BG,4,FALSE())</f>
        <v>#N/A</v>
      </c>
      <c r="F933" s="66" t="e">
        <f aca="false">VLOOKUP(A933,BD_ORDENES!A:BE,56,FALSE())</f>
        <v>#N/A</v>
      </c>
      <c r="G933" s="67" t="e">
        <f aca="false">VLOOKUP(A933,BD_ORDENES!A:BE,13,FALSE())</f>
        <v>#N/A</v>
      </c>
      <c r="H933" s="68" t="e">
        <f aca="false">VLOOKUP(A933,BD_ORDENES!A:BE,17,FALSE())</f>
        <v>#N/A</v>
      </c>
      <c r="I933" s="68" t="e">
        <f aca="false">VLOOKUP(A933,BD_ORDENES!A:BE,18,FALSE())</f>
        <v>#N/A</v>
      </c>
      <c r="J933" s="68" t="e">
        <f aca="false">VLOOKUP(A933,BD_ORDENES!A:BE,19,FALSE())</f>
        <v>#N/A</v>
      </c>
      <c r="K933" s="68" t="e">
        <f aca="false">VLOOKUP(A933,BD_ORDENES!A:BE,20,FALSE())</f>
        <v>#N/A</v>
      </c>
      <c r="L933" s="68" t="e">
        <f aca="false">VLOOKUP(A933,BD_ORDENES!A:BE,21,FALSE())</f>
        <v>#N/A</v>
      </c>
      <c r="M933" s="69" t="e">
        <f aca="false">VLOOKUP(A933,BD_ORDENES!A:BE,14,FALSE())</f>
        <v>#N/A</v>
      </c>
      <c r="N933" s="68" t="e">
        <f aca="false">VLOOKUP(A933,BD_ORDENES!A:BE,15,FALSE())</f>
        <v>#N/A</v>
      </c>
      <c r="O933" s="68" t="e">
        <f aca="false">VLOOKUP(A933,BD_ORDENES!A:BE,33,FALSE())</f>
        <v>#N/A</v>
      </c>
      <c r="P933" s="68" t="e">
        <f aca="false">VLOOKUP(A933,BD_ORDENES!A:BE,23,FALSE())</f>
        <v>#N/A</v>
      </c>
      <c r="Q933" s="68" t="e">
        <f aca="false">VLOOKUP(A933,BD_ORDENES!A:BE,52,FALSE())</f>
        <v>#N/A</v>
      </c>
      <c r="R933" s="68" t="e">
        <f aca="false">VLOOKUP(A933,BD_ORDENES!A:BE,25,FALSE())</f>
        <v>#N/A</v>
      </c>
      <c r="S933" s="68" t="e">
        <f aca="false">VLOOKUP(A933,BD_ORDENES!A:BE,22,FALSE())</f>
        <v>#N/A</v>
      </c>
      <c r="T933" s="65" t="e">
        <f aca="false">VLOOKUP(A933,BD_ORDENES!A:BE,55,FALSE())</f>
        <v>#N/A</v>
      </c>
      <c r="U933" s="68" t="e">
        <f aca="false">VLOOKUP(A933,BD_ORDENES!A:BE,57,FALSE())</f>
        <v>#N/A</v>
      </c>
      <c r="V933" s="70"/>
    </row>
    <row r="934" customFormat="false" ht="29.1" hidden="false" customHeight="false" outlineLevel="0" collapsed="false">
      <c r="A934" s="62" t="n">
        <f aca="false">A933+1</f>
        <v>927</v>
      </c>
      <c r="B934" s="63" t="e">
        <f aca="false">VLOOKUP(A934,BD_ORDENES!A:BG,12,FALSE())</f>
        <v>#N/A</v>
      </c>
      <c r="C934" s="64" t="n">
        <v>927</v>
      </c>
      <c r="D934" s="65" t="e">
        <f aca="false">VLOOKUP(A934,BD_ORDENES!A:BE,10,0)</f>
        <v>#N/A</v>
      </c>
      <c r="E934" s="66" t="e">
        <f aca="false">VLOOKUP(A934,BD_ORDENES!A:BG,4,FALSE())</f>
        <v>#N/A</v>
      </c>
      <c r="F934" s="66" t="e">
        <f aca="false">VLOOKUP(A934,BD_ORDENES!A:BE,56,FALSE())</f>
        <v>#N/A</v>
      </c>
      <c r="G934" s="67" t="e">
        <f aca="false">VLOOKUP(A934,BD_ORDENES!A:BE,13,FALSE())</f>
        <v>#N/A</v>
      </c>
      <c r="H934" s="68" t="e">
        <f aca="false">VLOOKUP(A934,BD_ORDENES!A:BE,17,FALSE())</f>
        <v>#N/A</v>
      </c>
      <c r="I934" s="68" t="e">
        <f aca="false">VLOOKUP(A934,BD_ORDENES!A:BE,18,FALSE())</f>
        <v>#N/A</v>
      </c>
      <c r="J934" s="68" t="e">
        <f aca="false">VLOOKUP(A934,BD_ORDENES!A:BE,19,FALSE())</f>
        <v>#N/A</v>
      </c>
      <c r="K934" s="68" t="e">
        <f aca="false">VLOOKUP(A934,BD_ORDENES!A:BE,20,FALSE())</f>
        <v>#N/A</v>
      </c>
      <c r="L934" s="68" t="e">
        <f aca="false">VLOOKUP(A934,BD_ORDENES!A:BE,21,FALSE())</f>
        <v>#N/A</v>
      </c>
      <c r="M934" s="69" t="e">
        <f aca="false">VLOOKUP(A934,BD_ORDENES!A:BE,14,FALSE())</f>
        <v>#N/A</v>
      </c>
      <c r="N934" s="68" t="e">
        <f aca="false">VLOOKUP(A934,BD_ORDENES!A:BE,15,FALSE())</f>
        <v>#N/A</v>
      </c>
      <c r="O934" s="68" t="e">
        <f aca="false">VLOOKUP(A934,BD_ORDENES!A:BE,33,FALSE())</f>
        <v>#N/A</v>
      </c>
      <c r="P934" s="68" t="e">
        <f aca="false">VLOOKUP(A934,BD_ORDENES!A:BE,23,FALSE())</f>
        <v>#N/A</v>
      </c>
      <c r="Q934" s="68" t="e">
        <f aca="false">VLOOKUP(A934,BD_ORDENES!A:BE,52,FALSE())</f>
        <v>#N/A</v>
      </c>
      <c r="R934" s="68" t="e">
        <f aca="false">VLOOKUP(A934,BD_ORDENES!A:BE,25,FALSE())</f>
        <v>#N/A</v>
      </c>
      <c r="S934" s="68" t="e">
        <f aca="false">VLOOKUP(A934,BD_ORDENES!A:BE,22,FALSE())</f>
        <v>#N/A</v>
      </c>
      <c r="T934" s="65" t="e">
        <f aca="false">VLOOKUP(A934,BD_ORDENES!A:BE,55,FALSE())</f>
        <v>#N/A</v>
      </c>
      <c r="U934" s="68" t="e">
        <f aca="false">VLOOKUP(A934,BD_ORDENES!A:BE,57,FALSE())</f>
        <v>#N/A</v>
      </c>
      <c r="V934" s="70"/>
    </row>
    <row r="935" customFormat="false" ht="29.1" hidden="false" customHeight="false" outlineLevel="0" collapsed="false">
      <c r="A935" s="62" t="n">
        <f aca="false">A934+1</f>
        <v>928</v>
      </c>
      <c r="B935" s="63" t="e">
        <f aca="false">VLOOKUP(A935,BD_ORDENES!A:BG,12,FALSE())</f>
        <v>#N/A</v>
      </c>
      <c r="C935" s="64" t="n">
        <v>928</v>
      </c>
      <c r="D935" s="65" t="e">
        <f aca="false">VLOOKUP(A935,BD_ORDENES!A:BE,10,0)</f>
        <v>#N/A</v>
      </c>
      <c r="E935" s="66" t="e">
        <f aca="false">VLOOKUP(A935,BD_ORDENES!A:BG,4,FALSE())</f>
        <v>#N/A</v>
      </c>
      <c r="F935" s="66" t="e">
        <f aca="false">VLOOKUP(A935,BD_ORDENES!A:BE,56,FALSE())</f>
        <v>#N/A</v>
      </c>
      <c r="G935" s="67" t="e">
        <f aca="false">VLOOKUP(A935,BD_ORDENES!A:BE,13,FALSE())</f>
        <v>#N/A</v>
      </c>
      <c r="H935" s="68" t="e">
        <f aca="false">VLOOKUP(A935,BD_ORDENES!A:BE,17,FALSE())</f>
        <v>#N/A</v>
      </c>
      <c r="I935" s="68" t="e">
        <f aca="false">VLOOKUP(A935,BD_ORDENES!A:BE,18,FALSE())</f>
        <v>#N/A</v>
      </c>
      <c r="J935" s="68" t="e">
        <f aca="false">VLOOKUP(A935,BD_ORDENES!A:BE,19,FALSE())</f>
        <v>#N/A</v>
      </c>
      <c r="K935" s="68" t="e">
        <f aca="false">VLOOKUP(A935,BD_ORDENES!A:BE,20,FALSE())</f>
        <v>#N/A</v>
      </c>
      <c r="L935" s="68" t="e">
        <f aca="false">VLOOKUP(A935,BD_ORDENES!A:BE,21,FALSE())</f>
        <v>#N/A</v>
      </c>
      <c r="M935" s="69" t="e">
        <f aca="false">VLOOKUP(A935,BD_ORDENES!A:BE,14,FALSE())</f>
        <v>#N/A</v>
      </c>
      <c r="N935" s="68" t="e">
        <f aca="false">VLOOKUP(A935,BD_ORDENES!A:BE,15,FALSE())</f>
        <v>#N/A</v>
      </c>
      <c r="O935" s="68" t="e">
        <f aca="false">VLOOKUP(A935,BD_ORDENES!A:BE,33,FALSE())</f>
        <v>#N/A</v>
      </c>
      <c r="P935" s="68" t="e">
        <f aca="false">VLOOKUP(A935,BD_ORDENES!A:BE,23,FALSE())</f>
        <v>#N/A</v>
      </c>
      <c r="Q935" s="68" t="e">
        <f aca="false">VLOOKUP(A935,BD_ORDENES!A:BE,52,FALSE())</f>
        <v>#N/A</v>
      </c>
      <c r="R935" s="68" t="e">
        <f aca="false">VLOOKUP(A935,BD_ORDENES!A:BE,25,FALSE())</f>
        <v>#N/A</v>
      </c>
      <c r="S935" s="68" t="e">
        <f aca="false">VLOOKUP(A935,BD_ORDENES!A:BE,22,FALSE())</f>
        <v>#N/A</v>
      </c>
      <c r="T935" s="65" t="e">
        <f aca="false">VLOOKUP(A935,BD_ORDENES!A:BE,55,FALSE())</f>
        <v>#N/A</v>
      </c>
      <c r="U935" s="68" t="e">
        <f aca="false">VLOOKUP(A935,BD_ORDENES!A:BE,57,FALSE())</f>
        <v>#N/A</v>
      </c>
      <c r="V935" s="70"/>
    </row>
    <row r="936" customFormat="false" ht="29.1" hidden="false" customHeight="false" outlineLevel="0" collapsed="false">
      <c r="A936" s="62" t="n">
        <f aca="false">A935+1</f>
        <v>929</v>
      </c>
      <c r="B936" s="63" t="e">
        <f aca="false">VLOOKUP(A936,BD_ORDENES!A:BG,12,FALSE())</f>
        <v>#N/A</v>
      </c>
      <c r="C936" s="64" t="n">
        <v>929</v>
      </c>
      <c r="D936" s="65" t="e">
        <f aca="false">VLOOKUP(A936,BD_ORDENES!A:BE,10,0)</f>
        <v>#N/A</v>
      </c>
      <c r="E936" s="66" t="e">
        <f aca="false">VLOOKUP(A936,BD_ORDENES!A:BG,4,FALSE())</f>
        <v>#N/A</v>
      </c>
      <c r="F936" s="66" t="e">
        <f aca="false">VLOOKUP(A936,BD_ORDENES!A:BE,56,FALSE())</f>
        <v>#N/A</v>
      </c>
      <c r="G936" s="67" t="e">
        <f aca="false">VLOOKUP(A936,BD_ORDENES!A:BE,13,FALSE())</f>
        <v>#N/A</v>
      </c>
      <c r="H936" s="68" t="e">
        <f aca="false">VLOOKUP(A936,BD_ORDENES!A:BE,17,FALSE())</f>
        <v>#N/A</v>
      </c>
      <c r="I936" s="68" t="e">
        <f aca="false">VLOOKUP(A936,BD_ORDENES!A:BE,18,FALSE())</f>
        <v>#N/A</v>
      </c>
      <c r="J936" s="68" t="e">
        <f aca="false">VLOOKUP(A936,BD_ORDENES!A:BE,19,FALSE())</f>
        <v>#N/A</v>
      </c>
      <c r="K936" s="68" t="e">
        <f aca="false">VLOOKUP(A936,BD_ORDENES!A:BE,20,FALSE())</f>
        <v>#N/A</v>
      </c>
      <c r="L936" s="68" t="e">
        <f aca="false">VLOOKUP(A936,BD_ORDENES!A:BE,21,FALSE())</f>
        <v>#N/A</v>
      </c>
      <c r="M936" s="69" t="e">
        <f aca="false">VLOOKUP(A936,BD_ORDENES!A:BE,14,FALSE())</f>
        <v>#N/A</v>
      </c>
      <c r="N936" s="68" t="e">
        <f aca="false">VLOOKUP(A936,BD_ORDENES!A:BE,15,FALSE())</f>
        <v>#N/A</v>
      </c>
      <c r="O936" s="68" t="e">
        <f aca="false">VLOOKUP(A936,BD_ORDENES!A:BE,33,FALSE())</f>
        <v>#N/A</v>
      </c>
      <c r="P936" s="68" t="e">
        <f aca="false">VLOOKUP(A936,BD_ORDENES!A:BE,23,FALSE())</f>
        <v>#N/A</v>
      </c>
      <c r="Q936" s="68" t="e">
        <f aca="false">VLOOKUP(A936,BD_ORDENES!A:BE,52,FALSE())</f>
        <v>#N/A</v>
      </c>
      <c r="R936" s="68" t="e">
        <f aca="false">VLOOKUP(A936,BD_ORDENES!A:BE,25,FALSE())</f>
        <v>#N/A</v>
      </c>
      <c r="S936" s="68" t="e">
        <f aca="false">VLOOKUP(A936,BD_ORDENES!A:BE,22,FALSE())</f>
        <v>#N/A</v>
      </c>
      <c r="T936" s="65" t="e">
        <f aca="false">VLOOKUP(A936,BD_ORDENES!A:BE,55,FALSE())</f>
        <v>#N/A</v>
      </c>
      <c r="U936" s="68" t="e">
        <f aca="false">VLOOKUP(A936,BD_ORDENES!A:BE,57,FALSE())</f>
        <v>#N/A</v>
      </c>
      <c r="V936" s="70"/>
    </row>
    <row r="937" customFormat="false" ht="29.1" hidden="false" customHeight="false" outlineLevel="0" collapsed="false">
      <c r="A937" s="62" t="n">
        <f aca="false">A936+1</f>
        <v>930</v>
      </c>
      <c r="B937" s="63" t="e">
        <f aca="false">VLOOKUP(A937,BD_ORDENES!A:BG,12,FALSE())</f>
        <v>#N/A</v>
      </c>
      <c r="C937" s="64" t="n">
        <v>930</v>
      </c>
      <c r="D937" s="65" t="e">
        <f aca="false">VLOOKUP(A937,BD_ORDENES!A:BE,10,0)</f>
        <v>#N/A</v>
      </c>
      <c r="E937" s="66" t="e">
        <f aca="false">VLOOKUP(A937,BD_ORDENES!A:BG,4,FALSE())</f>
        <v>#N/A</v>
      </c>
      <c r="F937" s="66" t="e">
        <f aca="false">VLOOKUP(A937,BD_ORDENES!A:BE,56,FALSE())</f>
        <v>#N/A</v>
      </c>
      <c r="G937" s="67" t="e">
        <f aca="false">VLOOKUP(A937,BD_ORDENES!A:BE,13,FALSE())</f>
        <v>#N/A</v>
      </c>
      <c r="H937" s="68" t="e">
        <f aca="false">VLOOKUP(A937,BD_ORDENES!A:BE,17,FALSE())</f>
        <v>#N/A</v>
      </c>
      <c r="I937" s="68" t="e">
        <f aca="false">VLOOKUP(A937,BD_ORDENES!A:BE,18,FALSE())</f>
        <v>#N/A</v>
      </c>
      <c r="J937" s="68" t="e">
        <f aca="false">VLOOKUP(A937,BD_ORDENES!A:BE,19,FALSE())</f>
        <v>#N/A</v>
      </c>
      <c r="K937" s="68" t="e">
        <f aca="false">VLOOKUP(A937,BD_ORDENES!A:BE,20,FALSE())</f>
        <v>#N/A</v>
      </c>
      <c r="L937" s="68" t="e">
        <f aca="false">VLOOKUP(A937,BD_ORDENES!A:BE,21,FALSE())</f>
        <v>#N/A</v>
      </c>
      <c r="M937" s="69" t="e">
        <f aca="false">VLOOKUP(A937,BD_ORDENES!A:BE,14,FALSE())</f>
        <v>#N/A</v>
      </c>
      <c r="N937" s="68" t="e">
        <f aca="false">VLOOKUP(A937,BD_ORDENES!A:BE,15,FALSE())</f>
        <v>#N/A</v>
      </c>
      <c r="O937" s="68" t="e">
        <f aca="false">VLOOKUP(A937,BD_ORDENES!A:BE,33,FALSE())</f>
        <v>#N/A</v>
      </c>
      <c r="P937" s="68" t="e">
        <f aca="false">VLOOKUP(A937,BD_ORDENES!A:BE,23,FALSE())</f>
        <v>#N/A</v>
      </c>
      <c r="Q937" s="68" t="e">
        <f aca="false">VLOOKUP(A937,BD_ORDENES!A:BE,52,FALSE())</f>
        <v>#N/A</v>
      </c>
      <c r="R937" s="68" t="e">
        <f aca="false">VLOOKUP(A937,BD_ORDENES!A:BE,25,FALSE())</f>
        <v>#N/A</v>
      </c>
      <c r="S937" s="68" t="e">
        <f aca="false">VLOOKUP(A937,BD_ORDENES!A:BE,22,FALSE())</f>
        <v>#N/A</v>
      </c>
      <c r="T937" s="65" t="e">
        <f aca="false">VLOOKUP(A937,BD_ORDENES!A:BE,55,FALSE())</f>
        <v>#N/A</v>
      </c>
      <c r="U937" s="68" t="e">
        <f aca="false">VLOOKUP(A937,BD_ORDENES!A:BE,57,FALSE())</f>
        <v>#N/A</v>
      </c>
      <c r="V937" s="70"/>
    </row>
    <row r="938" customFormat="false" ht="29.1" hidden="false" customHeight="false" outlineLevel="0" collapsed="false">
      <c r="A938" s="62" t="n">
        <f aca="false">A937+1</f>
        <v>931</v>
      </c>
      <c r="B938" s="63" t="e">
        <f aca="false">VLOOKUP(A938,BD_ORDENES!A:BG,12,FALSE())</f>
        <v>#N/A</v>
      </c>
      <c r="C938" s="64" t="n">
        <v>931</v>
      </c>
      <c r="D938" s="65" t="e">
        <f aca="false">VLOOKUP(A938,BD_ORDENES!A:BE,10,0)</f>
        <v>#N/A</v>
      </c>
      <c r="E938" s="66" t="e">
        <f aca="false">VLOOKUP(A938,BD_ORDENES!A:BG,4,FALSE())</f>
        <v>#N/A</v>
      </c>
      <c r="F938" s="66" t="e">
        <f aca="false">VLOOKUP(A938,BD_ORDENES!A:BE,56,FALSE())</f>
        <v>#N/A</v>
      </c>
      <c r="G938" s="67" t="e">
        <f aca="false">VLOOKUP(A938,BD_ORDENES!A:BE,13,FALSE())</f>
        <v>#N/A</v>
      </c>
      <c r="H938" s="68" t="e">
        <f aca="false">VLOOKUP(A938,BD_ORDENES!A:BE,17,FALSE())</f>
        <v>#N/A</v>
      </c>
      <c r="I938" s="68" t="e">
        <f aca="false">VLOOKUP(A938,BD_ORDENES!A:BE,18,FALSE())</f>
        <v>#N/A</v>
      </c>
      <c r="J938" s="68" t="e">
        <f aca="false">VLOOKUP(A938,BD_ORDENES!A:BE,19,FALSE())</f>
        <v>#N/A</v>
      </c>
      <c r="K938" s="68" t="e">
        <f aca="false">VLOOKUP(A938,BD_ORDENES!A:BE,20,FALSE())</f>
        <v>#N/A</v>
      </c>
      <c r="L938" s="68" t="e">
        <f aca="false">VLOOKUP(A938,BD_ORDENES!A:BE,21,FALSE())</f>
        <v>#N/A</v>
      </c>
      <c r="M938" s="69" t="e">
        <f aca="false">VLOOKUP(A938,BD_ORDENES!A:BE,14,FALSE())</f>
        <v>#N/A</v>
      </c>
      <c r="N938" s="68" t="e">
        <f aca="false">VLOOKUP(A938,BD_ORDENES!A:BE,15,FALSE())</f>
        <v>#N/A</v>
      </c>
      <c r="O938" s="68" t="e">
        <f aca="false">VLOOKUP(A938,BD_ORDENES!A:BE,33,FALSE())</f>
        <v>#N/A</v>
      </c>
      <c r="P938" s="68" t="e">
        <f aca="false">VLOOKUP(A938,BD_ORDENES!A:BE,23,FALSE())</f>
        <v>#N/A</v>
      </c>
      <c r="Q938" s="68" t="e">
        <f aca="false">VLOOKUP(A938,BD_ORDENES!A:BE,52,FALSE())</f>
        <v>#N/A</v>
      </c>
      <c r="R938" s="68" t="e">
        <f aca="false">VLOOKUP(A938,BD_ORDENES!A:BE,25,FALSE())</f>
        <v>#N/A</v>
      </c>
      <c r="S938" s="68" t="e">
        <f aca="false">VLOOKUP(A938,BD_ORDENES!A:BE,22,FALSE())</f>
        <v>#N/A</v>
      </c>
      <c r="T938" s="65" t="e">
        <f aca="false">VLOOKUP(A938,BD_ORDENES!A:BE,55,FALSE())</f>
        <v>#N/A</v>
      </c>
      <c r="U938" s="68" t="e">
        <f aca="false">VLOOKUP(A938,BD_ORDENES!A:BE,57,FALSE())</f>
        <v>#N/A</v>
      </c>
      <c r="V938" s="70"/>
    </row>
    <row r="939" customFormat="false" ht="29.1" hidden="false" customHeight="false" outlineLevel="0" collapsed="false">
      <c r="A939" s="62" t="n">
        <f aca="false">A938+1</f>
        <v>932</v>
      </c>
      <c r="B939" s="63" t="e">
        <f aca="false">VLOOKUP(A939,BD_ORDENES!A:BG,12,FALSE())</f>
        <v>#N/A</v>
      </c>
      <c r="C939" s="64" t="n">
        <v>932</v>
      </c>
      <c r="D939" s="65" t="e">
        <f aca="false">VLOOKUP(A939,BD_ORDENES!A:BE,10,0)</f>
        <v>#N/A</v>
      </c>
      <c r="E939" s="66" t="e">
        <f aca="false">VLOOKUP(A939,BD_ORDENES!A:BG,4,FALSE())</f>
        <v>#N/A</v>
      </c>
      <c r="F939" s="66" t="e">
        <f aca="false">VLOOKUP(A939,BD_ORDENES!A:BE,56,FALSE())</f>
        <v>#N/A</v>
      </c>
      <c r="G939" s="67" t="e">
        <f aca="false">VLOOKUP(A939,BD_ORDENES!A:BE,13,FALSE())</f>
        <v>#N/A</v>
      </c>
      <c r="H939" s="68" t="e">
        <f aca="false">VLOOKUP(A939,BD_ORDENES!A:BE,17,FALSE())</f>
        <v>#N/A</v>
      </c>
      <c r="I939" s="68" t="e">
        <f aca="false">VLOOKUP(A939,BD_ORDENES!A:BE,18,FALSE())</f>
        <v>#N/A</v>
      </c>
      <c r="J939" s="68" t="e">
        <f aca="false">VLOOKUP(A939,BD_ORDENES!A:BE,19,FALSE())</f>
        <v>#N/A</v>
      </c>
      <c r="K939" s="68" t="e">
        <f aca="false">VLOOKUP(A939,BD_ORDENES!A:BE,20,FALSE())</f>
        <v>#N/A</v>
      </c>
      <c r="L939" s="68" t="e">
        <f aca="false">VLOOKUP(A939,BD_ORDENES!A:BE,21,FALSE())</f>
        <v>#N/A</v>
      </c>
      <c r="M939" s="69" t="e">
        <f aca="false">VLOOKUP(A939,BD_ORDENES!A:BE,14,FALSE())</f>
        <v>#N/A</v>
      </c>
      <c r="N939" s="68" t="e">
        <f aca="false">VLOOKUP(A939,BD_ORDENES!A:BE,15,FALSE())</f>
        <v>#N/A</v>
      </c>
      <c r="O939" s="68" t="e">
        <f aca="false">VLOOKUP(A939,BD_ORDENES!A:BE,33,FALSE())</f>
        <v>#N/A</v>
      </c>
      <c r="P939" s="68" t="e">
        <f aca="false">VLOOKUP(A939,BD_ORDENES!A:BE,23,FALSE())</f>
        <v>#N/A</v>
      </c>
      <c r="Q939" s="68" t="e">
        <f aca="false">VLOOKUP(A939,BD_ORDENES!A:BE,52,FALSE())</f>
        <v>#N/A</v>
      </c>
      <c r="R939" s="68" t="e">
        <f aca="false">VLOOKUP(A939,BD_ORDENES!A:BE,25,FALSE())</f>
        <v>#N/A</v>
      </c>
      <c r="S939" s="68" t="e">
        <f aca="false">VLOOKUP(A939,BD_ORDENES!A:BE,22,FALSE())</f>
        <v>#N/A</v>
      </c>
      <c r="T939" s="65" t="e">
        <f aca="false">VLOOKUP(A939,BD_ORDENES!A:BE,55,FALSE())</f>
        <v>#N/A</v>
      </c>
      <c r="U939" s="68" t="e">
        <f aca="false">VLOOKUP(A939,BD_ORDENES!A:BE,57,FALSE())</f>
        <v>#N/A</v>
      </c>
      <c r="V939" s="70"/>
    </row>
    <row r="940" customFormat="false" ht="29.1" hidden="false" customHeight="false" outlineLevel="0" collapsed="false">
      <c r="A940" s="62" t="n">
        <f aca="false">A939+1</f>
        <v>933</v>
      </c>
      <c r="B940" s="63" t="e">
        <f aca="false">VLOOKUP(A940,BD_ORDENES!A:BG,12,FALSE())</f>
        <v>#N/A</v>
      </c>
      <c r="C940" s="64" t="n">
        <v>933</v>
      </c>
      <c r="D940" s="65" t="e">
        <f aca="false">VLOOKUP(A940,BD_ORDENES!A:BE,10,0)</f>
        <v>#N/A</v>
      </c>
      <c r="E940" s="66" t="e">
        <f aca="false">VLOOKUP(A940,BD_ORDENES!A:BG,4,FALSE())</f>
        <v>#N/A</v>
      </c>
      <c r="F940" s="66" t="e">
        <f aca="false">VLOOKUP(A940,BD_ORDENES!A:BE,56,FALSE())</f>
        <v>#N/A</v>
      </c>
      <c r="G940" s="67" t="e">
        <f aca="false">VLOOKUP(A940,BD_ORDENES!A:BE,13,FALSE())</f>
        <v>#N/A</v>
      </c>
      <c r="H940" s="68" t="e">
        <f aca="false">VLOOKUP(A940,BD_ORDENES!A:BE,17,FALSE())</f>
        <v>#N/A</v>
      </c>
      <c r="I940" s="68" t="e">
        <f aca="false">VLOOKUP(A940,BD_ORDENES!A:BE,18,FALSE())</f>
        <v>#N/A</v>
      </c>
      <c r="J940" s="68" t="e">
        <f aca="false">VLOOKUP(A940,BD_ORDENES!A:BE,19,FALSE())</f>
        <v>#N/A</v>
      </c>
      <c r="K940" s="68" t="e">
        <f aca="false">VLOOKUP(A940,BD_ORDENES!A:BE,20,FALSE())</f>
        <v>#N/A</v>
      </c>
      <c r="L940" s="68" t="e">
        <f aca="false">VLOOKUP(A940,BD_ORDENES!A:BE,21,FALSE())</f>
        <v>#N/A</v>
      </c>
      <c r="M940" s="69" t="e">
        <f aca="false">VLOOKUP(A940,BD_ORDENES!A:BE,14,FALSE())</f>
        <v>#N/A</v>
      </c>
      <c r="N940" s="68" t="e">
        <f aca="false">VLOOKUP(A940,BD_ORDENES!A:BE,15,FALSE())</f>
        <v>#N/A</v>
      </c>
      <c r="O940" s="68" t="e">
        <f aca="false">VLOOKUP(A940,BD_ORDENES!A:BE,33,FALSE())</f>
        <v>#N/A</v>
      </c>
      <c r="P940" s="68" t="e">
        <f aca="false">VLOOKUP(A940,BD_ORDENES!A:BE,23,FALSE())</f>
        <v>#N/A</v>
      </c>
      <c r="Q940" s="68" t="e">
        <f aca="false">VLOOKUP(A940,BD_ORDENES!A:BE,52,FALSE())</f>
        <v>#N/A</v>
      </c>
      <c r="R940" s="68" t="e">
        <f aca="false">VLOOKUP(A940,BD_ORDENES!A:BE,25,FALSE())</f>
        <v>#N/A</v>
      </c>
      <c r="S940" s="68" t="e">
        <f aca="false">VLOOKUP(A940,BD_ORDENES!A:BE,22,FALSE())</f>
        <v>#N/A</v>
      </c>
      <c r="T940" s="65" t="e">
        <f aca="false">VLOOKUP(A940,BD_ORDENES!A:BE,55,FALSE())</f>
        <v>#N/A</v>
      </c>
      <c r="U940" s="68" t="e">
        <f aca="false">VLOOKUP(A940,BD_ORDENES!A:BE,57,FALSE())</f>
        <v>#N/A</v>
      </c>
      <c r="V940" s="70"/>
    </row>
    <row r="941" customFormat="false" ht="29.1" hidden="false" customHeight="false" outlineLevel="0" collapsed="false">
      <c r="A941" s="62" t="n">
        <f aca="false">A940+1</f>
        <v>934</v>
      </c>
      <c r="B941" s="63" t="e">
        <f aca="false">VLOOKUP(A941,BD_ORDENES!A:BG,12,FALSE())</f>
        <v>#N/A</v>
      </c>
      <c r="C941" s="64" t="n">
        <v>934</v>
      </c>
      <c r="D941" s="65" t="e">
        <f aca="false">VLOOKUP(A941,BD_ORDENES!A:BE,10,0)</f>
        <v>#N/A</v>
      </c>
      <c r="E941" s="66" t="e">
        <f aca="false">VLOOKUP(A941,BD_ORDENES!A:BG,4,FALSE())</f>
        <v>#N/A</v>
      </c>
      <c r="F941" s="66" t="e">
        <f aca="false">VLOOKUP(A941,BD_ORDENES!A:BE,56,FALSE())</f>
        <v>#N/A</v>
      </c>
      <c r="G941" s="67" t="e">
        <f aca="false">VLOOKUP(A941,BD_ORDENES!A:BE,13,FALSE())</f>
        <v>#N/A</v>
      </c>
      <c r="H941" s="68" t="e">
        <f aca="false">VLOOKUP(A941,BD_ORDENES!A:BE,17,FALSE())</f>
        <v>#N/A</v>
      </c>
      <c r="I941" s="68" t="e">
        <f aca="false">VLOOKUP(A941,BD_ORDENES!A:BE,18,FALSE())</f>
        <v>#N/A</v>
      </c>
      <c r="J941" s="68" t="e">
        <f aca="false">VLOOKUP(A941,BD_ORDENES!A:BE,19,FALSE())</f>
        <v>#N/A</v>
      </c>
      <c r="K941" s="68" t="e">
        <f aca="false">VLOOKUP(A941,BD_ORDENES!A:BE,20,FALSE())</f>
        <v>#N/A</v>
      </c>
      <c r="L941" s="68" t="e">
        <f aca="false">VLOOKUP(A941,BD_ORDENES!A:BE,21,FALSE())</f>
        <v>#N/A</v>
      </c>
      <c r="M941" s="69" t="e">
        <f aca="false">VLOOKUP(A941,BD_ORDENES!A:BE,14,FALSE())</f>
        <v>#N/A</v>
      </c>
      <c r="N941" s="68" t="e">
        <f aca="false">VLOOKUP(A941,BD_ORDENES!A:BE,15,FALSE())</f>
        <v>#N/A</v>
      </c>
      <c r="O941" s="68" t="e">
        <f aca="false">VLOOKUP(A941,BD_ORDENES!A:BE,33,FALSE())</f>
        <v>#N/A</v>
      </c>
      <c r="P941" s="68" t="e">
        <f aca="false">VLOOKUP(A941,BD_ORDENES!A:BE,23,FALSE())</f>
        <v>#N/A</v>
      </c>
      <c r="Q941" s="68" t="e">
        <f aca="false">VLOOKUP(A941,BD_ORDENES!A:BE,52,FALSE())</f>
        <v>#N/A</v>
      </c>
      <c r="R941" s="68" t="e">
        <f aca="false">VLOOKUP(A941,BD_ORDENES!A:BE,25,FALSE())</f>
        <v>#N/A</v>
      </c>
      <c r="S941" s="68" t="e">
        <f aca="false">VLOOKUP(A941,BD_ORDENES!A:BE,22,FALSE())</f>
        <v>#N/A</v>
      </c>
      <c r="T941" s="65" t="e">
        <f aca="false">VLOOKUP(A941,BD_ORDENES!A:BE,55,FALSE())</f>
        <v>#N/A</v>
      </c>
      <c r="U941" s="68" t="e">
        <f aca="false">VLOOKUP(A941,BD_ORDENES!A:BE,57,FALSE())</f>
        <v>#N/A</v>
      </c>
      <c r="V941" s="70"/>
    </row>
    <row r="942" customFormat="false" ht="29.1" hidden="false" customHeight="false" outlineLevel="0" collapsed="false">
      <c r="A942" s="62" t="n">
        <f aca="false">A941+1</f>
        <v>935</v>
      </c>
      <c r="B942" s="63" t="e">
        <f aca="false">VLOOKUP(A942,BD_ORDENES!A:BG,12,FALSE())</f>
        <v>#N/A</v>
      </c>
      <c r="C942" s="64" t="n">
        <v>935</v>
      </c>
      <c r="D942" s="65" t="e">
        <f aca="false">VLOOKUP(A942,BD_ORDENES!A:BE,10,0)</f>
        <v>#N/A</v>
      </c>
      <c r="E942" s="66" t="e">
        <f aca="false">VLOOKUP(A942,BD_ORDENES!A:BG,4,FALSE())</f>
        <v>#N/A</v>
      </c>
      <c r="F942" s="66" t="e">
        <f aca="false">VLOOKUP(A942,BD_ORDENES!A:BE,56,FALSE())</f>
        <v>#N/A</v>
      </c>
      <c r="G942" s="67" t="e">
        <f aca="false">VLOOKUP(A942,BD_ORDENES!A:BE,13,FALSE())</f>
        <v>#N/A</v>
      </c>
      <c r="H942" s="68" t="e">
        <f aca="false">VLOOKUP(A942,BD_ORDENES!A:BE,17,FALSE())</f>
        <v>#N/A</v>
      </c>
      <c r="I942" s="68" t="e">
        <f aca="false">VLOOKUP(A942,BD_ORDENES!A:BE,18,FALSE())</f>
        <v>#N/A</v>
      </c>
      <c r="J942" s="68" t="e">
        <f aca="false">VLOOKUP(A942,BD_ORDENES!A:BE,19,FALSE())</f>
        <v>#N/A</v>
      </c>
      <c r="K942" s="68" t="e">
        <f aca="false">VLOOKUP(A942,BD_ORDENES!A:BE,20,FALSE())</f>
        <v>#N/A</v>
      </c>
      <c r="L942" s="68" t="e">
        <f aca="false">VLOOKUP(A942,BD_ORDENES!A:BE,21,FALSE())</f>
        <v>#N/A</v>
      </c>
      <c r="M942" s="69" t="e">
        <f aca="false">VLOOKUP(A942,BD_ORDENES!A:BE,14,FALSE())</f>
        <v>#N/A</v>
      </c>
      <c r="N942" s="68" t="e">
        <f aca="false">VLOOKUP(A942,BD_ORDENES!A:BE,15,FALSE())</f>
        <v>#N/A</v>
      </c>
      <c r="O942" s="68" t="e">
        <f aca="false">VLOOKUP(A942,BD_ORDENES!A:BE,33,FALSE())</f>
        <v>#N/A</v>
      </c>
      <c r="P942" s="68" t="e">
        <f aca="false">VLOOKUP(A942,BD_ORDENES!A:BE,23,FALSE())</f>
        <v>#N/A</v>
      </c>
      <c r="Q942" s="68" t="e">
        <f aca="false">VLOOKUP(A942,BD_ORDENES!A:BE,52,FALSE())</f>
        <v>#N/A</v>
      </c>
      <c r="R942" s="68" t="e">
        <f aca="false">VLOOKUP(A942,BD_ORDENES!A:BE,25,FALSE())</f>
        <v>#N/A</v>
      </c>
      <c r="S942" s="68" t="e">
        <f aca="false">VLOOKUP(A942,BD_ORDENES!A:BE,22,FALSE())</f>
        <v>#N/A</v>
      </c>
      <c r="T942" s="65" t="e">
        <f aca="false">VLOOKUP(A942,BD_ORDENES!A:BE,55,FALSE())</f>
        <v>#N/A</v>
      </c>
      <c r="U942" s="68" t="e">
        <f aca="false">VLOOKUP(A942,BD_ORDENES!A:BE,57,FALSE())</f>
        <v>#N/A</v>
      </c>
      <c r="V942" s="70"/>
    </row>
    <row r="943" customFormat="false" ht="29.1" hidden="false" customHeight="false" outlineLevel="0" collapsed="false">
      <c r="A943" s="62" t="n">
        <f aca="false">A942+1</f>
        <v>936</v>
      </c>
      <c r="B943" s="63" t="e">
        <f aca="false">VLOOKUP(A943,BD_ORDENES!A:BG,12,FALSE())</f>
        <v>#N/A</v>
      </c>
      <c r="C943" s="64" t="n">
        <v>936</v>
      </c>
      <c r="D943" s="65" t="e">
        <f aca="false">VLOOKUP(A943,BD_ORDENES!A:BE,10,0)</f>
        <v>#N/A</v>
      </c>
      <c r="E943" s="66" t="e">
        <f aca="false">VLOOKUP(A943,BD_ORDENES!A:BG,4,FALSE())</f>
        <v>#N/A</v>
      </c>
      <c r="F943" s="66" t="e">
        <f aca="false">VLOOKUP(A943,BD_ORDENES!A:BE,56,FALSE())</f>
        <v>#N/A</v>
      </c>
      <c r="G943" s="67" t="e">
        <f aca="false">VLOOKUP(A943,BD_ORDENES!A:BE,13,FALSE())</f>
        <v>#N/A</v>
      </c>
      <c r="H943" s="68" t="e">
        <f aca="false">VLOOKUP(A943,BD_ORDENES!A:BE,17,FALSE())</f>
        <v>#N/A</v>
      </c>
      <c r="I943" s="68" t="e">
        <f aca="false">VLOOKUP(A943,BD_ORDENES!A:BE,18,FALSE())</f>
        <v>#N/A</v>
      </c>
      <c r="J943" s="68" t="e">
        <f aca="false">VLOOKUP(A943,BD_ORDENES!A:BE,19,FALSE())</f>
        <v>#N/A</v>
      </c>
      <c r="K943" s="68" t="e">
        <f aca="false">VLOOKUP(A943,BD_ORDENES!A:BE,20,FALSE())</f>
        <v>#N/A</v>
      </c>
      <c r="L943" s="68" t="e">
        <f aca="false">VLOOKUP(A943,BD_ORDENES!A:BE,21,FALSE())</f>
        <v>#N/A</v>
      </c>
      <c r="M943" s="69" t="e">
        <f aca="false">VLOOKUP(A943,BD_ORDENES!A:BE,14,FALSE())</f>
        <v>#N/A</v>
      </c>
      <c r="N943" s="68" t="e">
        <f aca="false">VLOOKUP(A943,BD_ORDENES!A:BE,15,FALSE())</f>
        <v>#N/A</v>
      </c>
      <c r="O943" s="68" t="e">
        <f aca="false">VLOOKUP(A943,BD_ORDENES!A:BE,33,FALSE())</f>
        <v>#N/A</v>
      </c>
      <c r="P943" s="68" t="e">
        <f aca="false">VLOOKUP(A943,BD_ORDENES!A:BE,23,FALSE())</f>
        <v>#N/A</v>
      </c>
      <c r="Q943" s="68" t="e">
        <f aca="false">VLOOKUP(A943,BD_ORDENES!A:BE,52,FALSE())</f>
        <v>#N/A</v>
      </c>
      <c r="R943" s="68" t="e">
        <f aca="false">VLOOKUP(A943,BD_ORDENES!A:BE,25,FALSE())</f>
        <v>#N/A</v>
      </c>
      <c r="S943" s="68" t="e">
        <f aca="false">VLOOKUP(A943,BD_ORDENES!A:BE,22,FALSE())</f>
        <v>#N/A</v>
      </c>
      <c r="T943" s="65" t="e">
        <f aca="false">VLOOKUP(A943,BD_ORDENES!A:BE,55,FALSE())</f>
        <v>#N/A</v>
      </c>
      <c r="U943" s="68" t="e">
        <f aca="false">VLOOKUP(A943,BD_ORDENES!A:BE,57,FALSE())</f>
        <v>#N/A</v>
      </c>
      <c r="V943" s="70"/>
    </row>
    <row r="944" customFormat="false" ht="29.1" hidden="false" customHeight="false" outlineLevel="0" collapsed="false">
      <c r="A944" s="62" t="n">
        <f aca="false">A943+1</f>
        <v>937</v>
      </c>
      <c r="B944" s="63" t="e">
        <f aca="false">VLOOKUP(A944,BD_ORDENES!A:BG,12,FALSE())</f>
        <v>#N/A</v>
      </c>
      <c r="C944" s="64" t="n">
        <v>937</v>
      </c>
      <c r="D944" s="65" t="e">
        <f aca="false">VLOOKUP(A944,BD_ORDENES!A:BE,10,0)</f>
        <v>#N/A</v>
      </c>
      <c r="E944" s="66" t="e">
        <f aca="false">VLOOKUP(A944,BD_ORDENES!A:BG,4,FALSE())</f>
        <v>#N/A</v>
      </c>
      <c r="F944" s="66" t="e">
        <f aca="false">VLOOKUP(A944,BD_ORDENES!A:BE,56,FALSE())</f>
        <v>#N/A</v>
      </c>
      <c r="G944" s="67" t="e">
        <f aca="false">VLOOKUP(A944,BD_ORDENES!A:BE,13,FALSE())</f>
        <v>#N/A</v>
      </c>
      <c r="H944" s="68" t="e">
        <f aca="false">VLOOKUP(A944,BD_ORDENES!A:BE,17,FALSE())</f>
        <v>#N/A</v>
      </c>
      <c r="I944" s="68" t="e">
        <f aca="false">VLOOKUP(A944,BD_ORDENES!A:BE,18,FALSE())</f>
        <v>#N/A</v>
      </c>
      <c r="J944" s="68" t="e">
        <f aca="false">VLOOKUP(A944,BD_ORDENES!A:BE,19,FALSE())</f>
        <v>#N/A</v>
      </c>
      <c r="K944" s="68" t="e">
        <f aca="false">VLOOKUP(A944,BD_ORDENES!A:BE,20,FALSE())</f>
        <v>#N/A</v>
      </c>
      <c r="L944" s="68" t="e">
        <f aca="false">VLOOKUP(A944,BD_ORDENES!A:BE,21,FALSE())</f>
        <v>#N/A</v>
      </c>
      <c r="M944" s="69" t="e">
        <f aca="false">VLOOKUP(A944,BD_ORDENES!A:BE,14,FALSE())</f>
        <v>#N/A</v>
      </c>
      <c r="N944" s="68" t="e">
        <f aca="false">VLOOKUP(A944,BD_ORDENES!A:BE,15,FALSE())</f>
        <v>#N/A</v>
      </c>
      <c r="O944" s="68" t="e">
        <f aca="false">VLOOKUP(A944,BD_ORDENES!A:BE,33,FALSE())</f>
        <v>#N/A</v>
      </c>
      <c r="P944" s="68" t="e">
        <f aca="false">VLOOKUP(A944,BD_ORDENES!A:BE,23,FALSE())</f>
        <v>#N/A</v>
      </c>
      <c r="Q944" s="68" t="e">
        <f aca="false">VLOOKUP(A944,BD_ORDENES!A:BE,52,FALSE())</f>
        <v>#N/A</v>
      </c>
      <c r="R944" s="68" t="e">
        <f aca="false">VLOOKUP(A944,BD_ORDENES!A:BE,25,FALSE())</f>
        <v>#N/A</v>
      </c>
      <c r="S944" s="68" t="e">
        <f aca="false">VLOOKUP(A944,BD_ORDENES!A:BE,22,FALSE())</f>
        <v>#N/A</v>
      </c>
      <c r="T944" s="65" t="e">
        <f aca="false">VLOOKUP(A944,BD_ORDENES!A:BE,55,FALSE())</f>
        <v>#N/A</v>
      </c>
      <c r="U944" s="68" t="e">
        <f aca="false">VLOOKUP(A944,BD_ORDENES!A:BE,57,FALSE())</f>
        <v>#N/A</v>
      </c>
      <c r="V944" s="70"/>
    </row>
    <row r="945" customFormat="false" ht="29.1" hidden="false" customHeight="false" outlineLevel="0" collapsed="false">
      <c r="A945" s="62" t="n">
        <f aca="false">A944+1</f>
        <v>938</v>
      </c>
      <c r="B945" s="63" t="e">
        <f aca="false">VLOOKUP(A945,BD_ORDENES!A:BG,12,FALSE())</f>
        <v>#N/A</v>
      </c>
      <c r="C945" s="64" t="n">
        <v>938</v>
      </c>
      <c r="D945" s="65" t="e">
        <f aca="false">VLOOKUP(A945,BD_ORDENES!A:BE,10,0)</f>
        <v>#N/A</v>
      </c>
      <c r="E945" s="66" t="e">
        <f aca="false">VLOOKUP(A945,BD_ORDENES!A:BG,4,FALSE())</f>
        <v>#N/A</v>
      </c>
      <c r="F945" s="66" t="e">
        <f aca="false">VLOOKUP(A945,BD_ORDENES!A:BE,56,FALSE())</f>
        <v>#N/A</v>
      </c>
      <c r="G945" s="67" t="e">
        <f aca="false">VLOOKUP(A945,BD_ORDENES!A:BE,13,FALSE())</f>
        <v>#N/A</v>
      </c>
      <c r="H945" s="68" t="e">
        <f aca="false">VLOOKUP(A945,BD_ORDENES!A:BE,17,FALSE())</f>
        <v>#N/A</v>
      </c>
      <c r="I945" s="68" t="e">
        <f aca="false">VLOOKUP(A945,BD_ORDENES!A:BE,18,FALSE())</f>
        <v>#N/A</v>
      </c>
      <c r="J945" s="68" t="e">
        <f aca="false">VLOOKUP(A945,BD_ORDENES!A:BE,19,FALSE())</f>
        <v>#N/A</v>
      </c>
      <c r="K945" s="68" t="e">
        <f aca="false">VLOOKUP(A945,BD_ORDENES!A:BE,20,FALSE())</f>
        <v>#N/A</v>
      </c>
      <c r="L945" s="68" t="e">
        <f aca="false">VLOOKUP(A945,BD_ORDENES!A:BE,21,FALSE())</f>
        <v>#N/A</v>
      </c>
      <c r="M945" s="69" t="e">
        <f aca="false">VLOOKUP(A945,BD_ORDENES!A:BE,14,FALSE())</f>
        <v>#N/A</v>
      </c>
      <c r="N945" s="68" t="e">
        <f aca="false">VLOOKUP(A945,BD_ORDENES!A:BE,15,FALSE())</f>
        <v>#N/A</v>
      </c>
      <c r="O945" s="68" t="e">
        <f aca="false">VLOOKUP(A945,BD_ORDENES!A:BE,33,FALSE())</f>
        <v>#N/A</v>
      </c>
      <c r="P945" s="68" t="e">
        <f aca="false">VLOOKUP(A945,BD_ORDENES!A:BE,23,FALSE())</f>
        <v>#N/A</v>
      </c>
      <c r="Q945" s="68" t="e">
        <f aca="false">VLOOKUP(A945,BD_ORDENES!A:BE,52,FALSE())</f>
        <v>#N/A</v>
      </c>
      <c r="R945" s="68" t="e">
        <f aca="false">VLOOKUP(A945,BD_ORDENES!A:BE,25,FALSE())</f>
        <v>#N/A</v>
      </c>
      <c r="S945" s="68" t="e">
        <f aca="false">VLOOKUP(A945,BD_ORDENES!A:BE,22,FALSE())</f>
        <v>#N/A</v>
      </c>
      <c r="T945" s="65" t="e">
        <f aca="false">VLOOKUP(A945,BD_ORDENES!A:BE,55,FALSE())</f>
        <v>#N/A</v>
      </c>
      <c r="U945" s="68" t="e">
        <f aca="false">VLOOKUP(A945,BD_ORDENES!A:BE,57,FALSE())</f>
        <v>#N/A</v>
      </c>
      <c r="V945" s="70"/>
    </row>
    <row r="946" customFormat="false" ht="29.1" hidden="false" customHeight="false" outlineLevel="0" collapsed="false">
      <c r="A946" s="62" t="n">
        <f aca="false">A945+1</f>
        <v>939</v>
      </c>
      <c r="B946" s="63" t="e">
        <f aca="false">VLOOKUP(A946,BD_ORDENES!A:BG,12,FALSE())</f>
        <v>#N/A</v>
      </c>
      <c r="C946" s="64" t="n">
        <v>939</v>
      </c>
      <c r="D946" s="65" t="e">
        <f aca="false">VLOOKUP(A946,BD_ORDENES!A:BE,10,0)</f>
        <v>#N/A</v>
      </c>
      <c r="E946" s="66" t="e">
        <f aca="false">VLOOKUP(A946,BD_ORDENES!A:BG,4,FALSE())</f>
        <v>#N/A</v>
      </c>
      <c r="F946" s="66" t="e">
        <f aca="false">VLOOKUP(A946,BD_ORDENES!A:BE,56,FALSE())</f>
        <v>#N/A</v>
      </c>
      <c r="G946" s="67" t="e">
        <f aca="false">VLOOKUP(A946,BD_ORDENES!A:BE,13,FALSE())</f>
        <v>#N/A</v>
      </c>
      <c r="H946" s="68" t="e">
        <f aca="false">VLOOKUP(A946,BD_ORDENES!A:BE,17,FALSE())</f>
        <v>#N/A</v>
      </c>
      <c r="I946" s="68" t="e">
        <f aca="false">VLOOKUP(A946,BD_ORDENES!A:BE,18,FALSE())</f>
        <v>#N/A</v>
      </c>
      <c r="J946" s="68" t="e">
        <f aca="false">VLOOKUP(A946,BD_ORDENES!A:BE,19,FALSE())</f>
        <v>#N/A</v>
      </c>
      <c r="K946" s="68" t="e">
        <f aca="false">VLOOKUP(A946,BD_ORDENES!A:BE,20,FALSE())</f>
        <v>#N/A</v>
      </c>
      <c r="L946" s="68" t="e">
        <f aca="false">VLOOKUP(A946,BD_ORDENES!A:BE,21,FALSE())</f>
        <v>#N/A</v>
      </c>
      <c r="M946" s="69" t="e">
        <f aca="false">VLOOKUP(A946,BD_ORDENES!A:BE,14,FALSE())</f>
        <v>#N/A</v>
      </c>
      <c r="N946" s="68" t="e">
        <f aca="false">VLOOKUP(A946,BD_ORDENES!A:BE,15,FALSE())</f>
        <v>#N/A</v>
      </c>
      <c r="O946" s="68" t="e">
        <f aca="false">VLOOKUP(A946,BD_ORDENES!A:BE,33,FALSE())</f>
        <v>#N/A</v>
      </c>
      <c r="P946" s="68" t="e">
        <f aca="false">VLOOKUP(A946,BD_ORDENES!A:BE,23,FALSE())</f>
        <v>#N/A</v>
      </c>
      <c r="Q946" s="68" t="e">
        <f aca="false">VLOOKUP(A946,BD_ORDENES!A:BE,52,FALSE())</f>
        <v>#N/A</v>
      </c>
      <c r="R946" s="68" t="e">
        <f aca="false">VLOOKUP(A946,BD_ORDENES!A:BE,25,FALSE())</f>
        <v>#N/A</v>
      </c>
      <c r="S946" s="68" t="e">
        <f aca="false">VLOOKUP(A946,BD_ORDENES!A:BE,22,FALSE())</f>
        <v>#N/A</v>
      </c>
      <c r="T946" s="65" t="e">
        <f aca="false">VLOOKUP(A946,BD_ORDENES!A:BE,55,FALSE())</f>
        <v>#N/A</v>
      </c>
      <c r="U946" s="68" t="e">
        <f aca="false">VLOOKUP(A946,BD_ORDENES!A:BE,57,FALSE())</f>
        <v>#N/A</v>
      </c>
      <c r="V946" s="70"/>
    </row>
    <row r="947" customFormat="false" ht="29.1" hidden="false" customHeight="false" outlineLevel="0" collapsed="false">
      <c r="A947" s="62" t="n">
        <f aca="false">A946+1</f>
        <v>940</v>
      </c>
      <c r="B947" s="63" t="e">
        <f aca="false">VLOOKUP(A947,BD_ORDENES!A:BG,12,FALSE())</f>
        <v>#N/A</v>
      </c>
      <c r="C947" s="64" t="n">
        <v>940</v>
      </c>
      <c r="D947" s="65" t="e">
        <f aca="false">VLOOKUP(A947,BD_ORDENES!A:BE,10,0)</f>
        <v>#N/A</v>
      </c>
      <c r="E947" s="66" t="e">
        <f aca="false">VLOOKUP(A947,BD_ORDENES!A:BG,4,FALSE())</f>
        <v>#N/A</v>
      </c>
      <c r="F947" s="66" t="e">
        <f aca="false">VLOOKUP(A947,BD_ORDENES!A:BE,56,FALSE())</f>
        <v>#N/A</v>
      </c>
      <c r="G947" s="67" t="e">
        <f aca="false">VLOOKUP(A947,BD_ORDENES!A:BE,13,FALSE())</f>
        <v>#N/A</v>
      </c>
      <c r="H947" s="68" t="e">
        <f aca="false">VLOOKUP(A947,BD_ORDENES!A:BE,17,FALSE())</f>
        <v>#N/A</v>
      </c>
      <c r="I947" s="68" t="e">
        <f aca="false">VLOOKUP(A947,BD_ORDENES!A:BE,18,FALSE())</f>
        <v>#N/A</v>
      </c>
      <c r="J947" s="68" t="e">
        <f aca="false">VLOOKUP(A947,BD_ORDENES!A:BE,19,FALSE())</f>
        <v>#N/A</v>
      </c>
      <c r="K947" s="68" t="e">
        <f aca="false">VLOOKUP(A947,BD_ORDENES!A:BE,20,FALSE())</f>
        <v>#N/A</v>
      </c>
      <c r="L947" s="68" t="e">
        <f aca="false">VLOOKUP(A947,BD_ORDENES!A:BE,21,FALSE())</f>
        <v>#N/A</v>
      </c>
      <c r="M947" s="69" t="e">
        <f aca="false">VLOOKUP(A947,BD_ORDENES!A:BE,14,FALSE())</f>
        <v>#N/A</v>
      </c>
      <c r="N947" s="68" t="e">
        <f aca="false">VLOOKUP(A947,BD_ORDENES!A:BE,15,FALSE())</f>
        <v>#N/A</v>
      </c>
      <c r="O947" s="68" t="e">
        <f aca="false">VLOOKUP(A947,BD_ORDENES!A:BE,33,FALSE())</f>
        <v>#N/A</v>
      </c>
      <c r="P947" s="68" t="e">
        <f aca="false">VLOOKUP(A947,BD_ORDENES!A:BE,23,FALSE())</f>
        <v>#N/A</v>
      </c>
      <c r="Q947" s="68" t="e">
        <f aca="false">VLOOKUP(A947,BD_ORDENES!A:BE,52,FALSE())</f>
        <v>#N/A</v>
      </c>
      <c r="R947" s="68" t="e">
        <f aca="false">VLOOKUP(A947,BD_ORDENES!A:BE,25,FALSE())</f>
        <v>#N/A</v>
      </c>
      <c r="S947" s="68" t="e">
        <f aca="false">VLOOKUP(A947,BD_ORDENES!A:BE,22,FALSE())</f>
        <v>#N/A</v>
      </c>
      <c r="T947" s="65" t="e">
        <f aca="false">VLOOKUP(A947,BD_ORDENES!A:BE,55,FALSE())</f>
        <v>#N/A</v>
      </c>
      <c r="U947" s="68" t="e">
        <f aca="false">VLOOKUP(A947,BD_ORDENES!A:BE,57,FALSE())</f>
        <v>#N/A</v>
      </c>
      <c r="V947" s="70"/>
    </row>
    <row r="948" customFormat="false" ht="29.1" hidden="false" customHeight="false" outlineLevel="0" collapsed="false">
      <c r="A948" s="62" t="n">
        <f aca="false">A947+1</f>
        <v>941</v>
      </c>
      <c r="B948" s="63" t="e">
        <f aca="false">VLOOKUP(A948,BD_ORDENES!A:BG,12,FALSE())</f>
        <v>#N/A</v>
      </c>
      <c r="C948" s="64" t="n">
        <v>941</v>
      </c>
      <c r="D948" s="65" t="e">
        <f aca="false">VLOOKUP(A948,BD_ORDENES!A:BE,10,0)</f>
        <v>#N/A</v>
      </c>
      <c r="E948" s="66" t="e">
        <f aca="false">VLOOKUP(A948,BD_ORDENES!A:BG,4,FALSE())</f>
        <v>#N/A</v>
      </c>
      <c r="F948" s="66" t="e">
        <f aca="false">VLOOKUP(A948,BD_ORDENES!A:BE,56,FALSE())</f>
        <v>#N/A</v>
      </c>
      <c r="G948" s="67" t="e">
        <f aca="false">VLOOKUP(A948,BD_ORDENES!A:BE,13,FALSE())</f>
        <v>#N/A</v>
      </c>
      <c r="H948" s="68" t="e">
        <f aca="false">VLOOKUP(A948,BD_ORDENES!A:BE,17,FALSE())</f>
        <v>#N/A</v>
      </c>
      <c r="I948" s="68" t="e">
        <f aca="false">VLOOKUP(A948,BD_ORDENES!A:BE,18,FALSE())</f>
        <v>#N/A</v>
      </c>
      <c r="J948" s="68" t="e">
        <f aca="false">VLOOKUP(A948,BD_ORDENES!A:BE,19,FALSE())</f>
        <v>#N/A</v>
      </c>
      <c r="K948" s="68" t="e">
        <f aca="false">VLOOKUP(A948,BD_ORDENES!A:BE,20,FALSE())</f>
        <v>#N/A</v>
      </c>
      <c r="L948" s="68" t="e">
        <f aca="false">VLOOKUP(A948,BD_ORDENES!A:BE,21,FALSE())</f>
        <v>#N/A</v>
      </c>
      <c r="M948" s="69" t="e">
        <f aca="false">VLOOKUP(A948,BD_ORDENES!A:BE,14,FALSE())</f>
        <v>#N/A</v>
      </c>
      <c r="N948" s="68" t="e">
        <f aca="false">VLOOKUP(A948,BD_ORDENES!A:BE,15,FALSE())</f>
        <v>#N/A</v>
      </c>
      <c r="O948" s="68" t="e">
        <f aca="false">VLOOKUP(A948,BD_ORDENES!A:BE,33,FALSE())</f>
        <v>#N/A</v>
      </c>
      <c r="P948" s="68" t="e">
        <f aca="false">VLOOKUP(A948,BD_ORDENES!A:BE,23,FALSE())</f>
        <v>#N/A</v>
      </c>
      <c r="Q948" s="68" t="e">
        <f aca="false">VLOOKUP(A948,BD_ORDENES!A:BE,52,FALSE())</f>
        <v>#N/A</v>
      </c>
      <c r="R948" s="68" t="e">
        <f aca="false">VLOOKUP(A948,BD_ORDENES!A:BE,25,FALSE())</f>
        <v>#N/A</v>
      </c>
      <c r="S948" s="68" t="e">
        <f aca="false">VLOOKUP(A948,BD_ORDENES!A:BE,22,FALSE())</f>
        <v>#N/A</v>
      </c>
      <c r="T948" s="65" t="e">
        <f aca="false">VLOOKUP(A948,BD_ORDENES!A:BE,55,FALSE())</f>
        <v>#N/A</v>
      </c>
      <c r="U948" s="68" t="e">
        <f aca="false">VLOOKUP(A948,BD_ORDENES!A:BE,57,FALSE())</f>
        <v>#N/A</v>
      </c>
      <c r="V948" s="70"/>
    </row>
    <row r="949" customFormat="false" ht="29.1" hidden="false" customHeight="false" outlineLevel="0" collapsed="false">
      <c r="A949" s="62" t="n">
        <f aca="false">A948+1</f>
        <v>942</v>
      </c>
      <c r="B949" s="63" t="e">
        <f aca="false">VLOOKUP(A949,BD_ORDENES!A:BG,12,FALSE())</f>
        <v>#N/A</v>
      </c>
      <c r="C949" s="64" t="n">
        <v>942</v>
      </c>
      <c r="D949" s="65" t="e">
        <f aca="false">VLOOKUP(A949,BD_ORDENES!A:BE,10,0)</f>
        <v>#N/A</v>
      </c>
      <c r="E949" s="66" t="e">
        <f aca="false">VLOOKUP(A949,BD_ORDENES!A:BG,4,FALSE())</f>
        <v>#N/A</v>
      </c>
      <c r="F949" s="66" t="e">
        <f aca="false">VLOOKUP(A949,BD_ORDENES!A:BE,56,FALSE())</f>
        <v>#N/A</v>
      </c>
      <c r="G949" s="67" t="e">
        <f aca="false">VLOOKUP(A949,BD_ORDENES!A:BE,13,FALSE())</f>
        <v>#N/A</v>
      </c>
      <c r="H949" s="68" t="e">
        <f aca="false">VLOOKUP(A949,BD_ORDENES!A:BE,17,FALSE())</f>
        <v>#N/A</v>
      </c>
      <c r="I949" s="68" t="e">
        <f aca="false">VLOOKUP(A949,BD_ORDENES!A:BE,18,FALSE())</f>
        <v>#N/A</v>
      </c>
      <c r="J949" s="68" t="e">
        <f aca="false">VLOOKUP(A949,BD_ORDENES!A:BE,19,FALSE())</f>
        <v>#N/A</v>
      </c>
      <c r="K949" s="68" t="e">
        <f aca="false">VLOOKUP(A949,BD_ORDENES!A:BE,20,FALSE())</f>
        <v>#N/A</v>
      </c>
      <c r="L949" s="68" t="e">
        <f aca="false">VLOOKUP(A949,BD_ORDENES!A:BE,21,FALSE())</f>
        <v>#N/A</v>
      </c>
      <c r="M949" s="69" t="e">
        <f aca="false">VLOOKUP(A949,BD_ORDENES!A:BE,14,FALSE())</f>
        <v>#N/A</v>
      </c>
      <c r="N949" s="68" t="e">
        <f aca="false">VLOOKUP(A949,BD_ORDENES!A:BE,15,FALSE())</f>
        <v>#N/A</v>
      </c>
      <c r="O949" s="68" t="e">
        <f aca="false">VLOOKUP(A949,BD_ORDENES!A:BE,33,FALSE())</f>
        <v>#N/A</v>
      </c>
      <c r="P949" s="68" t="e">
        <f aca="false">VLOOKUP(A949,BD_ORDENES!A:BE,23,FALSE())</f>
        <v>#N/A</v>
      </c>
      <c r="Q949" s="68" t="e">
        <f aca="false">VLOOKUP(A949,BD_ORDENES!A:BE,52,FALSE())</f>
        <v>#N/A</v>
      </c>
      <c r="R949" s="68" t="e">
        <f aca="false">VLOOKUP(A949,BD_ORDENES!A:BE,25,FALSE())</f>
        <v>#N/A</v>
      </c>
      <c r="S949" s="68" t="e">
        <f aca="false">VLOOKUP(A949,BD_ORDENES!A:BE,22,FALSE())</f>
        <v>#N/A</v>
      </c>
      <c r="T949" s="65" t="e">
        <f aca="false">VLOOKUP(A949,BD_ORDENES!A:BE,55,FALSE())</f>
        <v>#N/A</v>
      </c>
      <c r="U949" s="68" t="e">
        <f aca="false">VLOOKUP(A949,BD_ORDENES!A:BE,57,FALSE())</f>
        <v>#N/A</v>
      </c>
      <c r="V949" s="70"/>
    </row>
    <row r="950" customFormat="false" ht="29.1" hidden="false" customHeight="false" outlineLevel="0" collapsed="false">
      <c r="A950" s="62" t="n">
        <f aca="false">A949+1</f>
        <v>943</v>
      </c>
      <c r="B950" s="63" t="e">
        <f aca="false">VLOOKUP(A950,BD_ORDENES!A:BG,12,FALSE())</f>
        <v>#N/A</v>
      </c>
      <c r="C950" s="64" t="n">
        <v>943</v>
      </c>
      <c r="D950" s="65" t="e">
        <f aca="false">VLOOKUP(A950,BD_ORDENES!A:BE,10,0)</f>
        <v>#N/A</v>
      </c>
      <c r="E950" s="66" t="e">
        <f aca="false">VLOOKUP(A950,BD_ORDENES!A:BG,4,FALSE())</f>
        <v>#N/A</v>
      </c>
      <c r="F950" s="66" t="e">
        <f aca="false">VLOOKUP(A950,BD_ORDENES!A:BE,56,FALSE())</f>
        <v>#N/A</v>
      </c>
      <c r="G950" s="67" t="e">
        <f aca="false">VLOOKUP(A950,BD_ORDENES!A:BE,13,FALSE())</f>
        <v>#N/A</v>
      </c>
      <c r="H950" s="68" t="e">
        <f aca="false">VLOOKUP(A950,BD_ORDENES!A:BE,17,FALSE())</f>
        <v>#N/A</v>
      </c>
      <c r="I950" s="68" t="e">
        <f aca="false">VLOOKUP(A950,BD_ORDENES!A:BE,18,FALSE())</f>
        <v>#N/A</v>
      </c>
      <c r="J950" s="68" t="e">
        <f aca="false">VLOOKUP(A950,BD_ORDENES!A:BE,19,FALSE())</f>
        <v>#N/A</v>
      </c>
      <c r="K950" s="68" t="e">
        <f aca="false">VLOOKUP(A950,BD_ORDENES!A:BE,20,FALSE())</f>
        <v>#N/A</v>
      </c>
      <c r="L950" s="68" t="e">
        <f aca="false">VLOOKUP(A950,BD_ORDENES!A:BE,21,FALSE())</f>
        <v>#N/A</v>
      </c>
      <c r="M950" s="69" t="e">
        <f aca="false">VLOOKUP(A950,BD_ORDENES!A:BE,14,FALSE())</f>
        <v>#N/A</v>
      </c>
      <c r="N950" s="68" t="e">
        <f aca="false">VLOOKUP(A950,BD_ORDENES!A:BE,15,FALSE())</f>
        <v>#N/A</v>
      </c>
      <c r="O950" s="68" t="e">
        <f aca="false">VLOOKUP(A950,BD_ORDENES!A:BE,33,FALSE())</f>
        <v>#N/A</v>
      </c>
      <c r="P950" s="68" t="e">
        <f aca="false">VLOOKUP(A950,BD_ORDENES!A:BE,23,FALSE())</f>
        <v>#N/A</v>
      </c>
      <c r="Q950" s="68" t="e">
        <f aca="false">VLOOKUP(A950,BD_ORDENES!A:BE,52,FALSE())</f>
        <v>#N/A</v>
      </c>
      <c r="R950" s="68" t="e">
        <f aca="false">VLOOKUP(A950,BD_ORDENES!A:BE,25,FALSE())</f>
        <v>#N/A</v>
      </c>
      <c r="S950" s="68" t="e">
        <f aca="false">VLOOKUP(A950,BD_ORDENES!A:BE,22,FALSE())</f>
        <v>#N/A</v>
      </c>
      <c r="T950" s="65" t="e">
        <f aca="false">VLOOKUP(A950,BD_ORDENES!A:BE,55,FALSE())</f>
        <v>#N/A</v>
      </c>
      <c r="U950" s="68" t="e">
        <f aca="false">VLOOKUP(A950,BD_ORDENES!A:BE,57,FALSE())</f>
        <v>#N/A</v>
      </c>
      <c r="V950" s="70"/>
    </row>
    <row r="951" customFormat="false" ht="29.1" hidden="false" customHeight="false" outlineLevel="0" collapsed="false">
      <c r="A951" s="62" t="n">
        <f aca="false">A950+1</f>
        <v>944</v>
      </c>
      <c r="B951" s="63" t="e">
        <f aca="false">VLOOKUP(A951,BD_ORDENES!A:BG,12,FALSE())</f>
        <v>#N/A</v>
      </c>
      <c r="C951" s="64" t="n">
        <v>944</v>
      </c>
      <c r="D951" s="65" t="e">
        <f aca="false">VLOOKUP(A951,BD_ORDENES!A:BE,10,0)</f>
        <v>#N/A</v>
      </c>
      <c r="E951" s="66" t="e">
        <f aca="false">VLOOKUP(A951,BD_ORDENES!A:BG,4,FALSE())</f>
        <v>#N/A</v>
      </c>
      <c r="F951" s="66" t="e">
        <f aca="false">VLOOKUP(A951,BD_ORDENES!A:BE,56,FALSE())</f>
        <v>#N/A</v>
      </c>
      <c r="G951" s="67" t="e">
        <f aca="false">VLOOKUP(A951,BD_ORDENES!A:BE,13,FALSE())</f>
        <v>#N/A</v>
      </c>
      <c r="H951" s="68" t="e">
        <f aca="false">VLOOKUP(A951,BD_ORDENES!A:BE,17,FALSE())</f>
        <v>#N/A</v>
      </c>
      <c r="I951" s="68" t="e">
        <f aca="false">VLOOKUP(A951,BD_ORDENES!A:BE,18,FALSE())</f>
        <v>#N/A</v>
      </c>
      <c r="J951" s="68" t="e">
        <f aca="false">VLOOKUP(A951,BD_ORDENES!A:BE,19,FALSE())</f>
        <v>#N/A</v>
      </c>
      <c r="K951" s="68" t="e">
        <f aca="false">VLOOKUP(A951,BD_ORDENES!A:BE,20,FALSE())</f>
        <v>#N/A</v>
      </c>
      <c r="L951" s="68" t="e">
        <f aca="false">VLOOKUP(A951,BD_ORDENES!A:BE,21,FALSE())</f>
        <v>#N/A</v>
      </c>
      <c r="M951" s="69" t="e">
        <f aca="false">VLOOKUP(A951,BD_ORDENES!A:BE,14,FALSE())</f>
        <v>#N/A</v>
      </c>
      <c r="N951" s="68" t="e">
        <f aca="false">VLOOKUP(A951,BD_ORDENES!A:BE,15,FALSE())</f>
        <v>#N/A</v>
      </c>
      <c r="O951" s="68" t="e">
        <f aca="false">VLOOKUP(A951,BD_ORDENES!A:BE,33,FALSE())</f>
        <v>#N/A</v>
      </c>
      <c r="P951" s="68" t="e">
        <f aca="false">VLOOKUP(A951,BD_ORDENES!A:BE,23,FALSE())</f>
        <v>#N/A</v>
      </c>
      <c r="Q951" s="68" t="e">
        <f aca="false">VLOOKUP(A951,BD_ORDENES!A:BE,52,FALSE())</f>
        <v>#N/A</v>
      </c>
      <c r="R951" s="68" t="e">
        <f aca="false">VLOOKUP(A951,BD_ORDENES!A:BE,25,FALSE())</f>
        <v>#N/A</v>
      </c>
      <c r="S951" s="68" t="e">
        <f aca="false">VLOOKUP(A951,BD_ORDENES!A:BE,22,FALSE())</f>
        <v>#N/A</v>
      </c>
      <c r="T951" s="65" t="e">
        <f aca="false">VLOOKUP(A951,BD_ORDENES!A:BE,55,FALSE())</f>
        <v>#N/A</v>
      </c>
      <c r="U951" s="68" t="e">
        <f aca="false">VLOOKUP(A951,BD_ORDENES!A:BE,57,FALSE())</f>
        <v>#N/A</v>
      </c>
      <c r="V951" s="70"/>
    </row>
    <row r="952" customFormat="false" ht="29.1" hidden="false" customHeight="false" outlineLevel="0" collapsed="false">
      <c r="A952" s="62" t="n">
        <f aca="false">A951+1</f>
        <v>945</v>
      </c>
      <c r="B952" s="63" t="e">
        <f aca="false">VLOOKUP(A952,BD_ORDENES!A:BG,12,FALSE())</f>
        <v>#N/A</v>
      </c>
      <c r="C952" s="64" t="n">
        <v>945</v>
      </c>
      <c r="D952" s="65" t="e">
        <f aca="false">VLOOKUP(A952,BD_ORDENES!A:BE,10,0)</f>
        <v>#N/A</v>
      </c>
      <c r="E952" s="66" t="e">
        <f aca="false">VLOOKUP(A952,BD_ORDENES!A:BG,4,FALSE())</f>
        <v>#N/A</v>
      </c>
      <c r="F952" s="66" t="e">
        <f aca="false">VLOOKUP(A952,BD_ORDENES!A:BE,56,FALSE())</f>
        <v>#N/A</v>
      </c>
      <c r="G952" s="67" t="e">
        <f aca="false">VLOOKUP(A952,BD_ORDENES!A:BE,13,FALSE())</f>
        <v>#N/A</v>
      </c>
      <c r="H952" s="68" t="e">
        <f aca="false">VLOOKUP(A952,BD_ORDENES!A:BE,17,FALSE())</f>
        <v>#N/A</v>
      </c>
      <c r="I952" s="68" t="e">
        <f aca="false">VLOOKUP(A952,BD_ORDENES!A:BE,18,FALSE())</f>
        <v>#N/A</v>
      </c>
      <c r="J952" s="68" t="e">
        <f aca="false">VLOOKUP(A952,BD_ORDENES!A:BE,19,FALSE())</f>
        <v>#N/A</v>
      </c>
      <c r="K952" s="68" t="e">
        <f aca="false">VLOOKUP(A952,BD_ORDENES!A:BE,20,FALSE())</f>
        <v>#N/A</v>
      </c>
      <c r="L952" s="68" t="e">
        <f aca="false">VLOOKUP(A952,BD_ORDENES!A:BE,21,FALSE())</f>
        <v>#N/A</v>
      </c>
      <c r="M952" s="69" t="e">
        <f aca="false">VLOOKUP(A952,BD_ORDENES!A:BE,14,FALSE())</f>
        <v>#N/A</v>
      </c>
      <c r="N952" s="68" t="e">
        <f aca="false">VLOOKUP(A952,BD_ORDENES!A:BE,15,FALSE())</f>
        <v>#N/A</v>
      </c>
      <c r="O952" s="68" t="e">
        <f aca="false">VLOOKUP(A952,BD_ORDENES!A:BE,33,FALSE())</f>
        <v>#N/A</v>
      </c>
      <c r="P952" s="68" t="e">
        <f aca="false">VLOOKUP(A952,BD_ORDENES!A:BE,23,FALSE())</f>
        <v>#N/A</v>
      </c>
      <c r="Q952" s="68" t="e">
        <f aca="false">VLOOKUP(A952,BD_ORDENES!A:BE,52,FALSE())</f>
        <v>#N/A</v>
      </c>
      <c r="R952" s="68" t="e">
        <f aca="false">VLOOKUP(A952,BD_ORDENES!A:BE,25,FALSE())</f>
        <v>#N/A</v>
      </c>
      <c r="S952" s="68" t="e">
        <f aca="false">VLOOKUP(A952,BD_ORDENES!A:BE,22,FALSE())</f>
        <v>#N/A</v>
      </c>
      <c r="T952" s="65" t="e">
        <f aca="false">VLOOKUP(A952,BD_ORDENES!A:BE,55,FALSE())</f>
        <v>#N/A</v>
      </c>
      <c r="U952" s="68" t="e">
        <f aca="false">VLOOKUP(A952,BD_ORDENES!A:BE,57,FALSE())</f>
        <v>#N/A</v>
      </c>
      <c r="V952" s="70"/>
    </row>
    <row r="953" customFormat="false" ht="29.1" hidden="false" customHeight="false" outlineLevel="0" collapsed="false">
      <c r="A953" s="62" t="n">
        <f aca="false">A952+1</f>
        <v>946</v>
      </c>
      <c r="B953" s="63" t="e">
        <f aca="false">VLOOKUP(A953,BD_ORDENES!A:BG,12,FALSE())</f>
        <v>#N/A</v>
      </c>
      <c r="C953" s="64" t="n">
        <v>946</v>
      </c>
      <c r="D953" s="65" t="e">
        <f aca="false">VLOOKUP(A953,BD_ORDENES!A:BE,10,0)</f>
        <v>#N/A</v>
      </c>
      <c r="E953" s="66" t="e">
        <f aca="false">VLOOKUP(A953,BD_ORDENES!A:BG,4,FALSE())</f>
        <v>#N/A</v>
      </c>
      <c r="F953" s="66" t="e">
        <f aca="false">VLOOKUP(A953,BD_ORDENES!A:BE,56,FALSE())</f>
        <v>#N/A</v>
      </c>
      <c r="G953" s="67" t="e">
        <f aca="false">VLOOKUP(A953,BD_ORDENES!A:BE,13,FALSE())</f>
        <v>#N/A</v>
      </c>
      <c r="H953" s="68" t="e">
        <f aca="false">VLOOKUP(A953,BD_ORDENES!A:BE,17,FALSE())</f>
        <v>#N/A</v>
      </c>
      <c r="I953" s="68" t="e">
        <f aca="false">VLOOKUP(A953,BD_ORDENES!A:BE,18,FALSE())</f>
        <v>#N/A</v>
      </c>
      <c r="J953" s="68" t="e">
        <f aca="false">VLOOKUP(A953,BD_ORDENES!A:BE,19,FALSE())</f>
        <v>#N/A</v>
      </c>
      <c r="K953" s="68" t="e">
        <f aca="false">VLOOKUP(A953,BD_ORDENES!A:BE,20,FALSE())</f>
        <v>#N/A</v>
      </c>
      <c r="L953" s="68" t="e">
        <f aca="false">VLOOKUP(A953,BD_ORDENES!A:BE,21,FALSE())</f>
        <v>#N/A</v>
      </c>
      <c r="M953" s="69" t="e">
        <f aca="false">VLOOKUP(A953,BD_ORDENES!A:BE,14,FALSE())</f>
        <v>#N/A</v>
      </c>
      <c r="N953" s="68" t="e">
        <f aca="false">VLOOKUP(A953,BD_ORDENES!A:BE,15,FALSE())</f>
        <v>#N/A</v>
      </c>
      <c r="O953" s="68" t="e">
        <f aca="false">VLOOKUP(A953,BD_ORDENES!A:BE,33,FALSE())</f>
        <v>#N/A</v>
      </c>
      <c r="P953" s="68" t="e">
        <f aca="false">VLOOKUP(A953,BD_ORDENES!A:BE,23,FALSE())</f>
        <v>#N/A</v>
      </c>
      <c r="Q953" s="68" t="e">
        <f aca="false">VLOOKUP(A953,BD_ORDENES!A:BE,52,FALSE())</f>
        <v>#N/A</v>
      </c>
      <c r="R953" s="68" t="e">
        <f aca="false">VLOOKUP(A953,BD_ORDENES!A:BE,25,FALSE())</f>
        <v>#N/A</v>
      </c>
      <c r="S953" s="68" t="e">
        <f aca="false">VLOOKUP(A953,BD_ORDENES!A:BE,22,FALSE())</f>
        <v>#N/A</v>
      </c>
      <c r="T953" s="65" t="e">
        <f aca="false">VLOOKUP(A953,BD_ORDENES!A:BE,55,FALSE())</f>
        <v>#N/A</v>
      </c>
      <c r="U953" s="68" t="e">
        <f aca="false">VLOOKUP(A953,BD_ORDENES!A:BE,57,FALSE())</f>
        <v>#N/A</v>
      </c>
      <c r="V953" s="70"/>
    </row>
    <row r="954" customFormat="false" ht="29.1" hidden="false" customHeight="false" outlineLevel="0" collapsed="false">
      <c r="A954" s="62" t="n">
        <f aca="false">A953+1</f>
        <v>947</v>
      </c>
      <c r="B954" s="63" t="e">
        <f aca="false">VLOOKUP(A954,BD_ORDENES!A:BG,12,FALSE())</f>
        <v>#N/A</v>
      </c>
      <c r="C954" s="64" t="n">
        <v>947</v>
      </c>
      <c r="D954" s="65" t="e">
        <f aca="false">VLOOKUP(A954,BD_ORDENES!A:BE,10,0)</f>
        <v>#N/A</v>
      </c>
      <c r="E954" s="66" t="e">
        <f aca="false">VLOOKUP(A954,BD_ORDENES!A:BG,4,FALSE())</f>
        <v>#N/A</v>
      </c>
      <c r="F954" s="66" t="e">
        <f aca="false">VLOOKUP(A954,BD_ORDENES!A:BE,56,FALSE())</f>
        <v>#N/A</v>
      </c>
      <c r="G954" s="67" t="e">
        <f aca="false">VLOOKUP(A954,BD_ORDENES!A:BE,13,FALSE())</f>
        <v>#N/A</v>
      </c>
      <c r="H954" s="68" t="e">
        <f aca="false">VLOOKUP(A954,BD_ORDENES!A:BE,17,FALSE())</f>
        <v>#N/A</v>
      </c>
      <c r="I954" s="68" t="e">
        <f aca="false">VLOOKUP(A954,BD_ORDENES!A:BE,18,FALSE())</f>
        <v>#N/A</v>
      </c>
      <c r="J954" s="68" t="e">
        <f aca="false">VLOOKUP(A954,BD_ORDENES!A:BE,19,FALSE())</f>
        <v>#N/A</v>
      </c>
      <c r="K954" s="68" t="e">
        <f aca="false">VLOOKUP(A954,BD_ORDENES!A:BE,20,FALSE())</f>
        <v>#N/A</v>
      </c>
      <c r="L954" s="68" t="e">
        <f aca="false">VLOOKUP(A954,BD_ORDENES!A:BE,21,FALSE())</f>
        <v>#N/A</v>
      </c>
      <c r="M954" s="69" t="e">
        <f aca="false">VLOOKUP(A954,BD_ORDENES!A:BE,14,FALSE())</f>
        <v>#N/A</v>
      </c>
      <c r="N954" s="68" t="e">
        <f aca="false">VLOOKUP(A954,BD_ORDENES!A:BE,15,FALSE())</f>
        <v>#N/A</v>
      </c>
      <c r="O954" s="68" t="e">
        <f aca="false">VLOOKUP(A954,BD_ORDENES!A:BE,33,FALSE())</f>
        <v>#N/A</v>
      </c>
      <c r="P954" s="68" t="e">
        <f aca="false">VLOOKUP(A954,BD_ORDENES!A:BE,23,FALSE())</f>
        <v>#N/A</v>
      </c>
      <c r="Q954" s="68" t="e">
        <f aca="false">VLOOKUP(A954,BD_ORDENES!A:BE,52,FALSE())</f>
        <v>#N/A</v>
      </c>
      <c r="R954" s="68" t="e">
        <f aca="false">VLOOKUP(A954,BD_ORDENES!A:BE,25,FALSE())</f>
        <v>#N/A</v>
      </c>
      <c r="S954" s="68" t="e">
        <f aca="false">VLOOKUP(A954,BD_ORDENES!A:BE,22,FALSE())</f>
        <v>#N/A</v>
      </c>
      <c r="T954" s="65" t="e">
        <f aca="false">VLOOKUP(A954,BD_ORDENES!A:BE,55,FALSE())</f>
        <v>#N/A</v>
      </c>
      <c r="U954" s="68" t="e">
        <f aca="false">VLOOKUP(A954,BD_ORDENES!A:BE,57,FALSE())</f>
        <v>#N/A</v>
      </c>
      <c r="V954" s="70"/>
    </row>
    <row r="955" customFormat="false" ht="29.1" hidden="false" customHeight="false" outlineLevel="0" collapsed="false">
      <c r="A955" s="62" t="n">
        <f aca="false">A954+1</f>
        <v>948</v>
      </c>
      <c r="B955" s="63" t="e">
        <f aca="false">VLOOKUP(A955,BD_ORDENES!A:BG,12,FALSE())</f>
        <v>#N/A</v>
      </c>
      <c r="C955" s="64" t="n">
        <v>948</v>
      </c>
      <c r="D955" s="65" t="e">
        <f aca="false">VLOOKUP(A955,BD_ORDENES!A:BE,10,0)</f>
        <v>#N/A</v>
      </c>
      <c r="E955" s="66" t="e">
        <f aca="false">VLOOKUP(A955,BD_ORDENES!A:BG,4,FALSE())</f>
        <v>#N/A</v>
      </c>
      <c r="F955" s="66" t="e">
        <f aca="false">VLOOKUP(A955,BD_ORDENES!A:BE,56,FALSE())</f>
        <v>#N/A</v>
      </c>
      <c r="G955" s="67" t="e">
        <f aca="false">VLOOKUP(A955,BD_ORDENES!A:BE,13,FALSE())</f>
        <v>#N/A</v>
      </c>
      <c r="H955" s="68" t="e">
        <f aca="false">VLOOKUP(A955,BD_ORDENES!A:BE,17,FALSE())</f>
        <v>#N/A</v>
      </c>
      <c r="I955" s="68" t="e">
        <f aca="false">VLOOKUP(A955,BD_ORDENES!A:BE,18,FALSE())</f>
        <v>#N/A</v>
      </c>
      <c r="J955" s="68" t="e">
        <f aca="false">VLOOKUP(A955,BD_ORDENES!A:BE,19,FALSE())</f>
        <v>#N/A</v>
      </c>
      <c r="K955" s="68" t="e">
        <f aca="false">VLOOKUP(A955,BD_ORDENES!A:BE,20,FALSE())</f>
        <v>#N/A</v>
      </c>
      <c r="L955" s="68" t="e">
        <f aca="false">VLOOKUP(A955,BD_ORDENES!A:BE,21,FALSE())</f>
        <v>#N/A</v>
      </c>
      <c r="M955" s="69" t="e">
        <f aca="false">VLOOKUP(A955,BD_ORDENES!A:BE,14,FALSE())</f>
        <v>#N/A</v>
      </c>
      <c r="N955" s="68" t="e">
        <f aca="false">VLOOKUP(A955,BD_ORDENES!A:BE,15,FALSE())</f>
        <v>#N/A</v>
      </c>
      <c r="O955" s="68" t="e">
        <f aca="false">VLOOKUP(A955,BD_ORDENES!A:BE,33,FALSE())</f>
        <v>#N/A</v>
      </c>
      <c r="P955" s="68" t="e">
        <f aca="false">VLOOKUP(A955,BD_ORDENES!A:BE,23,FALSE())</f>
        <v>#N/A</v>
      </c>
      <c r="Q955" s="68" t="e">
        <f aca="false">VLOOKUP(A955,BD_ORDENES!A:BE,52,FALSE())</f>
        <v>#N/A</v>
      </c>
      <c r="R955" s="68" t="e">
        <f aca="false">VLOOKUP(A955,BD_ORDENES!A:BE,25,FALSE())</f>
        <v>#N/A</v>
      </c>
      <c r="S955" s="68" t="e">
        <f aca="false">VLOOKUP(A955,BD_ORDENES!A:BE,22,FALSE())</f>
        <v>#N/A</v>
      </c>
      <c r="T955" s="65" t="e">
        <f aca="false">VLOOKUP(A955,BD_ORDENES!A:BE,55,FALSE())</f>
        <v>#N/A</v>
      </c>
      <c r="U955" s="68" t="e">
        <f aca="false">VLOOKUP(A955,BD_ORDENES!A:BE,57,FALSE())</f>
        <v>#N/A</v>
      </c>
      <c r="V955" s="70"/>
    </row>
    <row r="956" customFormat="false" ht="29.1" hidden="false" customHeight="false" outlineLevel="0" collapsed="false">
      <c r="A956" s="62" t="n">
        <f aca="false">A955+1</f>
        <v>949</v>
      </c>
      <c r="B956" s="63" t="e">
        <f aca="false">VLOOKUP(A956,BD_ORDENES!A:BG,12,FALSE())</f>
        <v>#N/A</v>
      </c>
      <c r="C956" s="64" t="n">
        <v>949</v>
      </c>
      <c r="D956" s="65" t="e">
        <f aca="false">VLOOKUP(A956,BD_ORDENES!A:BE,10,0)</f>
        <v>#N/A</v>
      </c>
      <c r="E956" s="66" t="e">
        <f aca="false">VLOOKUP(A956,BD_ORDENES!A:BG,4,FALSE())</f>
        <v>#N/A</v>
      </c>
      <c r="F956" s="66" t="e">
        <f aca="false">VLOOKUP(A956,BD_ORDENES!A:BE,56,FALSE())</f>
        <v>#N/A</v>
      </c>
      <c r="G956" s="67" t="e">
        <f aca="false">VLOOKUP(A956,BD_ORDENES!A:BE,13,FALSE())</f>
        <v>#N/A</v>
      </c>
      <c r="H956" s="68" t="e">
        <f aca="false">VLOOKUP(A956,BD_ORDENES!A:BE,17,FALSE())</f>
        <v>#N/A</v>
      </c>
      <c r="I956" s="68" t="e">
        <f aca="false">VLOOKUP(A956,BD_ORDENES!A:BE,18,FALSE())</f>
        <v>#N/A</v>
      </c>
      <c r="J956" s="68" t="e">
        <f aca="false">VLOOKUP(A956,BD_ORDENES!A:BE,19,FALSE())</f>
        <v>#N/A</v>
      </c>
      <c r="K956" s="68" t="e">
        <f aca="false">VLOOKUP(A956,BD_ORDENES!A:BE,20,FALSE())</f>
        <v>#N/A</v>
      </c>
      <c r="L956" s="68" t="e">
        <f aca="false">VLOOKUP(A956,BD_ORDENES!A:BE,21,FALSE())</f>
        <v>#N/A</v>
      </c>
      <c r="M956" s="69" t="e">
        <f aca="false">VLOOKUP(A956,BD_ORDENES!A:BE,14,FALSE())</f>
        <v>#N/A</v>
      </c>
      <c r="N956" s="68" t="e">
        <f aca="false">VLOOKUP(A956,BD_ORDENES!A:BE,15,FALSE())</f>
        <v>#N/A</v>
      </c>
      <c r="O956" s="68" t="e">
        <f aca="false">VLOOKUP(A956,BD_ORDENES!A:BE,33,FALSE())</f>
        <v>#N/A</v>
      </c>
      <c r="P956" s="68" t="e">
        <f aca="false">VLOOKUP(A956,BD_ORDENES!A:BE,23,FALSE())</f>
        <v>#N/A</v>
      </c>
      <c r="Q956" s="68" t="e">
        <f aca="false">VLOOKUP(A956,BD_ORDENES!A:BE,52,FALSE())</f>
        <v>#N/A</v>
      </c>
      <c r="R956" s="68" t="e">
        <f aca="false">VLOOKUP(A956,BD_ORDENES!A:BE,25,FALSE())</f>
        <v>#N/A</v>
      </c>
      <c r="S956" s="68" t="e">
        <f aca="false">VLOOKUP(A956,BD_ORDENES!A:BE,22,FALSE())</f>
        <v>#N/A</v>
      </c>
      <c r="T956" s="65" t="e">
        <f aca="false">VLOOKUP(A956,BD_ORDENES!A:BE,55,FALSE())</f>
        <v>#N/A</v>
      </c>
      <c r="U956" s="68" t="e">
        <f aca="false">VLOOKUP(A956,BD_ORDENES!A:BE,57,FALSE())</f>
        <v>#N/A</v>
      </c>
      <c r="V956" s="70"/>
    </row>
    <row r="957" customFormat="false" ht="29.1" hidden="false" customHeight="false" outlineLevel="0" collapsed="false">
      <c r="A957" s="62" t="n">
        <f aca="false">A956+1</f>
        <v>950</v>
      </c>
      <c r="B957" s="63" t="e">
        <f aca="false">VLOOKUP(A957,BD_ORDENES!A:BG,12,FALSE())</f>
        <v>#N/A</v>
      </c>
      <c r="C957" s="64" t="n">
        <v>950</v>
      </c>
      <c r="D957" s="65" t="e">
        <f aca="false">VLOOKUP(A957,BD_ORDENES!A:BE,10,0)</f>
        <v>#N/A</v>
      </c>
      <c r="E957" s="66" t="e">
        <f aca="false">VLOOKUP(A957,BD_ORDENES!A:BG,4,FALSE())</f>
        <v>#N/A</v>
      </c>
      <c r="F957" s="66" t="e">
        <f aca="false">VLOOKUP(A957,BD_ORDENES!A:BE,56,FALSE())</f>
        <v>#N/A</v>
      </c>
      <c r="G957" s="67" t="e">
        <f aca="false">VLOOKUP(A957,BD_ORDENES!A:BE,13,FALSE())</f>
        <v>#N/A</v>
      </c>
      <c r="H957" s="68" t="e">
        <f aca="false">VLOOKUP(A957,BD_ORDENES!A:BE,17,FALSE())</f>
        <v>#N/A</v>
      </c>
      <c r="I957" s="68" t="e">
        <f aca="false">VLOOKUP(A957,BD_ORDENES!A:BE,18,FALSE())</f>
        <v>#N/A</v>
      </c>
      <c r="J957" s="68" t="e">
        <f aca="false">VLOOKUP(A957,BD_ORDENES!A:BE,19,FALSE())</f>
        <v>#N/A</v>
      </c>
      <c r="K957" s="68" t="e">
        <f aca="false">VLOOKUP(A957,BD_ORDENES!A:BE,20,FALSE())</f>
        <v>#N/A</v>
      </c>
      <c r="L957" s="68" t="e">
        <f aca="false">VLOOKUP(A957,BD_ORDENES!A:BE,21,FALSE())</f>
        <v>#N/A</v>
      </c>
      <c r="M957" s="69" t="e">
        <f aca="false">VLOOKUP(A957,BD_ORDENES!A:BE,14,FALSE())</f>
        <v>#N/A</v>
      </c>
      <c r="N957" s="68" t="e">
        <f aca="false">VLOOKUP(A957,BD_ORDENES!A:BE,15,FALSE())</f>
        <v>#N/A</v>
      </c>
      <c r="O957" s="68" t="e">
        <f aca="false">VLOOKUP(A957,BD_ORDENES!A:BE,33,FALSE())</f>
        <v>#N/A</v>
      </c>
      <c r="P957" s="68" t="e">
        <f aca="false">VLOOKUP(A957,BD_ORDENES!A:BE,23,FALSE())</f>
        <v>#N/A</v>
      </c>
      <c r="Q957" s="68" t="e">
        <f aca="false">VLOOKUP(A957,BD_ORDENES!A:BE,52,FALSE())</f>
        <v>#N/A</v>
      </c>
      <c r="R957" s="68" t="e">
        <f aca="false">VLOOKUP(A957,BD_ORDENES!A:BE,25,FALSE())</f>
        <v>#N/A</v>
      </c>
      <c r="S957" s="68" t="e">
        <f aca="false">VLOOKUP(A957,BD_ORDENES!A:BE,22,FALSE())</f>
        <v>#N/A</v>
      </c>
      <c r="T957" s="65" t="e">
        <f aca="false">VLOOKUP(A957,BD_ORDENES!A:BE,55,FALSE())</f>
        <v>#N/A</v>
      </c>
      <c r="U957" s="68" t="e">
        <f aca="false">VLOOKUP(A957,BD_ORDENES!A:BE,57,FALSE())</f>
        <v>#N/A</v>
      </c>
      <c r="V957" s="70"/>
    </row>
    <row r="958" customFormat="false" ht="29.1" hidden="false" customHeight="false" outlineLevel="0" collapsed="false">
      <c r="A958" s="62" t="n">
        <f aca="false">A957+1</f>
        <v>951</v>
      </c>
      <c r="B958" s="63" t="e">
        <f aca="false">VLOOKUP(A958,BD_ORDENES!A:BG,12,FALSE())</f>
        <v>#N/A</v>
      </c>
      <c r="C958" s="64" t="n">
        <v>951</v>
      </c>
      <c r="D958" s="65" t="e">
        <f aca="false">VLOOKUP(A958,BD_ORDENES!A:BE,10,0)</f>
        <v>#N/A</v>
      </c>
      <c r="E958" s="66" t="e">
        <f aca="false">VLOOKUP(A958,BD_ORDENES!A:BG,4,FALSE())</f>
        <v>#N/A</v>
      </c>
      <c r="F958" s="66" t="e">
        <f aca="false">VLOOKUP(A958,BD_ORDENES!A:BE,56,FALSE())</f>
        <v>#N/A</v>
      </c>
      <c r="G958" s="67" t="e">
        <f aca="false">VLOOKUP(A958,BD_ORDENES!A:BE,13,FALSE())</f>
        <v>#N/A</v>
      </c>
      <c r="H958" s="68" t="e">
        <f aca="false">VLOOKUP(A958,BD_ORDENES!A:BE,17,FALSE())</f>
        <v>#N/A</v>
      </c>
      <c r="I958" s="68" t="e">
        <f aca="false">VLOOKUP(A958,BD_ORDENES!A:BE,18,FALSE())</f>
        <v>#N/A</v>
      </c>
      <c r="J958" s="68" t="e">
        <f aca="false">VLOOKUP(A958,BD_ORDENES!A:BE,19,FALSE())</f>
        <v>#N/A</v>
      </c>
      <c r="K958" s="68" t="e">
        <f aca="false">VLOOKUP(A958,BD_ORDENES!A:BE,20,FALSE())</f>
        <v>#N/A</v>
      </c>
      <c r="L958" s="68" t="e">
        <f aca="false">VLOOKUP(A958,BD_ORDENES!A:BE,21,FALSE())</f>
        <v>#N/A</v>
      </c>
      <c r="M958" s="69" t="e">
        <f aca="false">VLOOKUP(A958,BD_ORDENES!A:BE,14,FALSE())</f>
        <v>#N/A</v>
      </c>
      <c r="N958" s="68" t="e">
        <f aca="false">VLOOKUP(A958,BD_ORDENES!A:BE,15,FALSE())</f>
        <v>#N/A</v>
      </c>
      <c r="O958" s="68" t="e">
        <f aca="false">VLOOKUP(A958,BD_ORDENES!A:BE,33,FALSE())</f>
        <v>#N/A</v>
      </c>
      <c r="P958" s="68" t="e">
        <f aca="false">VLOOKUP(A958,BD_ORDENES!A:BE,23,FALSE())</f>
        <v>#N/A</v>
      </c>
      <c r="Q958" s="68" t="e">
        <f aca="false">VLOOKUP(A958,BD_ORDENES!A:BE,52,FALSE())</f>
        <v>#N/A</v>
      </c>
      <c r="R958" s="68" t="e">
        <f aca="false">VLOOKUP(A958,BD_ORDENES!A:BE,25,FALSE())</f>
        <v>#N/A</v>
      </c>
      <c r="S958" s="68" t="e">
        <f aca="false">VLOOKUP(A958,BD_ORDENES!A:BE,22,FALSE())</f>
        <v>#N/A</v>
      </c>
      <c r="T958" s="65" t="e">
        <f aca="false">VLOOKUP(A958,BD_ORDENES!A:BE,55,FALSE())</f>
        <v>#N/A</v>
      </c>
      <c r="U958" s="68" t="e">
        <f aca="false">VLOOKUP(A958,BD_ORDENES!A:BE,57,FALSE())</f>
        <v>#N/A</v>
      </c>
      <c r="V958" s="70"/>
    </row>
    <row r="959" customFormat="false" ht="29.1" hidden="false" customHeight="false" outlineLevel="0" collapsed="false">
      <c r="A959" s="62" t="n">
        <f aca="false">A958+1</f>
        <v>952</v>
      </c>
      <c r="B959" s="63" t="e">
        <f aca="false">VLOOKUP(A959,BD_ORDENES!A:BG,12,FALSE())</f>
        <v>#N/A</v>
      </c>
      <c r="C959" s="64" t="n">
        <v>952</v>
      </c>
      <c r="D959" s="65" t="e">
        <f aca="false">VLOOKUP(A959,BD_ORDENES!A:BE,10,0)</f>
        <v>#N/A</v>
      </c>
      <c r="E959" s="66" t="e">
        <f aca="false">VLOOKUP(A959,BD_ORDENES!A:BG,4,FALSE())</f>
        <v>#N/A</v>
      </c>
      <c r="F959" s="66" t="e">
        <f aca="false">VLOOKUP(A959,BD_ORDENES!A:BE,56,FALSE())</f>
        <v>#N/A</v>
      </c>
      <c r="G959" s="67" t="e">
        <f aca="false">VLOOKUP(A959,BD_ORDENES!A:BE,13,FALSE())</f>
        <v>#N/A</v>
      </c>
      <c r="H959" s="68" t="e">
        <f aca="false">VLOOKUP(A959,BD_ORDENES!A:BE,17,FALSE())</f>
        <v>#N/A</v>
      </c>
      <c r="I959" s="68" t="e">
        <f aca="false">VLOOKUP(A959,BD_ORDENES!A:BE,18,FALSE())</f>
        <v>#N/A</v>
      </c>
      <c r="J959" s="68" t="e">
        <f aca="false">VLOOKUP(A959,BD_ORDENES!A:BE,19,FALSE())</f>
        <v>#N/A</v>
      </c>
      <c r="K959" s="68" t="e">
        <f aca="false">VLOOKUP(A959,BD_ORDENES!A:BE,20,FALSE())</f>
        <v>#N/A</v>
      </c>
      <c r="L959" s="68" t="e">
        <f aca="false">VLOOKUP(A959,BD_ORDENES!A:BE,21,FALSE())</f>
        <v>#N/A</v>
      </c>
      <c r="M959" s="69" t="e">
        <f aca="false">VLOOKUP(A959,BD_ORDENES!A:BE,14,FALSE())</f>
        <v>#N/A</v>
      </c>
      <c r="N959" s="68" t="e">
        <f aca="false">VLOOKUP(A959,BD_ORDENES!A:BE,15,FALSE())</f>
        <v>#N/A</v>
      </c>
      <c r="O959" s="68" t="e">
        <f aca="false">VLOOKUP(A959,BD_ORDENES!A:BE,33,FALSE())</f>
        <v>#N/A</v>
      </c>
      <c r="P959" s="68" t="e">
        <f aca="false">VLOOKUP(A959,BD_ORDENES!A:BE,23,FALSE())</f>
        <v>#N/A</v>
      </c>
      <c r="Q959" s="68" t="e">
        <f aca="false">VLOOKUP(A959,BD_ORDENES!A:BE,52,FALSE())</f>
        <v>#N/A</v>
      </c>
      <c r="R959" s="68" t="e">
        <f aca="false">VLOOKUP(A959,BD_ORDENES!A:BE,25,FALSE())</f>
        <v>#N/A</v>
      </c>
      <c r="S959" s="68" t="e">
        <f aca="false">VLOOKUP(A959,BD_ORDENES!A:BE,22,FALSE())</f>
        <v>#N/A</v>
      </c>
      <c r="T959" s="65" t="e">
        <f aca="false">VLOOKUP(A959,BD_ORDENES!A:BE,55,FALSE())</f>
        <v>#N/A</v>
      </c>
      <c r="U959" s="68" t="e">
        <f aca="false">VLOOKUP(A959,BD_ORDENES!A:BE,57,FALSE())</f>
        <v>#N/A</v>
      </c>
      <c r="V959" s="70"/>
    </row>
    <row r="960" customFormat="false" ht="29.1" hidden="false" customHeight="false" outlineLevel="0" collapsed="false">
      <c r="A960" s="62" t="n">
        <f aca="false">A959+1</f>
        <v>953</v>
      </c>
      <c r="B960" s="63" t="e">
        <f aca="false">VLOOKUP(A960,BD_ORDENES!A:BG,12,FALSE())</f>
        <v>#N/A</v>
      </c>
      <c r="C960" s="64" t="n">
        <v>953</v>
      </c>
      <c r="D960" s="65" t="e">
        <f aca="false">VLOOKUP(A960,BD_ORDENES!A:BE,10,0)</f>
        <v>#N/A</v>
      </c>
      <c r="E960" s="66" t="e">
        <f aca="false">VLOOKUP(A960,BD_ORDENES!A:BG,4,FALSE())</f>
        <v>#N/A</v>
      </c>
      <c r="F960" s="66" t="e">
        <f aca="false">VLOOKUP(A960,BD_ORDENES!A:BE,56,FALSE())</f>
        <v>#N/A</v>
      </c>
      <c r="G960" s="67" t="e">
        <f aca="false">VLOOKUP(A960,BD_ORDENES!A:BE,13,FALSE())</f>
        <v>#N/A</v>
      </c>
      <c r="H960" s="68" t="e">
        <f aca="false">VLOOKUP(A960,BD_ORDENES!A:BE,17,FALSE())</f>
        <v>#N/A</v>
      </c>
      <c r="I960" s="68" t="e">
        <f aca="false">VLOOKUP(A960,BD_ORDENES!A:BE,18,FALSE())</f>
        <v>#N/A</v>
      </c>
      <c r="J960" s="68" t="e">
        <f aca="false">VLOOKUP(A960,BD_ORDENES!A:BE,19,FALSE())</f>
        <v>#N/A</v>
      </c>
      <c r="K960" s="68" t="e">
        <f aca="false">VLOOKUP(A960,BD_ORDENES!A:BE,20,FALSE())</f>
        <v>#N/A</v>
      </c>
      <c r="L960" s="68" t="e">
        <f aca="false">VLOOKUP(A960,BD_ORDENES!A:BE,21,FALSE())</f>
        <v>#N/A</v>
      </c>
      <c r="M960" s="69" t="e">
        <f aca="false">VLOOKUP(A960,BD_ORDENES!A:BE,14,FALSE())</f>
        <v>#N/A</v>
      </c>
      <c r="N960" s="68" t="e">
        <f aca="false">VLOOKUP(A960,BD_ORDENES!A:BE,15,FALSE())</f>
        <v>#N/A</v>
      </c>
      <c r="O960" s="68" t="e">
        <f aca="false">VLOOKUP(A960,BD_ORDENES!A:BE,33,FALSE())</f>
        <v>#N/A</v>
      </c>
      <c r="P960" s="68" t="e">
        <f aca="false">VLOOKUP(A960,BD_ORDENES!A:BE,23,FALSE())</f>
        <v>#N/A</v>
      </c>
      <c r="Q960" s="68" t="e">
        <f aca="false">VLOOKUP(A960,BD_ORDENES!A:BE,52,FALSE())</f>
        <v>#N/A</v>
      </c>
      <c r="R960" s="68" t="e">
        <f aca="false">VLOOKUP(A960,BD_ORDENES!A:BE,25,FALSE())</f>
        <v>#N/A</v>
      </c>
      <c r="S960" s="68" t="e">
        <f aca="false">VLOOKUP(A960,BD_ORDENES!A:BE,22,FALSE())</f>
        <v>#N/A</v>
      </c>
      <c r="T960" s="65" t="e">
        <f aca="false">VLOOKUP(A960,BD_ORDENES!A:BE,55,FALSE())</f>
        <v>#N/A</v>
      </c>
      <c r="U960" s="68" t="e">
        <f aca="false">VLOOKUP(A960,BD_ORDENES!A:BE,57,FALSE())</f>
        <v>#N/A</v>
      </c>
      <c r="V960" s="70"/>
    </row>
    <row r="961" customFormat="false" ht="29.1" hidden="false" customHeight="false" outlineLevel="0" collapsed="false">
      <c r="A961" s="62" t="n">
        <f aca="false">A960+1</f>
        <v>954</v>
      </c>
      <c r="B961" s="63" t="e">
        <f aca="false">VLOOKUP(A961,BD_ORDENES!A:BG,12,FALSE())</f>
        <v>#N/A</v>
      </c>
      <c r="C961" s="64" t="n">
        <v>954</v>
      </c>
      <c r="D961" s="65" t="e">
        <f aca="false">VLOOKUP(A961,BD_ORDENES!A:BE,10,0)</f>
        <v>#N/A</v>
      </c>
      <c r="E961" s="66" t="e">
        <f aca="false">VLOOKUP(A961,BD_ORDENES!A:BG,4,FALSE())</f>
        <v>#N/A</v>
      </c>
      <c r="F961" s="66" t="e">
        <f aca="false">VLOOKUP(A961,BD_ORDENES!A:BE,56,FALSE())</f>
        <v>#N/A</v>
      </c>
      <c r="G961" s="67" t="e">
        <f aca="false">VLOOKUP(A961,BD_ORDENES!A:BE,13,FALSE())</f>
        <v>#N/A</v>
      </c>
      <c r="H961" s="68" t="e">
        <f aca="false">VLOOKUP(A961,BD_ORDENES!A:BE,17,FALSE())</f>
        <v>#N/A</v>
      </c>
      <c r="I961" s="68" t="e">
        <f aca="false">VLOOKUP(A961,BD_ORDENES!A:BE,18,FALSE())</f>
        <v>#N/A</v>
      </c>
      <c r="J961" s="68" t="e">
        <f aca="false">VLOOKUP(A961,BD_ORDENES!A:BE,19,FALSE())</f>
        <v>#N/A</v>
      </c>
      <c r="K961" s="68" t="e">
        <f aca="false">VLOOKUP(A961,BD_ORDENES!A:BE,20,FALSE())</f>
        <v>#N/A</v>
      </c>
      <c r="L961" s="68" t="e">
        <f aca="false">VLOOKUP(A961,BD_ORDENES!A:BE,21,FALSE())</f>
        <v>#N/A</v>
      </c>
      <c r="M961" s="69" t="e">
        <f aca="false">VLOOKUP(A961,BD_ORDENES!A:BE,14,FALSE())</f>
        <v>#N/A</v>
      </c>
      <c r="N961" s="68" t="e">
        <f aca="false">VLOOKUP(A961,BD_ORDENES!A:BE,15,FALSE())</f>
        <v>#N/A</v>
      </c>
      <c r="O961" s="68" t="e">
        <f aca="false">VLOOKUP(A961,BD_ORDENES!A:BE,33,FALSE())</f>
        <v>#N/A</v>
      </c>
      <c r="P961" s="68" t="e">
        <f aca="false">VLOOKUP(A961,BD_ORDENES!A:BE,23,FALSE())</f>
        <v>#N/A</v>
      </c>
      <c r="Q961" s="68" t="e">
        <f aca="false">VLOOKUP(A961,BD_ORDENES!A:BE,52,FALSE())</f>
        <v>#N/A</v>
      </c>
      <c r="R961" s="68" t="e">
        <f aca="false">VLOOKUP(A961,BD_ORDENES!A:BE,25,FALSE())</f>
        <v>#N/A</v>
      </c>
      <c r="S961" s="68" t="e">
        <f aca="false">VLOOKUP(A961,BD_ORDENES!A:BE,22,FALSE())</f>
        <v>#N/A</v>
      </c>
      <c r="T961" s="65" t="e">
        <f aca="false">VLOOKUP(A961,BD_ORDENES!A:BE,55,FALSE())</f>
        <v>#N/A</v>
      </c>
      <c r="U961" s="68" t="e">
        <f aca="false">VLOOKUP(A961,BD_ORDENES!A:BE,57,FALSE())</f>
        <v>#N/A</v>
      </c>
      <c r="V961" s="70"/>
    </row>
    <row r="962" customFormat="false" ht="29.1" hidden="false" customHeight="false" outlineLevel="0" collapsed="false">
      <c r="A962" s="62" t="n">
        <f aca="false">A961+1</f>
        <v>955</v>
      </c>
      <c r="B962" s="63" t="e">
        <f aca="false">VLOOKUP(A962,BD_ORDENES!A:BG,12,FALSE())</f>
        <v>#N/A</v>
      </c>
      <c r="C962" s="64" t="n">
        <v>955</v>
      </c>
      <c r="D962" s="65" t="e">
        <f aca="false">VLOOKUP(A962,BD_ORDENES!A:BE,10,0)</f>
        <v>#N/A</v>
      </c>
      <c r="E962" s="66" t="e">
        <f aca="false">VLOOKUP(A962,BD_ORDENES!A:BG,4,FALSE())</f>
        <v>#N/A</v>
      </c>
      <c r="F962" s="66" t="e">
        <f aca="false">VLOOKUP(A962,BD_ORDENES!A:BE,56,FALSE())</f>
        <v>#N/A</v>
      </c>
      <c r="G962" s="67" t="e">
        <f aca="false">VLOOKUP(A962,BD_ORDENES!A:BE,13,FALSE())</f>
        <v>#N/A</v>
      </c>
      <c r="H962" s="68" t="e">
        <f aca="false">VLOOKUP(A962,BD_ORDENES!A:BE,17,FALSE())</f>
        <v>#N/A</v>
      </c>
      <c r="I962" s="68" t="e">
        <f aca="false">VLOOKUP(A962,BD_ORDENES!A:BE,18,FALSE())</f>
        <v>#N/A</v>
      </c>
      <c r="J962" s="68" t="e">
        <f aca="false">VLOOKUP(A962,BD_ORDENES!A:BE,19,FALSE())</f>
        <v>#N/A</v>
      </c>
      <c r="K962" s="68" t="e">
        <f aca="false">VLOOKUP(A962,BD_ORDENES!A:BE,20,FALSE())</f>
        <v>#N/A</v>
      </c>
      <c r="L962" s="68" t="e">
        <f aca="false">VLOOKUP(A962,BD_ORDENES!A:BE,21,FALSE())</f>
        <v>#N/A</v>
      </c>
      <c r="M962" s="69" t="e">
        <f aca="false">VLOOKUP(A962,BD_ORDENES!A:BE,14,FALSE())</f>
        <v>#N/A</v>
      </c>
      <c r="N962" s="68" t="e">
        <f aca="false">VLOOKUP(A962,BD_ORDENES!A:BE,15,FALSE())</f>
        <v>#N/A</v>
      </c>
      <c r="O962" s="68" t="e">
        <f aca="false">VLOOKUP(A962,BD_ORDENES!A:BE,33,FALSE())</f>
        <v>#N/A</v>
      </c>
      <c r="P962" s="68" t="e">
        <f aca="false">VLOOKUP(A962,BD_ORDENES!A:BE,23,FALSE())</f>
        <v>#N/A</v>
      </c>
      <c r="Q962" s="68" t="e">
        <f aca="false">VLOOKUP(A962,BD_ORDENES!A:BE,52,FALSE())</f>
        <v>#N/A</v>
      </c>
      <c r="R962" s="68" t="e">
        <f aca="false">VLOOKUP(A962,BD_ORDENES!A:BE,25,FALSE())</f>
        <v>#N/A</v>
      </c>
      <c r="S962" s="68" t="e">
        <f aca="false">VLOOKUP(A962,BD_ORDENES!A:BE,22,FALSE())</f>
        <v>#N/A</v>
      </c>
      <c r="T962" s="65" t="e">
        <f aca="false">VLOOKUP(A962,BD_ORDENES!A:BE,55,FALSE())</f>
        <v>#N/A</v>
      </c>
      <c r="U962" s="68" t="e">
        <f aca="false">VLOOKUP(A962,BD_ORDENES!A:BE,57,FALSE())</f>
        <v>#N/A</v>
      </c>
      <c r="V962" s="70"/>
    </row>
    <row r="963" customFormat="false" ht="29.1" hidden="false" customHeight="false" outlineLevel="0" collapsed="false">
      <c r="A963" s="62" t="n">
        <f aca="false">A962+1</f>
        <v>956</v>
      </c>
      <c r="B963" s="63" t="e">
        <f aca="false">VLOOKUP(A963,BD_ORDENES!A:BG,12,FALSE())</f>
        <v>#N/A</v>
      </c>
      <c r="C963" s="64" t="n">
        <v>956</v>
      </c>
      <c r="D963" s="65" t="e">
        <f aca="false">VLOOKUP(A963,BD_ORDENES!A:BE,10,0)</f>
        <v>#N/A</v>
      </c>
      <c r="E963" s="66" t="e">
        <f aca="false">VLOOKUP(A963,BD_ORDENES!A:BG,4,FALSE())</f>
        <v>#N/A</v>
      </c>
      <c r="F963" s="66" t="e">
        <f aca="false">VLOOKUP(A963,BD_ORDENES!A:BE,56,FALSE())</f>
        <v>#N/A</v>
      </c>
      <c r="G963" s="67" t="e">
        <f aca="false">VLOOKUP(A963,BD_ORDENES!A:BE,13,FALSE())</f>
        <v>#N/A</v>
      </c>
      <c r="H963" s="68" t="e">
        <f aca="false">VLOOKUP(A963,BD_ORDENES!A:BE,17,FALSE())</f>
        <v>#N/A</v>
      </c>
      <c r="I963" s="68" t="e">
        <f aca="false">VLOOKUP(A963,BD_ORDENES!A:BE,18,FALSE())</f>
        <v>#N/A</v>
      </c>
      <c r="J963" s="68" t="e">
        <f aca="false">VLOOKUP(A963,BD_ORDENES!A:BE,19,FALSE())</f>
        <v>#N/A</v>
      </c>
      <c r="K963" s="68" t="e">
        <f aca="false">VLOOKUP(A963,BD_ORDENES!A:BE,20,FALSE())</f>
        <v>#N/A</v>
      </c>
      <c r="L963" s="68" t="e">
        <f aca="false">VLOOKUP(A963,BD_ORDENES!A:BE,21,FALSE())</f>
        <v>#N/A</v>
      </c>
      <c r="M963" s="69" t="e">
        <f aca="false">VLOOKUP(A963,BD_ORDENES!A:BE,14,FALSE())</f>
        <v>#N/A</v>
      </c>
      <c r="N963" s="68" t="e">
        <f aca="false">VLOOKUP(A963,BD_ORDENES!A:BE,15,FALSE())</f>
        <v>#N/A</v>
      </c>
      <c r="O963" s="68" t="e">
        <f aca="false">VLOOKUP(A963,BD_ORDENES!A:BE,33,FALSE())</f>
        <v>#N/A</v>
      </c>
      <c r="P963" s="68" t="e">
        <f aca="false">VLOOKUP(A963,BD_ORDENES!A:BE,23,FALSE())</f>
        <v>#N/A</v>
      </c>
      <c r="Q963" s="68" t="e">
        <f aca="false">VLOOKUP(A963,BD_ORDENES!A:BE,52,FALSE())</f>
        <v>#N/A</v>
      </c>
      <c r="R963" s="68" t="e">
        <f aca="false">VLOOKUP(A963,BD_ORDENES!A:BE,25,FALSE())</f>
        <v>#N/A</v>
      </c>
      <c r="S963" s="68" t="e">
        <f aca="false">VLOOKUP(A963,BD_ORDENES!A:BE,22,FALSE())</f>
        <v>#N/A</v>
      </c>
      <c r="T963" s="65" t="e">
        <f aca="false">VLOOKUP(A963,BD_ORDENES!A:BE,55,FALSE())</f>
        <v>#N/A</v>
      </c>
      <c r="U963" s="68" t="e">
        <f aca="false">VLOOKUP(A963,BD_ORDENES!A:BE,57,FALSE())</f>
        <v>#N/A</v>
      </c>
      <c r="V963" s="70"/>
    </row>
    <row r="964" customFormat="false" ht="29.1" hidden="false" customHeight="false" outlineLevel="0" collapsed="false">
      <c r="A964" s="62" t="n">
        <f aca="false">A963+1</f>
        <v>957</v>
      </c>
      <c r="B964" s="63" t="e">
        <f aca="false">VLOOKUP(A964,BD_ORDENES!A:BG,12,FALSE())</f>
        <v>#N/A</v>
      </c>
      <c r="C964" s="64" t="n">
        <v>957</v>
      </c>
      <c r="D964" s="65" t="e">
        <f aca="false">VLOOKUP(A964,BD_ORDENES!A:BE,10,0)</f>
        <v>#N/A</v>
      </c>
      <c r="E964" s="66" t="e">
        <f aca="false">VLOOKUP(A964,BD_ORDENES!A:BG,4,FALSE())</f>
        <v>#N/A</v>
      </c>
      <c r="F964" s="66" t="e">
        <f aca="false">VLOOKUP(A964,BD_ORDENES!A:BE,56,FALSE())</f>
        <v>#N/A</v>
      </c>
      <c r="G964" s="67" t="e">
        <f aca="false">VLOOKUP(A964,BD_ORDENES!A:BE,13,FALSE())</f>
        <v>#N/A</v>
      </c>
      <c r="H964" s="68" t="e">
        <f aca="false">VLOOKUP(A964,BD_ORDENES!A:BE,17,FALSE())</f>
        <v>#N/A</v>
      </c>
      <c r="I964" s="68" t="e">
        <f aca="false">VLOOKUP(A964,BD_ORDENES!A:BE,18,FALSE())</f>
        <v>#N/A</v>
      </c>
      <c r="J964" s="68" t="e">
        <f aca="false">VLOOKUP(A964,BD_ORDENES!A:BE,19,FALSE())</f>
        <v>#N/A</v>
      </c>
      <c r="K964" s="68" t="e">
        <f aca="false">VLOOKUP(A964,BD_ORDENES!A:BE,20,FALSE())</f>
        <v>#N/A</v>
      </c>
      <c r="L964" s="68" t="e">
        <f aca="false">VLOOKUP(A964,BD_ORDENES!A:BE,21,FALSE())</f>
        <v>#N/A</v>
      </c>
      <c r="M964" s="69" t="e">
        <f aca="false">VLOOKUP(A964,BD_ORDENES!A:BE,14,FALSE())</f>
        <v>#N/A</v>
      </c>
      <c r="N964" s="68" t="e">
        <f aca="false">VLOOKUP(A964,BD_ORDENES!A:BE,15,FALSE())</f>
        <v>#N/A</v>
      </c>
      <c r="O964" s="68" t="e">
        <f aca="false">VLOOKUP(A964,BD_ORDENES!A:BE,33,FALSE())</f>
        <v>#N/A</v>
      </c>
      <c r="P964" s="68" t="e">
        <f aca="false">VLOOKUP(A964,BD_ORDENES!A:BE,23,FALSE())</f>
        <v>#N/A</v>
      </c>
      <c r="Q964" s="68" t="e">
        <f aca="false">VLOOKUP(A964,BD_ORDENES!A:BE,52,FALSE())</f>
        <v>#N/A</v>
      </c>
      <c r="R964" s="68" t="e">
        <f aca="false">VLOOKUP(A964,BD_ORDENES!A:BE,25,FALSE())</f>
        <v>#N/A</v>
      </c>
      <c r="S964" s="68" t="e">
        <f aca="false">VLOOKUP(A964,BD_ORDENES!A:BE,22,FALSE())</f>
        <v>#N/A</v>
      </c>
      <c r="T964" s="65" t="e">
        <f aca="false">VLOOKUP(A964,BD_ORDENES!A:BE,55,FALSE())</f>
        <v>#N/A</v>
      </c>
      <c r="U964" s="68" t="e">
        <f aca="false">VLOOKUP(A964,BD_ORDENES!A:BE,57,FALSE())</f>
        <v>#N/A</v>
      </c>
      <c r="V964" s="70"/>
    </row>
    <row r="965" customFormat="false" ht="29.1" hidden="false" customHeight="false" outlineLevel="0" collapsed="false">
      <c r="A965" s="62" t="n">
        <f aca="false">A964+1</f>
        <v>958</v>
      </c>
      <c r="B965" s="63" t="e">
        <f aca="false">VLOOKUP(A965,BD_ORDENES!A:BG,12,FALSE())</f>
        <v>#N/A</v>
      </c>
      <c r="C965" s="64" t="n">
        <v>958</v>
      </c>
      <c r="D965" s="65" t="e">
        <f aca="false">VLOOKUP(A965,BD_ORDENES!A:BE,10,0)</f>
        <v>#N/A</v>
      </c>
      <c r="E965" s="66" t="e">
        <f aca="false">VLOOKUP(A965,BD_ORDENES!A:BG,4,FALSE())</f>
        <v>#N/A</v>
      </c>
      <c r="F965" s="66" t="e">
        <f aca="false">VLOOKUP(A965,BD_ORDENES!A:BE,56,FALSE())</f>
        <v>#N/A</v>
      </c>
      <c r="G965" s="67" t="e">
        <f aca="false">VLOOKUP(A965,BD_ORDENES!A:BE,13,FALSE())</f>
        <v>#N/A</v>
      </c>
      <c r="H965" s="68" t="e">
        <f aca="false">VLOOKUP(A965,BD_ORDENES!A:BE,17,FALSE())</f>
        <v>#N/A</v>
      </c>
      <c r="I965" s="68" t="e">
        <f aca="false">VLOOKUP(A965,BD_ORDENES!A:BE,18,FALSE())</f>
        <v>#N/A</v>
      </c>
      <c r="J965" s="68" t="e">
        <f aca="false">VLOOKUP(A965,BD_ORDENES!A:BE,19,FALSE())</f>
        <v>#N/A</v>
      </c>
      <c r="K965" s="68" t="e">
        <f aca="false">VLOOKUP(A965,BD_ORDENES!A:BE,20,FALSE())</f>
        <v>#N/A</v>
      </c>
      <c r="L965" s="68" t="e">
        <f aca="false">VLOOKUP(A965,BD_ORDENES!A:BE,21,FALSE())</f>
        <v>#N/A</v>
      </c>
      <c r="M965" s="69" t="e">
        <f aca="false">VLOOKUP(A965,BD_ORDENES!A:BE,14,FALSE())</f>
        <v>#N/A</v>
      </c>
      <c r="N965" s="68" t="e">
        <f aca="false">VLOOKUP(A965,BD_ORDENES!A:BE,15,FALSE())</f>
        <v>#N/A</v>
      </c>
      <c r="O965" s="68" t="e">
        <f aca="false">VLOOKUP(A965,BD_ORDENES!A:BE,33,FALSE())</f>
        <v>#N/A</v>
      </c>
      <c r="P965" s="68" t="e">
        <f aca="false">VLOOKUP(A965,BD_ORDENES!A:BE,23,FALSE())</f>
        <v>#N/A</v>
      </c>
      <c r="Q965" s="68" t="e">
        <f aca="false">VLOOKUP(A965,BD_ORDENES!A:BE,52,FALSE())</f>
        <v>#N/A</v>
      </c>
      <c r="R965" s="68" t="e">
        <f aca="false">VLOOKUP(A965,BD_ORDENES!A:BE,25,FALSE())</f>
        <v>#N/A</v>
      </c>
      <c r="S965" s="68" t="e">
        <f aca="false">VLOOKUP(A965,BD_ORDENES!A:BE,22,FALSE())</f>
        <v>#N/A</v>
      </c>
      <c r="T965" s="65" t="e">
        <f aca="false">VLOOKUP(A965,BD_ORDENES!A:BE,55,FALSE())</f>
        <v>#N/A</v>
      </c>
      <c r="U965" s="68" t="e">
        <f aca="false">VLOOKUP(A965,BD_ORDENES!A:BE,57,FALSE())</f>
        <v>#N/A</v>
      </c>
      <c r="V965" s="70"/>
    </row>
    <row r="966" customFormat="false" ht="29.1" hidden="false" customHeight="false" outlineLevel="0" collapsed="false">
      <c r="A966" s="62" t="n">
        <f aca="false">A965+1</f>
        <v>959</v>
      </c>
      <c r="B966" s="63" t="e">
        <f aca="false">VLOOKUP(A966,BD_ORDENES!A:BG,12,FALSE())</f>
        <v>#N/A</v>
      </c>
      <c r="C966" s="64" t="n">
        <v>959</v>
      </c>
      <c r="D966" s="65" t="e">
        <f aca="false">VLOOKUP(A966,BD_ORDENES!A:BE,10,0)</f>
        <v>#N/A</v>
      </c>
      <c r="E966" s="66" t="e">
        <f aca="false">VLOOKUP(A966,BD_ORDENES!A:BG,4,FALSE())</f>
        <v>#N/A</v>
      </c>
      <c r="F966" s="66" t="e">
        <f aca="false">VLOOKUP(A966,BD_ORDENES!A:BE,56,FALSE())</f>
        <v>#N/A</v>
      </c>
      <c r="G966" s="67" t="e">
        <f aca="false">VLOOKUP(A966,BD_ORDENES!A:BE,13,FALSE())</f>
        <v>#N/A</v>
      </c>
      <c r="H966" s="68" t="e">
        <f aca="false">VLOOKUP(A966,BD_ORDENES!A:BE,17,FALSE())</f>
        <v>#N/A</v>
      </c>
      <c r="I966" s="68" t="e">
        <f aca="false">VLOOKUP(A966,BD_ORDENES!A:BE,18,FALSE())</f>
        <v>#N/A</v>
      </c>
      <c r="J966" s="68" t="e">
        <f aca="false">VLOOKUP(A966,BD_ORDENES!A:BE,19,FALSE())</f>
        <v>#N/A</v>
      </c>
      <c r="K966" s="68" t="e">
        <f aca="false">VLOOKUP(A966,BD_ORDENES!A:BE,20,FALSE())</f>
        <v>#N/A</v>
      </c>
      <c r="L966" s="68" t="e">
        <f aca="false">VLOOKUP(A966,BD_ORDENES!A:BE,21,FALSE())</f>
        <v>#N/A</v>
      </c>
      <c r="M966" s="69" t="e">
        <f aca="false">VLOOKUP(A966,BD_ORDENES!A:BE,14,FALSE())</f>
        <v>#N/A</v>
      </c>
      <c r="N966" s="68" t="e">
        <f aca="false">VLOOKUP(A966,BD_ORDENES!A:BE,15,FALSE())</f>
        <v>#N/A</v>
      </c>
      <c r="O966" s="68" t="e">
        <f aca="false">VLOOKUP(A966,BD_ORDENES!A:BE,33,FALSE())</f>
        <v>#N/A</v>
      </c>
      <c r="P966" s="68" t="e">
        <f aca="false">VLOOKUP(A966,BD_ORDENES!A:BE,23,FALSE())</f>
        <v>#N/A</v>
      </c>
      <c r="Q966" s="68" t="e">
        <f aca="false">VLOOKUP(A966,BD_ORDENES!A:BE,52,FALSE())</f>
        <v>#N/A</v>
      </c>
      <c r="R966" s="68" t="e">
        <f aca="false">VLOOKUP(A966,BD_ORDENES!A:BE,25,FALSE())</f>
        <v>#N/A</v>
      </c>
      <c r="S966" s="68" t="e">
        <f aca="false">VLOOKUP(A966,BD_ORDENES!A:BE,22,FALSE())</f>
        <v>#N/A</v>
      </c>
      <c r="T966" s="65" t="e">
        <f aca="false">VLOOKUP(A966,BD_ORDENES!A:BE,55,FALSE())</f>
        <v>#N/A</v>
      </c>
      <c r="U966" s="68" t="e">
        <f aca="false">VLOOKUP(A966,BD_ORDENES!A:BE,57,FALSE())</f>
        <v>#N/A</v>
      </c>
      <c r="V966" s="70"/>
    </row>
    <row r="967" customFormat="false" ht="29.1" hidden="false" customHeight="false" outlineLevel="0" collapsed="false">
      <c r="A967" s="62" t="n">
        <f aca="false">A966+1</f>
        <v>960</v>
      </c>
      <c r="B967" s="63" t="e">
        <f aca="false">VLOOKUP(A967,BD_ORDENES!A:BG,12,FALSE())</f>
        <v>#N/A</v>
      </c>
      <c r="C967" s="64" t="n">
        <v>960</v>
      </c>
      <c r="D967" s="65" t="e">
        <f aca="false">VLOOKUP(A967,BD_ORDENES!A:BE,10,0)</f>
        <v>#N/A</v>
      </c>
      <c r="E967" s="66" t="e">
        <f aca="false">VLOOKUP(A967,BD_ORDENES!A:BG,4,FALSE())</f>
        <v>#N/A</v>
      </c>
      <c r="F967" s="66" t="e">
        <f aca="false">VLOOKUP(A967,BD_ORDENES!A:BE,56,FALSE())</f>
        <v>#N/A</v>
      </c>
      <c r="G967" s="67" t="e">
        <f aca="false">VLOOKUP(A967,BD_ORDENES!A:BE,13,FALSE())</f>
        <v>#N/A</v>
      </c>
      <c r="H967" s="68" t="e">
        <f aca="false">VLOOKUP(A967,BD_ORDENES!A:BE,17,FALSE())</f>
        <v>#N/A</v>
      </c>
      <c r="I967" s="68" t="e">
        <f aca="false">VLOOKUP(A967,BD_ORDENES!A:BE,18,FALSE())</f>
        <v>#N/A</v>
      </c>
      <c r="J967" s="68" t="e">
        <f aca="false">VLOOKUP(A967,BD_ORDENES!A:BE,19,FALSE())</f>
        <v>#N/A</v>
      </c>
      <c r="K967" s="68" t="e">
        <f aca="false">VLOOKUP(A967,BD_ORDENES!A:BE,20,FALSE())</f>
        <v>#N/A</v>
      </c>
      <c r="L967" s="68" t="e">
        <f aca="false">VLOOKUP(A967,BD_ORDENES!A:BE,21,FALSE())</f>
        <v>#N/A</v>
      </c>
      <c r="M967" s="69" t="e">
        <f aca="false">VLOOKUP(A967,BD_ORDENES!A:BE,14,FALSE())</f>
        <v>#N/A</v>
      </c>
      <c r="N967" s="68" t="e">
        <f aca="false">VLOOKUP(A967,BD_ORDENES!A:BE,15,FALSE())</f>
        <v>#N/A</v>
      </c>
      <c r="O967" s="68" t="e">
        <f aca="false">VLOOKUP(A967,BD_ORDENES!A:BE,33,FALSE())</f>
        <v>#N/A</v>
      </c>
      <c r="P967" s="68" t="e">
        <f aca="false">VLOOKUP(A967,BD_ORDENES!A:BE,23,FALSE())</f>
        <v>#N/A</v>
      </c>
      <c r="Q967" s="68" t="e">
        <f aca="false">VLOOKUP(A967,BD_ORDENES!A:BE,52,FALSE())</f>
        <v>#N/A</v>
      </c>
      <c r="R967" s="68" t="e">
        <f aca="false">VLOOKUP(A967,BD_ORDENES!A:BE,25,FALSE())</f>
        <v>#N/A</v>
      </c>
      <c r="S967" s="68" t="e">
        <f aca="false">VLOOKUP(A967,BD_ORDENES!A:BE,22,FALSE())</f>
        <v>#N/A</v>
      </c>
      <c r="T967" s="65" t="e">
        <f aca="false">VLOOKUP(A967,BD_ORDENES!A:BE,55,FALSE())</f>
        <v>#N/A</v>
      </c>
      <c r="U967" s="68" t="e">
        <f aca="false">VLOOKUP(A967,BD_ORDENES!A:BE,57,FALSE())</f>
        <v>#N/A</v>
      </c>
      <c r="V967" s="70"/>
    </row>
    <row r="968" customFormat="false" ht="29.1" hidden="false" customHeight="false" outlineLevel="0" collapsed="false">
      <c r="A968" s="62" t="n">
        <f aca="false">A967+1</f>
        <v>961</v>
      </c>
      <c r="B968" s="63" t="e">
        <f aca="false">VLOOKUP(A968,BD_ORDENES!A:BG,12,FALSE())</f>
        <v>#N/A</v>
      </c>
      <c r="C968" s="64" t="n">
        <v>961</v>
      </c>
      <c r="D968" s="65" t="e">
        <f aca="false">VLOOKUP(A968,BD_ORDENES!A:BE,10,0)</f>
        <v>#N/A</v>
      </c>
      <c r="E968" s="66" t="e">
        <f aca="false">VLOOKUP(A968,BD_ORDENES!A:BG,4,FALSE())</f>
        <v>#N/A</v>
      </c>
      <c r="F968" s="66" t="e">
        <f aca="false">VLOOKUP(A968,BD_ORDENES!A:BE,56,FALSE())</f>
        <v>#N/A</v>
      </c>
      <c r="G968" s="67" t="e">
        <f aca="false">VLOOKUP(A968,BD_ORDENES!A:BE,13,FALSE())</f>
        <v>#N/A</v>
      </c>
      <c r="H968" s="68" t="e">
        <f aca="false">VLOOKUP(A968,BD_ORDENES!A:BE,17,FALSE())</f>
        <v>#N/A</v>
      </c>
      <c r="I968" s="68" t="e">
        <f aca="false">VLOOKUP(A968,BD_ORDENES!A:BE,18,FALSE())</f>
        <v>#N/A</v>
      </c>
      <c r="J968" s="68" t="e">
        <f aca="false">VLOOKUP(A968,BD_ORDENES!A:BE,19,FALSE())</f>
        <v>#N/A</v>
      </c>
      <c r="K968" s="68" t="e">
        <f aca="false">VLOOKUP(A968,BD_ORDENES!A:BE,20,FALSE())</f>
        <v>#N/A</v>
      </c>
      <c r="L968" s="68" t="e">
        <f aca="false">VLOOKUP(A968,BD_ORDENES!A:BE,21,FALSE())</f>
        <v>#N/A</v>
      </c>
      <c r="M968" s="69" t="e">
        <f aca="false">VLOOKUP(A968,BD_ORDENES!A:BE,14,FALSE())</f>
        <v>#N/A</v>
      </c>
      <c r="N968" s="68" t="e">
        <f aca="false">VLOOKUP(A968,BD_ORDENES!A:BE,15,FALSE())</f>
        <v>#N/A</v>
      </c>
      <c r="O968" s="68" t="e">
        <f aca="false">VLOOKUP(A968,BD_ORDENES!A:BE,33,FALSE())</f>
        <v>#N/A</v>
      </c>
      <c r="P968" s="68" t="e">
        <f aca="false">VLOOKUP(A968,BD_ORDENES!A:BE,23,FALSE())</f>
        <v>#N/A</v>
      </c>
      <c r="Q968" s="68" t="e">
        <f aca="false">VLOOKUP(A968,BD_ORDENES!A:BE,52,FALSE())</f>
        <v>#N/A</v>
      </c>
      <c r="R968" s="68" t="e">
        <f aca="false">VLOOKUP(A968,BD_ORDENES!A:BE,25,FALSE())</f>
        <v>#N/A</v>
      </c>
      <c r="S968" s="68" t="e">
        <f aca="false">VLOOKUP(A968,BD_ORDENES!A:BE,22,FALSE())</f>
        <v>#N/A</v>
      </c>
      <c r="T968" s="65" t="e">
        <f aca="false">VLOOKUP(A968,BD_ORDENES!A:BE,55,FALSE())</f>
        <v>#N/A</v>
      </c>
      <c r="U968" s="68" t="e">
        <f aca="false">VLOOKUP(A968,BD_ORDENES!A:BE,57,FALSE())</f>
        <v>#N/A</v>
      </c>
      <c r="V968" s="70"/>
    </row>
    <row r="969" customFormat="false" ht="29.1" hidden="false" customHeight="false" outlineLevel="0" collapsed="false">
      <c r="A969" s="62" t="n">
        <f aca="false">A968+1</f>
        <v>962</v>
      </c>
      <c r="B969" s="63" t="e">
        <f aca="false">VLOOKUP(A969,BD_ORDENES!A:BG,12,FALSE())</f>
        <v>#N/A</v>
      </c>
      <c r="C969" s="64" t="n">
        <v>962</v>
      </c>
      <c r="D969" s="65" t="e">
        <f aca="false">VLOOKUP(A969,BD_ORDENES!A:BE,10,0)</f>
        <v>#N/A</v>
      </c>
      <c r="E969" s="66" t="e">
        <f aca="false">VLOOKUP(A969,BD_ORDENES!A:BG,4,FALSE())</f>
        <v>#N/A</v>
      </c>
      <c r="F969" s="66" t="e">
        <f aca="false">VLOOKUP(A969,BD_ORDENES!A:BE,56,FALSE())</f>
        <v>#N/A</v>
      </c>
      <c r="G969" s="67" t="e">
        <f aca="false">VLOOKUP(A969,BD_ORDENES!A:BE,13,FALSE())</f>
        <v>#N/A</v>
      </c>
      <c r="H969" s="68" t="e">
        <f aca="false">VLOOKUP(A969,BD_ORDENES!A:BE,17,FALSE())</f>
        <v>#N/A</v>
      </c>
      <c r="I969" s="68" t="e">
        <f aca="false">VLOOKUP(A969,BD_ORDENES!A:BE,18,FALSE())</f>
        <v>#N/A</v>
      </c>
      <c r="J969" s="68" t="e">
        <f aca="false">VLOOKUP(A969,BD_ORDENES!A:BE,19,FALSE())</f>
        <v>#N/A</v>
      </c>
      <c r="K969" s="68" t="e">
        <f aca="false">VLOOKUP(A969,BD_ORDENES!A:BE,20,FALSE())</f>
        <v>#N/A</v>
      </c>
      <c r="L969" s="68" t="e">
        <f aca="false">VLOOKUP(A969,BD_ORDENES!A:BE,21,FALSE())</f>
        <v>#N/A</v>
      </c>
      <c r="M969" s="69" t="e">
        <f aca="false">VLOOKUP(A969,BD_ORDENES!A:BE,14,FALSE())</f>
        <v>#N/A</v>
      </c>
      <c r="N969" s="68" t="e">
        <f aca="false">VLOOKUP(A969,BD_ORDENES!A:BE,15,FALSE())</f>
        <v>#N/A</v>
      </c>
      <c r="O969" s="68" t="e">
        <f aca="false">VLOOKUP(A969,BD_ORDENES!A:BE,33,FALSE())</f>
        <v>#N/A</v>
      </c>
      <c r="P969" s="68" t="e">
        <f aca="false">VLOOKUP(A969,BD_ORDENES!A:BE,23,FALSE())</f>
        <v>#N/A</v>
      </c>
      <c r="Q969" s="68" t="e">
        <f aca="false">VLOOKUP(A969,BD_ORDENES!A:BE,52,FALSE())</f>
        <v>#N/A</v>
      </c>
      <c r="R969" s="68" t="e">
        <f aca="false">VLOOKUP(A969,BD_ORDENES!A:BE,25,FALSE())</f>
        <v>#N/A</v>
      </c>
      <c r="S969" s="68" t="e">
        <f aca="false">VLOOKUP(A969,BD_ORDENES!A:BE,22,FALSE())</f>
        <v>#N/A</v>
      </c>
      <c r="T969" s="65" t="e">
        <f aca="false">VLOOKUP(A969,BD_ORDENES!A:BE,55,FALSE())</f>
        <v>#N/A</v>
      </c>
      <c r="U969" s="68" t="e">
        <f aca="false">VLOOKUP(A969,BD_ORDENES!A:BE,57,FALSE())</f>
        <v>#N/A</v>
      </c>
      <c r="V969" s="70"/>
    </row>
    <row r="970" customFormat="false" ht="29.1" hidden="false" customHeight="false" outlineLevel="0" collapsed="false">
      <c r="A970" s="62" t="n">
        <f aca="false">A969+1</f>
        <v>963</v>
      </c>
      <c r="B970" s="63" t="e">
        <f aca="false">VLOOKUP(A970,BD_ORDENES!A:BG,12,FALSE())</f>
        <v>#N/A</v>
      </c>
      <c r="C970" s="64" t="n">
        <v>963</v>
      </c>
      <c r="D970" s="65" t="e">
        <f aca="false">VLOOKUP(A970,BD_ORDENES!A:BE,10,0)</f>
        <v>#N/A</v>
      </c>
      <c r="E970" s="66" t="e">
        <f aca="false">VLOOKUP(A970,BD_ORDENES!A:BG,4,FALSE())</f>
        <v>#N/A</v>
      </c>
      <c r="F970" s="66" t="e">
        <f aca="false">VLOOKUP(A970,BD_ORDENES!A:BE,56,FALSE())</f>
        <v>#N/A</v>
      </c>
      <c r="G970" s="67" t="e">
        <f aca="false">VLOOKUP(A970,BD_ORDENES!A:BE,13,FALSE())</f>
        <v>#N/A</v>
      </c>
      <c r="H970" s="68" t="e">
        <f aca="false">VLOOKUP(A970,BD_ORDENES!A:BE,17,FALSE())</f>
        <v>#N/A</v>
      </c>
      <c r="I970" s="68" t="e">
        <f aca="false">VLOOKUP(A970,BD_ORDENES!A:BE,18,FALSE())</f>
        <v>#N/A</v>
      </c>
      <c r="J970" s="68" t="e">
        <f aca="false">VLOOKUP(A970,BD_ORDENES!A:BE,19,FALSE())</f>
        <v>#N/A</v>
      </c>
      <c r="K970" s="68" t="e">
        <f aca="false">VLOOKUP(A970,BD_ORDENES!A:BE,20,FALSE())</f>
        <v>#N/A</v>
      </c>
      <c r="L970" s="68" t="e">
        <f aca="false">VLOOKUP(A970,BD_ORDENES!A:BE,21,FALSE())</f>
        <v>#N/A</v>
      </c>
      <c r="M970" s="69" t="e">
        <f aca="false">VLOOKUP(A970,BD_ORDENES!A:BE,14,FALSE())</f>
        <v>#N/A</v>
      </c>
      <c r="N970" s="68" t="e">
        <f aca="false">VLOOKUP(A970,BD_ORDENES!A:BE,15,FALSE())</f>
        <v>#N/A</v>
      </c>
      <c r="O970" s="68" t="e">
        <f aca="false">VLOOKUP(A970,BD_ORDENES!A:BE,33,FALSE())</f>
        <v>#N/A</v>
      </c>
      <c r="P970" s="68" t="e">
        <f aca="false">VLOOKUP(A970,BD_ORDENES!A:BE,23,FALSE())</f>
        <v>#N/A</v>
      </c>
      <c r="Q970" s="68" t="e">
        <f aca="false">VLOOKUP(A970,BD_ORDENES!A:BE,52,FALSE())</f>
        <v>#N/A</v>
      </c>
      <c r="R970" s="68" t="e">
        <f aca="false">VLOOKUP(A970,BD_ORDENES!A:BE,25,FALSE())</f>
        <v>#N/A</v>
      </c>
      <c r="S970" s="68" t="e">
        <f aca="false">VLOOKUP(A970,BD_ORDENES!A:BE,22,FALSE())</f>
        <v>#N/A</v>
      </c>
      <c r="T970" s="65" t="e">
        <f aca="false">VLOOKUP(A970,BD_ORDENES!A:BE,55,FALSE())</f>
        <v>#N/A</v>
      </c>
      <c r="U970" s="68" t="e">
        <f aca="false">VLOOKUP(A970,BD_ORDENES!A:BE,57,FALSE())</f>
        <v>#N/A</v>
      </c>
      <c r="V970" s="70"/>
    </row>
    <row r="971" customFormat="false" ht="29.1" hidden="false" customHeight="false" outlineLevel="0" collapsed="false">
      <c r="A971" s="62" t="n">
        <f aca="false">A970+1</f>
        <v>964</v>
      </c>
      <c r="B971" s="63" t="e">
        <f aca="false">VLOOKUP(A971,BD_ORDENES!A:BG,12,FALSE())</f>
        <v>#N/A</v>
      </c>
      <c r="C971" s="64" t="n">
        <v>964</v>
      </c>
      <c r="D971" s="65" t="e">
        <f aca="false">VLOOKUP(A971,BD_ORDENES!A:BE,10,0)</f>
        <v>#N/A</v>
      </c>
      <c r="E971" s="66" t="e">
        <f aca="false">VLOOKUP(A971,BD_ORDENES!A:BG,4,FALSE())</f>
        <v>#N/A</v>
      </c>
      <c r="F971" s="66" t="e">
        <f aca="false">VLOOKUP(A971,BD_ORDENES!A:BE,56,FALSE())</f>
        <v>#N/A</v>
      </c>
      <c r="G971" s="67" t="e">
        <f aca="false">VLOOKUP(A971,BD_ORDENES!A:BE,13,FALSE())</f>
        <v>#N/A</v>
      </c>
      <c r="H971" s="68" t="e">
        <f aca="false">VLOOKUP(A971,BD_ORDENES!A:BE,17,FALSE())</f>
        <v>#N/A</v>
      </c>
      <c r="I971" s="68" t="e">
        <f aca="false">VLOOKUP(A971,BD_ORDENES!A:BE,18,FALSE())</f>
        <v>#N/A</v>
      </c>
      <c r="J971" s="68" t="e">
        <f aca="false">VLOOKUP(A971,BD_ORDENES!A:BE,19,FALSE())</f>
        <v>#N/A</v>
      </c>
      <c r="K971" s="68" t="e">
        <f aca="false">VLOOKUP(A971,BD_ORDENES!A:BE,20,FALSE())</f>
        <v>#N/A</v>
      </c>
      <c r="L971" s="68" t="e">
        <f aca="false">VLOOKUP(A971,BD_ORDENES!A:BE,21,FALSE())</f>
        <v>#N/A</v>
      </c>
      <c r="M971" s="69" t="e">
        <f aca="false">VLOOKUP(A971,BD_ORDENES!A:BE,14,FALSE())</f>
        <v>#N/A</v>
      </c>
      <c r="N971" s="68" t="e">
        <f aca="false">VLOOKUP(A971,BD_ORDENES!A:BE,15,FALSE())</f>
        <v>#N/A</v>
      </c>
      <c r="O971" s="68" t="e">
        <f aca="false">VLOOKUP(A971,BD_ORDENES!A:BE,33,FALSE())</f>
        <v>#N/A</v>
      </c>
      <c r="P971" s="68" t="e">
        <f aca="false">VLOOKUP(A971,BD_ORDENES!A:BE,23,FALSE())</f>
        <v>#N/A</v>
      </c>
      <c r="Q971" s="68" t="e">
        <f aca="false">VLOOKUP(A971,BD_ORDENES!A:BE,52,FALSE())</f>
        <v>#N/A</v>
      </c>
      <c r="R971" s="68" t="e">
        <f aca="false">VLOOKUP(A971,BD_ORDENES!A:BE,25,FALSE())</f>
        <v>#N/A</v>
      </c>
      <c r="S971" s="68" t="e">
        <f aca="false">VLOOKUP(A971,BD_ORDENES!A:BE,22,FALSE())</f>
        <v>#N/A</v>
      </c>
      <c r="T971" s="65" t="e">
        <f aca="false">VLOOKUP(A971,BD_ORDENES!A:BE,55,FALSE())</f>
        <v>#N/A</v>
      </c>
      <c r="U971" s="68" t="e">
        <f aca="false">VLOOKUP(A971,BD_ORDENES!A:BE,57,FALSE())</f>
        <v>#N/A</v>
      </c>
      <c r="V971" s="70"/>
    </row>
    <row r="972" customFormat="false" ht="29.1" hidden="false" customHeight="false" outlineLevel="0" collapsed="false">
      <c r="A972" s="62" t="n">
        <f aca="false">A971+1</f>
        <v>965</v>
      </c>
      <c r="B972" s="63" t="e">
        <f aca="false">VLOOKUP(A972,BD_ORDENES!A:BG,12,FALSE())</f>
        <v>#N/A</v>
      </c>
      <c r="C972" s="64" t="n">
        <v>965</v>
      </c>
      <c r="D972" s="65" t="e">
        <f aca="false">VLOOKUP(A972,BD_ORDENES!A:BE,10,0)</f>
        <v>#N/A</v>
      </c>
      <c r="E972" s="66" t="e">
        <f aca="false">VLOOKUP(A972,BD_ORDENES!A:BG,4,FALSE())</f>
        <v>#N/A</v>
      </c>
      <c r="F972" s="66" t="e">
        <f aca="false">VLOOKUP(A972,BD_ORDENES!A:BE,56,FALSE())</f>
        <v>#N/A</v>
      </c>
      <c r="G972" s="67" t="e">
        <f aca="false">VLOOKUP(A972,BD_ORDENES!A:BE,13,FALSE())</f>
        <v>#N/A</v>
      </c>
      <c r="H972" s="68" t="e">
        <f aca="false">VLOOKUP(A972,BD_ORDENES!A:BE,17,FALSE())</f>
        <v>#N/A</v>
      </c>
      <c r="I972" s="68" t="e">
        <f aca="false">VLOOKUP(A972,BD_ORDENES!A:BE,18,FALSE())</f>
        <v>#N/A</v>
      </c>
      <c r="J972" s="68" t="e">
        <f aca="false">VLOOKUP(A972,BD_ORDENES!A:BE,19,FALSE())</f>
        <v>#N/A</v>
      </c>
      <c r="K972" s="68" t="e">
        <f aca="false">VLOOKUP(A972,BD_ORDENES!A:BE,20,FALSE())</f>
        <v>#N/A</v>
      </c>
      <c r="L972" s="68" t="e">
        <f aca="false">VLOOKUP(A972,BD_ORDENES!A:BE,21,FALSE())</f>
        <v>#N/A</v>
      </c>
      <c r="M972" s="69" t="e">
        <f aca="false">VLOOKUP(A972,BD_ORDENES!A:BE,14,FALSE())</f>
        <v>#N/A</v>
      </c>
      <c r="N972" s="68" t="e">
        <f aca="false">VLOOKUP(A972,BD_ORDENES!A:BE,15,FALSE())</f>
        <v>#N/A</v>
      </c>
      <c r="O972" s="68" t="e">
        <f aca="false">VLOOKUP(A972,BD_ORDENES!A:BE,33,FALSE())</f>
        <v>#N/A</v>
      </c>
      <c r="P972" s="68" t="e">
        <f aca="false">VLOOKUP(A972,BD_ORDENES!A:BE,23,FALSE())</f>
        <v>#N/A</v>
      </c>
      <c r="Q972" s="68" t="e">
        <f aca="false">VLOOKUP(A972,BD_ORDENES!A:BE,52,FALSE())</f>
        <v>#N/A</v>
      </c>
      <c r="R972" s="68" t="e">
        <f aca="false">VLOOKUP(A972,BD_ORDENES!A:BE,25,FALSE())</f>
        <v>#N/A</v>
      </c>
      <c r="S972" s="68" t="e">
        <f aca="false">VLOOKUP(A972,BD_ORDENES!A:BE,22,FALSE())</f>
        <v>#N/A</v>
      </c>
      <c r="T972" s="65" t="e">
        <f aca="false">VLOOKUP(A972,BD_ORDENES!A:BE,55,FALSE())</f>
        <v>#N/A</v>
      </c>
      <c r="U972" s="68" t="e">
        <f aca="false">VLOOKUP(A972,BD_ORDENES!A:BE,57,FALSE())</f>
        <v>#N/A</v>
      </c>
      <c r="V972" s="70"/>
    </row>
    <row r="973" customFormat="false" ht="29.1" hidden="false" customHeight="false" outlineLevel="0" collapsed="false">
      <c r="A973" s="62" t="n">
        <f aca="false">A972+1</f>
        <v>966</v>
      </c>
      <c r="B973" s="63" t="e">
        <f aca="false">VLOOKUP(A973,BD_ORDENES!A:BG,12,FALSE())</f>
        <v>#N/A</v>
      </c>
      <c r="C973" s="64" t="n">
        <v>966</v>
      </c>
      <c r="D973" s="65" t="e">
        <f aca="false">VLOOKUP(A973,BD_ORDENES!A:BE,10,0)</f>
        <v>#N/A</v>
      </c>
      <c r="E973" s="66" t="e">
        <f aca="false">VLOOKUP(A973,BD_ORDENES!A:BG,4,FALSE())</f>
        <v>#N/A</v>
      </c>
      <c r="F973" s="66" t="e">
        <f aca="false">VLOOKUP(A973,BD_ORDENES!A:BE,56,FALSE())</f>
        <v>#N/A</v>
      </c>
      <c r="G973" s="67" t="e">
        <f aca="false">VLOOKUP(A973,BD_ORDENES!A:BE,13,FALSE())</f>
        <v>#N/A</v>
      </c>
      <c r="H973" s="68" t="e">
        <f aca="false">VLOOKUP(A973,BD_ORDENES!A:BE,17,FALSE())</f>
        <v>#N/A</v>
      </c>
      <c r="I973" s="68" t="e">
        <f aca="false">VLOOKUP(A973,BD_ORDENES!A:BE,18,FALSE())</f>
        <v>#N/A</v>
      </c>
      <c r="J973" s="68" t="e">
        <f aca="false">VLOOKUP(A973,BD_ORDENES!A:BE,19,FALSE())</f>
        <v>#N/A</v>
      </c>
      <c r="K973" s="68" t="e">
        <f aca="false">VLOOKUP(A973,BD_ORDENES!A:BE,20,FALSE())</f>
        <v>#N/A</v>
      </c>
      <c r="L973" s="68" t="e">
        <f aca="false">VLOOKUP(A973,BD_ORDENES!A:BE,21,FALSE())</f>
        <v>#N/A</v>
      </c>
      <c r="M973" s="69" t="e">
        <f aca="false">VLOOKUP(A973,BD_ORDENES!A:BE,14,FALSE())</f>
        <v>#N/A</v>
      </c>
      <c r="N973" s="68" t="e">
        <f aca="false">VLOOKUP(A973,BD_ORDENES!A:BE,15,FALSE())</f>
        <v>#N/A</v>
      </c>
      <c r="O973" s="68" t="e">
        <f aca="false">VLOOKUP(A973,BD_ORDENES!A:BE,33,FALSE())</f>
        <v>#N/A</v>
      </c>
      <c r="P973" s="68" t="e">
        <f aca="false">VLOOKUP(A973,BD_ORDENES!A:BE,23,FALSE())</f>
        <v>#N/A</v>
      </c>
      <c r="Q973" s="68" t="e">
        <f aca="false">VLOOKUP(A973,BD_ORDENES!A:BE,52,FALSE())</f>
        <v>#N/A</v>
      </c>
      <c r="R973" s="68" t="e">
        <f aca="false">VLOOKUP(A973,BD_ORDENES!A:BE,25,FALSE())</f>
        <v>#N/A</v>
      </c>
      <c r="S973" s="68" t="e">
        <f aca="false">VLOOKUP(A973,BD_ORDENES!A:BE,22,FALSE())</f>
        <v>#N/A</v>
      </c>
      <c r="T973" s="65" t="e">
        <f aca="false">VLOOKUP(A973,BD_ORDENES!A:BE,55,FALSE())</f>
        <v>#N/A</v>
      </c>
      <c r="U973" s="68" t="e">
        <f aca="false">VLOOKUP(A973,BD_ORDENES!A:BE,57,FALSE())</f>
        <v>#N/A</v>
      </c>
      <c r="V973" s="70"/>
    </row>
    <row r="974" customFormat="false" ht="29.1" hidden="false" customHeight="false" outlineLevel="0" collapsed="false">
      <c r="A974" s="62" t="n">
        <f aca="false">A973+1</f>
        <v>967</v>
      </c>
      <c r="B974" s="63" t="e">
        <f aca="false">VLOOKUP(A974,BD_ORDENES!A:BG,12,FALSE())</f>
        <v>#N/A</v>
      </c>
      <c r="C974" s="64" t="n">
        <v>967</v>
      </c>
      <c r="D974" s="65" t="e">
        <f aca="false">VLOOKUP(A974,BD_ORDENES!A:BE,10,0)</f>
        <v>#N/A</v>
      </c>
      <c r="E974" s="66" t="e">
        <f aca="false">VLOOKUP(A974,BD_ORDENES!A:BG,4,FALSE())</f>
        <v>#N/A</v>
      </c>
      <c r="F974" s="66" t="e">
        <f aca="false">VLOOKUP(A974,BD_ORDENES!A:BE,56,FALSE())</f>
        <v>#N/A</v>
      </c>
      <c r="G974" s="67" t="e">
        <f aca="false">VLOOKUP(A974,BD_ORDENES!A:BE,13,FALSE())</f>
        <v>#N/A</v>
      </c>
      <c r="H974" s="68" t="e">
        <f aca="false">VLOOKUP(A974,BD_ORDENES!A:BE,17,FALSE())</f>
        <v>#N/A</v>
      </c>
      <c r="I974" s="68" t="e">
        <f aca="false">VLOOKUP(A974,BD_ORDENES!A:BE,18,FALSE())</f>
        <v>#N/A</v>
      </c>
      <c r="J974" s="68" t="e">
        <f aca="false">VLOOKUP(A974,BD_ORDENES!A:BE,19,FALSE())</f>
        <v>#N/A</v>
      </c>
      <c r="K974" s="68" t="e">
        <f aca="false">VLOOKUP(A974,BD_ORDENES!A:BE,20,FALSE())</f>
        <v>#N/A</v>
      </c>
      <c r="L974" s="68" t="e">
        <f aca="false">VLOOKUP(A974,BD_ORDENES!A:BE,21,FALSE())</f>
        <v>#N/A</v>
      </c>
      <c r="M974" s="69" t="e">
        <f aca="false">VLOOKUP(A974,BD_ORDENES!A:BE,14,FALSE())</f>
        <v>#N/A</v>
      </c>
      <c r="N974" s="68" t="e">
        <f aca="false">VLOOKUP(A974,BD_ORDENES!A:BE,15,FALSE())</f>
        <v>#N/A</v>
      </c>
      <c r="O974" s="68" t="e">
        <f aca="false">VLOOKUP(A974,BD_ORDENES!A:BE,33,FALSE())</f>
        <v>#N/A</v>
      </c>
      <c r="P974" s="68" t="e">
        <f aca="false">VLOOKUP(A974,BD_ORDENES!A:BE,23,FALSE())</f>
        <v>#N/A</v>
      </c>
      <c r="Q974" s="68" t="e">
        <f aca="false">VLOOKUP(A974,BD_ORDENES!A:BE,52,FALSE())</f>
        <v>#N/A</v>
      </c>
      <c r="R974" s="68" t="e">
        <f aca="false">VLOOKUP(A974,BD_ORDENES!A:BE,25,FALSE())</f>
        <v>#N/A</v>
      </c>
      <c r="S974" s="68" t="e">
        <f aca="false">VLOOKUP(A974,BD_ORDENES!A:BE,22,FALSE())</f>
        <v>#N/A</v>
      </c>
      <c r="T974" s="65" t="e">
        <f aca="false">VLOOKUP(A974,BD_ORDENES!A:BE,55,FALSE())</f>
        <v>#N/A</v>
      </c>
      <c r="U974" s="68" t="e">
        <f aca="false">VLOOKUP(A974,BD_ORDENES!A:BE,57,FALSE())</f>
        <v>#N/A</v>
      </c>
      <c r="V974" s="70"/>
    </row>
    <row r="975" customFormat="false" ht="29.1" hidden="false" customHeight="false" outlineLevel="0" collapsed="false">
      <c r="A975" s="62" t="n">
        <f aca="false">A974+1</f>
        <v>968</v>
      </c>
      <c r="B975" s="63" t="e">
        <f aca="false">VLOOKUP(A975,BD_ORDENES!A:BG,12,FALSE())</f>
        <v>#N/A</v>
      </c>
      <c r="C975" s="64" t="n">
        <v>968</v>
      </c>
      <c r="D975" s="65" t="e">
        <f aca="false">VLOOKUP(A975,BD_ORDENES!A:BE,10,0)</f>
        <v>#N/A</v>
      </c>
      <c r="E975" s="66" t="e">
        <f aca="false">VLOOKUP(A975,BD_ORDENES!A:BG,4,FALSE())</f>
        <v>#N/A</v>
      </c>
      <c r="F975" s="66" t="e">
        <f aca="false">VLOOKUP(A975,BD_ORDENES!A:BE,56,FALSE())</f>
        <v>#N/A</v>
      </c>
      <c r="G975" s="67" t="e">
        <f aca="false">VLOOKUP(A975,BD_ORDENES!A:BE,13,FALSE())</f>
        <v>#N/A</v>
      </c>
      <c r="H975" s="68" t="e">
        <f aca="false">VLOOKUP(A975,BD_ORDENES!A:BE,17,FALSE())</f>
        <v>#N/A</v>
      </c>
      <c r="I975" s="68" t="e">
        <f aca="false">VLOOKUP(A975,BD_ORDENES!A:BE,18,FALSE())</f>
        <v>#N/A</v>
      </c>
      <c r="J975" s="68" t="e">
        <f aca="false">VLOOKUP(A975,BD_ORDENES!A:BE,19,FALSE())</f>
        <v>#N/A</v>
      </c>
      <c r="K975" s="68" t="e">
        <f aca="false">VLOOKUP(A975,BD_ORDENES!A:BE,20,FALSE())</f>
        <v>#N/A</v>
      </c>
      <c r="L975" s="68" t="e">
        <f aca="false">VLOOKUP(A975,BD_ORDENES!A:BE,21,FALSE())</f>
        <v>#N/A</v>
      </c>
      <c r="M975" s="69" t="e">
        <f aca="false">VLOOKUP(A975,BD_ORDENES!A:BE,14,FALSE())</f>
        <v>#N/A</v>
      </c>
      <c r="N975" s="68" t="e">
        <f aca="false">VLOOKUP(A975,BD_ORDENES!A:BE,15,FALSE())</f>
        <v>#N/A</v>
      </c>
      <c r="O975" s="68" t="e">
        <f aca="false">VLOOKUP(A975,BD_ORDENES!A:BE,33,FALSE())</f>
        <v>#N/A</v>
      </c>
      <c r="P975" s="68" t="e">
        <f aca="false">VLOOKUP(A975,BD_ORDENES!A:BE,23,FALSE())</f>
        <v>#N/A</v>
      </c>
      <c r="Q975" s="68" t="e">
        <f aca="false">VLOOKUP(A975,BD_ORDENES!A:BE,52,FALSE())</f>
        <v>#N/A</v>
      </c>
      <c r="R975" s="68" t="e">
        <f aca="false">VLOOKUP(A975,BD_ORDENES!A:BE,25,FALSE())</f>
        <v>#N/A</v>
      </c>
      <c r="S975" s="68" t="e">
        <f aca="false">VLOOKUP(A975,BD_ORDENES!A:BE,22,FALSE())</f>
        <v>#N/A</v>
      </c>
      <c r="T975" s="65" t="e">
        <f aca="false">VLOOKUP(A975,BD_ORDENES!A:BE,55,FALSE())</f>
        <v>#N/A</v>
      </c>
      <c r="U975" s="68" t="e">
        <f aca="false">VLOOKUP(A975,BD_ORDENES!A:BE,57,FALSE())</f>
        <v>#N/A</v>
      </c>
      <c r="V975" s="70"/>
    </row>
    <row r="976" customFormat="false" ht="29.1" hidden="false" customHeight="false" outlineLevel="0" collapsed="false">
      <c r="A976" s="62" t="n">
        <f aca="false">A975+1</f>
        <v>969</v>
      </c>
      <c r="B976" s="63" t="e">
        <f aca="false">VLOOKUP(A976,BD_ORDENES!A:BG,12,FALSE())</f>
        <v>#N/A</v>
      </c>
      <c r="C976" s="64" t="n">
        <v>969</v>
      </c>
      <c r="D976" s="65" t="e">
        <f aca="false">VLOOKUP(A976,BD_ORDENES!A:BE,10,0)</f>
        <v>#N/A</v>
      </c>
      <c r="E976" s="66" t="e">
        <f aca="false">VLOOKUP(A976,BD_ORDENES!A:BG,4,FALSE())</f>
        <v>#N/A</v>
      </c>
      <c r="F976" s="66" t="e">
        <f aca="false">VLOOKUP(A976,BD_ORDENES!A:BE,56,FALSE())</f>
        <v>#N/A</v>
      </c>
      <c r="G976" s="67" t="e">
        <f aca="false">VLOOKUP(A976,BD_ORDENES!A:BE,13,FALSE())</f>
        <v>#N/A</v>
      </c>
      <c r="H976" s="68" t="e">
        <f aca="false">VLOOKUP(A976,BD_ORDENES!A:BE,17,FALSE())</f>
        <v>#N/A</v>
      </c>
      <c r="I976" s="68" t="e">
        <f aca="false">VLOOKUP(A976,BD_ORDENES!A:BE,18,FALSE())</f>
        <v>#N/A</v>
      </c>
      <c r="J976" s="68" t="e">
        <f aca="false">VLOOKUP(A976,BD_ORDENES!A:BE,19,FALSE())</f>
        <v>#N/A</v>
      </c>
      <c r="K976" s="68" t="e">
        <f aca="false">VLOOKUP(A976,BD_ORDENES!A:BE,20,FALSE())</f>
        <v>#N/A</v>
      </c>
      <c r="L976" s="68" t="e">
        <f aca="false">VLOOKUP(A976,BD_ORDENES!A:BE,21,FALSE())</f>
        <v>#N/A</v>
      </c>
      <c r="M976" s="69" t="e">
        <f aca="false">VLOOKUP(A976,BD_ORDENES!A:BE,14,FALSE())</f>
        <v>#N/A</v>
      </c>
      <c r="N976" s="68" t="e">
        <f aca="false">VLOOKUP(A976,BD_ORDENES!A:BE,15,FALSE())</f>
        <v>#N/A</v>
      </c>
      <c r="O976" s="68" t="e">
        <f aca="false">VLOOKUP(A976,BD_ORDENES!A:BE,33,FALSE())</f>
        <v>#N/A</v>
      </c>
      <c r="P976" s="68" t="e">
        <f aca="false">VLOOKUP(A976,BD_ORDENES!A:BE,23,FALSE())</f>
        <v>#N/A</v>
      </c>
      <c r="Q976" s="68" t="e">
        <f aca="false">VLOOKUP(A976,BD_ORDENES!A:BE,52,FALSE())</f>
        <v>#N/A</v>
      </c>
      <c r="R976" s="68" t="e">
        <f aca="false">VLOOKUP(A976,BD_ORDENES!A:BE,25,FALSE())</f>
        <v>#N/A</v>
      </c>
      <c r="S976" s="68" t="e">
        <f aca="false">VLOOKUP(A976,BD_ORDENES!A:BE,22,FALSE())</f>
        <v>#N/A</v>
      </c>
      <c r="T976" s="65" t="e">
        <f aca="false">VLOOKUP(A976,BD_ORDENES!A:BE,55,FALSE())</f>
        <v>#N/A</v>
      </c>
      <c r="U976" s="68" t="e">
        <f aca="false">VLOOKUP(A976,BD_ORDENES!A:BE,57,FALSE())</f>
        <v>#N/A</v>
      </c>
      <c r="V976" s="70"/>
    </row>
    <row r="977" customFormat="false" ht="29.1" hidden="false" customHeight="false" outlineLevel="0" collapsed="false">
      <c r="A977" s="62" t="n">
        <f aca="false">A976+1</f>
        <v>970</v>
      </c>
      <c r="B977" s="63" t="e">
        <f aca="false">VLOOKUP(A977,BD_ORDENES!A:BG,12,FALSE())</f>
        <v>#N/A</v>
      </c>
      <c r="C977" s="64" t="n">
        <v>970</v>
      </c>
      <c r="D977" s="65" t="e">
        <f aca="false">VLOOKUP(A977,BD_ORDENES!A:BE,10,0)</f>
        <v>#N/A</v>
      </c>
      <c r="E977" s="66" t="e">
        <f aca="false">VLOOKUP(A977,BD_ORDENES!A:BG,4,FALSE())</f>
        <v>#N/A</v>
      </c>
      <c r="F977" s="66" t="e">
        <f aca="false">VLOOKUP(A977,BD_ORDENES!A:BE,56,FALSE())</f>
        <v>#N/A</v>
      </c>
      <c r="G977" s="67" t="e">
        <f aca="false">VLOOKUP(A977,BD_ORDENES!A:BE,13,FALSE())</f>
        <v>#N/A</v>
      </c>
      <c r="H977" s="68" t="e">
        <f aca="false">VLOOKUP(A977,BD_ORDENES!A:BE,17,FALSE())</f>
        <v>#N/A</v>
      </c>
      <c r="I977" s="68" t="e">
        <f aca="false">VLOOKUP(A977,BD_ORDENES!A:BE,18,FALSE())</f>
        <v>#N/A</v>
      </c>
      <c r="J977" s="68" t="e">
        <f aca="false">VLOOKUP(A977,BD_ORDENES!A:BE,19,FALSE())</f>
        <v>#N/A</v>
      </c>
      <c r="K977" s="68" t="e">
        <f aca="false">VLOOKUP(A977,BD_ORDENES!A:BE,20,FALSE())</f>
        <v>#N/A</v>
      </c>
      <c r="L977" s="68" t="e">
        <f aca="false">VLOOKUP(A977,BD_ORDENES!A:BE,21,FALSE())</f>
        <v>#N/A</v>
      </c>
      <c r="M977" s="69" t="e">
        <f aca="false">VLOOKUP(A977,BD_ORDENES!A:BE,14,FALSE())</f>
        <v>#N/A</v>
      </c>
      <c r="N977" s="68" t="e">
        <f aca="false">VLOOKUP(A977,BD_ORDENES!A:BE,15,FALSE())</f>
        <v>#N/A</v>
      </c>
      <c r="O977" s="68" t="e">
        <f aca="false">VLOOKUP(A977,BD_ORDENES!A:BE,33,FALSE())</f>
        <v>#N/A</v>
      </c>
      <c r="P977" s="68" t="e">
        <f aca="false">VLOOKUP(A977,BD_ORDENES!A:BE,23,FALSE())</f>
        <v>#N/A</v>
      </c>
      <c r="Q977" s="68" t="e">
        <f aca="false">VLOOKUP(A977,BD_ORDENES!A:BE,52,FALSE())</f>
        <v>#N/A</v>
      </c>
      <c r="R977" s="68" t="e">
        <f aca="false">VLOOKUP(A977,BD_ORDENES!A:BE,25,FALSE())</f>
        <v>#N/A</v>
      </c>
      <c r="S977" s="68" t="e">
        <f aca="false">VLOOKUP(A977,BD_ORDENES!A:BE,22,FALSE())</f>
        <v>#N/A</v>
      </c>
      <c r="T977" s="65" t="e">
        <f aca="false">VLOOKUP(A977,BD_ORDENES!A:BE,55,FALSE())</f>
        <v>#N/A</v>
      </c>
      <c r="U977" s="68" t="e">
        <f aca="false">VLOOKUP(A977,BD_ORDENES!A:BE,57,FALSE())</f>
        <v>#N/A</v>
      </c>
      <c r="V977" s="70"/>
    </row>
    <row r="978" customFormat="false" ht="29.1" hidden="false" customHeight="false" outlineLevel="0" collapsed="false">
      <c r="A978" s="62" t="n">
        <f aca="false">A977+1</f>
        <v>971</v>
      </c>
      <c r="B978" s="63" t="e">
        <f aca="false">VLOOKUP(A978,BD_ORDENES!A:BG,12,FALSE())</f>
        <v>#N/A</v>
      </c>
      <c r="C978" s="64" t="n">
        <v>971</v>
      </c>
      <c r="D978" s="65" t="e">
        <f aca="false">VLOOKUP(A978,BD_ORDENES!A:BE,10,0)</f>
        <v>#N/A</v>
      </c>
      <c r="E978" s="66" t="e">
        <f aca="false">VLOOKUP(A978,BD_ORDENES!A:BG,4,FALSE())</f>
        <v>#N/A</v>
      </c>
      <c r="F978" s="66" t="e">
        <f aca="false">VLOOKUP(A978,BD_ORDENES!A:BE,56,FALSE())</f>
        <v>#N/A</v>
      </c>
      <c r="G978" s="67" t="e">
        <f aca="false">VLOOKUP(A978,BD_ORDENES!A:BE,13,FALSE())</f>
        <v>#N/A</v>
      </c>
      <c r="H978" s="68" t="e">
        <f aca="false">VLOOKUP(A978,BD_ORDENES!A:BE,17,FALSE())</f>
        <v>#N/A</v>
      </c>
      <c r="I978" s="68" t="e">
        <f aca="false">VLOOKUP(A978,BD_ORDENES!A:BE,18,FALSE())</f>
        <v>#N/A</v>
      </c>
      <c r="J978" s="68" t="e">
        <f aca="false">VLOOKUP(A978,BD_ORDENES!A:BE,19,FALSE())</f>
        <v>#N/A</v>
      </c>
      <c r="K978" s="68" t="e">
        <f aca="false">VLOOKUP(A978,BD_ORDENES!A:BE,20,FALSE())</f>
        <v>#N/A</v>
      </c>
      <c r="L978" s="68" t="e">
        <f aca="false">VLOOKUP(A978,BD_ORDENES!A:BE,21,FALSE())</f>
        <v>#N/A</v>
      </c>
      <c r="M978" s="69" t="e">
        <f aca="false">VLOOKUP(A978,BD_ORDENES!A:BE,14,FALSE())</f>
        <v>#N/A</v>
      </c>
      <c r="N978" s="68" t="e">
        <f aca="false">VLOOKUP(A978,BD_ORDENES!A:BE,15,FALSE())</f>
        <v>#N/A</v>
      </c>
      <c r="O978" s="68" t="e">
        <f aca="false">VLOOKUP(A978,BD_ORDENES!A:BE,33,FALSE())</f>
        <v>#N/A</v>
      </c>
      <c r="P978" s="68" t="e">
        <f aca="false">VLOOKUP(A978,BD_ORDENES!A:BE,23,FALSE())</f>
        <v>#N/A</v>
      </c>
      <c r="Q978" s="68" t="e">
        <f aca="false">VLOOKUP(A978,BD_ORDENES!A:BE,52,FALSE())</f>
        <v>#N/A</v>
      </c>
      <c r="R978" s="68" t="e">
        <f aca="false">VLOOKUP(A978,BD_ORDENES!A:BE,25,FALSE())</f>
        <v>#N/A</v>
      </c>
      <c r="S978" s="68" t="e">
        <f aca="false">VLOOKUP(A978,BD_ORDENES!A:BE,22,FALSE())</f>
        <v>#N/A</v>
      </c>
      <c r="T978" s="65" t="e">
        <f aca="false">VLOOKUP(A978,BD_ORDENES!A:BE,55,FALSE())</f>
        <v>#N/A</v>
      </c>
      <c r="U978" s="68" t="e">
        <f aca="false">VLOOKUP(A978,BD_ORDENES!A:BE,57,FALSE())</f>
        <v>#N/A</v>
      </c>
      <c r="V978" s="70"/>
    </row>
    <row r="979" customFormat="false" ht="29.1" hidden="false" customHeight="false" outlineLevel="0" collapsed="false">
      <c r="A979" s="62" t="n">
        <f aca="false">A978+1</f>
        <v>972</v>
      </c>
      <c r="B979" s="63" t="e">
        <f aca="false">VLOOKUP(A979,BD_ORDENES!A:BG,12,FALSE())</f>
        <v>#N/A</v>
      </c>
      <c r="C979" s="64" t="n">
        <v>972</v>
      </c>
      <c r="D979" s="65" t="e">
        <f aca="false">VLOOKUP(A979,BD_ORDENES!A:BE,10,0)</f>
        <v>#N/A</v>
      </c>
      <c r="E979" s="66" t="e">
        <f aca="false">VLOOKUP(A979,BD_ORDENES!A:BG,4,FALSE())</f>
        <v>#N/A</v>
      </c>
      <c r="F979" s="66" t="e">
        <f aca="false">VLOOKUP(A979,BD_ORDENES!A:BE,56,FALSE())</f>
        <v>#N/A</v>
      </c>
      <c r="G979" s="67" t="e">
        <f aca="false">VLOOKUP(A979,BD_ORDENES!A:BE,13,FALSE())</f>
        <v>#N/A</v>
      </c>
      <c r="H979" s="68" t="e">
        <f aca="false">VLOOKUP(A979,BD_ORDENES!A:BE,17,FALSE())</f>
        <v>#N/A</v>
      </c>
      <c r="I979" s="68" t="e">
        <f aca="false">VLOOKUP(A979,BD_ORDENES!A:BE,18,FALSE())</f>
        <v>#N/A</v>
      </c>
      <c r="J979" s="68" t="e">
        <f aca="false">VLOOKUP(A979,BD_ORDENES!A:BE,19,FALSE())</f>
        <v>#N/A</v>
      </c>
      <c r="K979" s="68" t="e">
        <f aca="false">VLOOKUP(A979,BD_ORDENES!A:BE,20,FALSE())</f>
        <v>#N/A</v>
      </c>
      <c r="L979" s="68" t="e">
        <f aca="false">VLOOKUP(A979,BD_ORDENES!A:BE,21,FALSE())</f>
        <v>#N/A</v>
      </c>
      <c r="M979" s="69" t="e">
        <f aca="false">VLOOKUP(A979,BD_ORDENES!A:BE,14,FALSE())</f>
        <v>#N/A</v>
      </c>
      <c r="N979" s="68" t="e">
        <f aca="false">VLOOKUP(A979,BD_ORDENES!A:BE,15,FALSE())</f>
        <v>#N/A</v>
      </c>
      <c r="O979" s="68" t="e">
        <f aca="false">VLOOKUP(A979,BD_ORDENES!A:BE,33,FALSE())</f>
        <v>#N/A</v>
      </c>
      <c r="P979" s="68" t="e">
        <f aca="false">VLOOKUP(A979,BD_ORDENES!A:BE,23,FALSE())</f>
        <v>#N/A</v>
      </c>
      <c r="Q979" s="68" t="e">
        <f aca="false">VLOOKUP(A979,BD_ORDENES!A:BE,52,FALSE())</f>
        <v>#N/A</v>
      </c>
      <c r="R979" s="68" t="e">
        <f aca="false">VLOOKUP(A979,BD_ORDENES!A:BE,25,FALSE())</f>
        <v>#N/A</v>
      </c>
      <c r="S979" s="68" t="e">
        <f aca="false">VLOOKUP(A979,BD_ORDENES!A:BE,22,FALSE())</f>
        <v>#N/A</v>
      </c>
      <c r="T979" s="65" t="e">
        <f aca="false">VLOOKUP(A979,BD_ORDENES!A:BE,55,FALSE())</f>
        <v>#N/A</v>
      </c>
      <c r="U979" s="68" t="e">
        <f aca="false">VLOOKUP(A979,BD_ORDENES!A:BE,57,FALSE())</f>
        <v>#N/A</v>
      </c>
      <c r="V979" s="70"/>
    </row>
    <row r="980" customFormat="false" ht="29.1" hidden="false" customHeight="false" outlineLevel="0" collapsed="false">
      <c r="A980" s="62" t="n">
        <f aca="false">A979+1</f>
        <v>973</v>
      </c>
      <c r="B980" s="63" t="e">
        <f aca="false">VLOOKUP(A980,BD_ORDENES!A:BG,12,FALSE())</f>
        <v>#N/A</v>
      </c>
      <c r="C980" s="64" t="n">
        <v>973</v>
      </c>
      <c r="D980" s="65" t="e">
        <f aca="false">VLOOKUP(A980,BD_ORDENES!A:BE,10,0)</f>
        <v>#N/A</v>
      </c>
      <c r="E980" s="66" t="e">
        <f aca="false">VLOOKUP(A980,BD_ORDENES!A:BG,4,FALSE())</f>
        <v>#N/A</v>
      </c>
      <c r="F980" s="66" t="e">
        <f aca="false">VLOOKUP(A980,BD_ORDENES!A:BE,56,FALSE())</f>
        <v>#N/A</v>
      </c>
      <c r="G980" s="67" t="e">
        <f aca="false">VLOOKUP(A980,BD_ORDENES!A:BE,13,FALSE())</f>
        <v>#N/A</v>
      </c>
      <c r="H980" s="68" t="e">
        <f aca="false">VLOOKUP(A980,BD_ORDENES!A:BE,17,FALSE())</f>
        <v>#N/A</v>
      </c>
      <c r="I980" s="68" t="e">
        <f aca="false">VLOOKUP(A980,BD_ORDENES!A:BE,18,FALSE())</f>
        <v>#N/A</v>
      </c>
      <c r="J980" s="68" t="e">
        <f aca="false">VLOOKUP(A980,BD_ORDENES!A:BE,19,FALSE())</f>
        <v>#N/A</v>
      </c>
      <c r="K980" s="68" t="e">
        <f aca="false">VLOOKUP(A980,BD_ORDENES!A:BE,20,FALSE())</f>
        <v>#N/A</v>
      </c>
      <c r="L980" s="68" t="e">
        <f aca="false">VLOOKUP(A980,BD_ORDENES!A:BE,21,FALSE())</f>
        <v>#N/A</v>
      </c>
      <c r="M980" s="69" t="e">
        <f aca="false">VLOOKUP(A980,BD_ORDENES!A:BE,14,FALSE())</f>
        <v>#N/A</v>
      </c>
      <c r="N980" s="68" t="e">
        <f aca="false">VLOOKUP(A980,BD_ORDENES!A:BE,15,FALSE())</f>
        <v>#N/A</v>
      </c>
      <c r="O980" s="68" t="e">
        <f aca="false">VLOOKUP(A980,BD_ORDENES!A:BE,33,FALSE())</f>
        <v>#N/A</v>
      </c>
      <c r="P980" s="68" t="e">
        <f aca="false">VLOOKUP(A980,BD_ORDENES!A:BE,23,FALSE())</f>
        <v>#N/A</v>
      </c>
      <c r="Q980" s="68" t="e">
        <f aca="false">VLOOKUP(A980,BD_ORDENES!A:BE,52,FALSE())</f>
        <v>#N/A</v>
      </c>
      <c r="R980" s="68" t="e">
        <f aca="false">VLOOKUP(A980,BD_ORDENES!A:BE,25,FALSE())</f>
        <v>#N/A</v>
      </c>
      <c r="S980" s="68" t="e">
        <f aca="false">VLOOKUP(A980,BD_ORDENES!A:BE,22,FALSE())</f>
        <v>#N/A</v>
      </c>
      <c r="T980" s="65" t="e">
        <f aca="false">VLOOKUP(A980,BD_ORDENES!A:BE,55,FALSE())</f>
        <v>#N/A</v>
      </c>
      <c r="U980" s="68" t="e">
        <f aca="false">VLOOKUP(A980,BD_ORDENES!A:BE,57,FALSE())</f>
        <v>#N/A</v>
      </c>
      <c r="V980" s="70"/>
    </row>
    <row r="981" customFormat="false" ht="29.1" hidden="false" customHeight="false" outlineLevel="0" collapsed="false">
      <c r="A981" s="62" t="n">
        <f aca="false">A980+1</f>
        <v>974</v>
      </c>
      <c r="B981" s="63" t="e">
        <f aca="false">VLOOKUP(A981,BD_ORDENES!A:BG,12,FALSE())</f>
        <v>#N/A</v>
      </c>
      <c r="C981" s="64" t="n">
        <v>974</v>
      </c>
      <c r="D981" s="65" t="e">
        <f aca="false">VLOOKUP(A981,BD_ORDENES!A:BE,10,0)</f>
        <v>#N/A</v>
      </c>
      <c r="E981" s="66" t="e">
        <f aca="false">VLOOKUP(A981,BD_ORDENES!A:BG,4,FALSE())</f>
        <v>#N/A</v>
      </c>
      <c r="F981" s="66" t="e">
        <f aca="false">VLOOKUP(A981,BD_ORDENES!A:BE,56,FALSE())</f>
        <v>#N/A</v>
      </c>
      <c r="G981" s="67" t="e">
        <f aca="false">VLOOKUP(A981,BD_ORDENES!A:BE,13,FALSE())</f>
        <v>#N/A</v>
      </c>
      <c r="H981" s="68" t="e">
        <f aca="false">VLOOKUP(A981,BD_ORDENES!A:BE,17,FALSE())</f>
        <v>#N/A</v>
      </c>
      <c r="I981" s="68" t="e">
        <f aca="false">VLOOKUP(A981,BD_ORDENES!A:BE,18,FALSE())</f>
        <v>#N/A</v>
      </c>
      <c r="J981" s="68" t="e">
        <f aca="false">VLOOKUP(A981,BD_ORDENES!A:BE,19,FALSE())</f>
        <v>#N/A</v>
      </c>
      <c r="K981" s="68" t="e">
        <f aca="false">VLOOKUP(A981,BD_ORDENES!A:BE,20,FALSE())</f>
        <v>#N/A</v>
      </c>
      <c r="L981" s="68" t="e">
        <f aca="false">VLOOKUP(A981,BD_ORDENES!A:BE,21,FALSE())</f>
        <v>#N/A</v>
      </c>
      <c r="M981" s="69" t="e">
        <f aca="false">VLOOKUP(A981,BD_ORDENES!A:BE,14,FALSE())</f>
        <v>#N/A</v>
      </c>
      <c r="N981" s="68" t="e">
        <f aca="false">VLOOKUP(A981,BD_ORDENES!A:BE,15,FALSE())</f>
        <v>#N/A</v>
      </c>
      <c r="O981" s="68" t="e">
        <f aca="false">VLOOKUP(A981,BD_ORDENES!A:BE,33,FALSE())</f>
        <v>#N/A</v>
      </c>
      <c r="P981" s="68" t="e">
        <f aca="false">VLOOKUP(A981,BD_ORDENES!A:BE,23,FALSE())</f>
        <v>#N/A</v>
      </c>
      <c r="Q981" s="68" t="e">
        <f aca="false">VLOOKUP(A981,BD_ORDENES!A:BE,52,FALSE())</f>
        <v>#N/A</v>
      </c>
      <c r="R981" s="68" t="e">
        <f aca="false">VLOOKUP(A981,BD_ORDENES!A:BE,25,FALSE())</f>
        <v>#N/A</v>
      </c>
      <c r="S981" s="68" t="e">
        <f aca="false">VLOOKUP(A981,BD_ORDENES!A:BE,22,FALSE())</f>
        <v>#N/A</v>
      </c>
      <c r="T981" s="65" t="e">
        <f aca="false">VLOOKUP(A981,BD_ORDENES!A:BE,55,FALSE())</f>
        <v>#N/A</v>
      </c>
      <c r="U981" s="68" t="e">
        <f aca="false">VLOOKUP(A981,BD_ORDENES!A:BE,57,FALSE())</f>
        <v>#N/A</v>
      </c>
      <c r="V981" s="70"/>
    </row>
    <row r="982" customFormat="false" ht="29.1" hidden="false" customHeight="false" outlineLevel="0" collapsed="false">
      <c r="A982" s="62" t="n">
        <f aca="false">A981+1</f>
        <v>975</v>
      </c>
      <c r="B982" s="63" t="e">
        <f aca="false">VLOOKUP(A982,BD_ORDENES!A:BG,12,FALSE())</f>
        <v>#N/A</v>
      </c>
      <c r="C982" s="64" t="n">
        <v>975</v>
      </c>
      <c r="D982" s="65" t="e">
        <f aca="false">VLOOKUP(A982,BD_ORDENES!A:BE,10,0)</f>
        <v>#N/A</v>
      </c>
      <c r="E982" s="66" t="e">
        <f aca="false">VLOOKUP(A982,BD_ORDENES!A:BG,4,FALSE())</f>
        <v>#N/A</v>
      </c>
      <c r="F982" s="66" t="e">
        <f aca="false">VLOOKUP(A982,BD_ORDENES!A:BE,56,FALSE())</f>
        <v>#N/A</v>
      </c>
      <c r="G982" s="67" t="e">
        <f aca="false">VLOOKUP(A982,BD_ORDENES!A:BE,13,FALSE())</f>
        <v>#N/A</v>
      </c>
      <c r="H982" s="68" t="e">
        <f aca="false">VLOOKUP(A982,BD_ORDENES!A:BE,17,FALSE())</f>
        <v>#N/A</v>
      </c>
      <c r="I982" s="68" t="e">
        <f aca="false">VLOOKUP(A982,BD_ORDENES!A:BE,18,FALSE())</f>
        <v>#N/A</v>
      </c>
      <c r="J982" s="68" t="e">
        <f aca="false">VLOOKUP(A982,BD_ORDENES!A:BE,19,FALSE())</f>
        <v>#N/A</v>
      </c>
      <c r="K982" s="68" t="e">
        <f aca="false">VLOOKUP(A982,BD_ORDENES!A:BE,20,FALSE())</f>
        <v>#N/A</v>
      </c>
      <c r="L982" s="68" t="e">
        <f aca="false">VLOOKUP(A982,BD_ORDENES!A:BE,21,FALSE())</f>
        <v>#N/A</v>
      </c>
      <c r="M982" s="69" t="e">
        <f aca="false">VLOOKUP(A982,BD_ORDENES!A:BE,14,FALSE())</f>
        <v>#N/A</v>
      </c>
      <c r="N982" s="68" t="e">
        <f aca="false">VLOOKUP(A982,BD_ORDENES!A:BE,15,FALSE())</f>
        <v>#N/A</v>
      </c>
      <c r="O982" s="68" t="e">
        <f aca="false">VLOOKUP(A982,BD_ORDENES!A:BE,33,FALSE())</f>
        <v>#N/A</v>
      </c>
      <c r="P982" s="68" t="e">
        <f aca="false">VLOOKUP(A982,BD_ORDENES!A:BE,23,FALSE())</f>
        <v>#N/A</v>
      </c>
      <c r="Q982" s="68" t="e">
        <f aca="false">VLOOKUP(A982,BD_ORDENES!A:BE,52,FALSE())</f>
        <v>#N/A</v>
      </c>
      <c r="R982" s="68" t="e">
        <f aca="false">VLOOKUP(A982,BD_ORDENES!A:BE,25,FALSE())</f>
        <v>#N/A</v>
      </c>
      <c r="S982" s="68" t="e">
        <f aca="false">VLOOKUP(A982,BD_ORDENES!A:BE,22,FALSE())</f>
        <v>#N/A</v>
      </c>
      <c r="T982" s="65" t="e">
        <f aca="false">VLOOKUP(A982,BD_ORDENES!A:BE,55,FALSE())</f>
        <v>#N/A</v>
      </c>
      <c r="U982" s="68" t="e">
        <f aca="false">VLOOKUP(A982,BD_ORDENES!A:BE,57,FALSE())</f>
        <v>#N/A</v>
      </c>
      <c r="V982" s="70"/>
    </row>
    <row r="983" customFormat="false" ht="29.1" hidden="false" customHeight="false" outlineLevel="0" collapsed="false">
      <c r="A983" s="62" t="n">
        <f aca="false">A982+1</f>
        <v>976</v>
      </c>
      <c r="B983" s="63" t="e">
        <f aca="false">VLOOKUP(A983,BD_ORDENES!A:BG,12,FALSE())</f>
        <v>#N/A</v>
      </c>
      <c r="C983" s="64" t="n">
        <v>976</v>
      </c>
      <c r="D983" s="65" t="e">
        <f aca="false">VLOOKUP(A983,BD_ORDENES!A:BE,10,0)</f>
        <v>#N/A</v>
      </c>
      <c r="E983" s="66" t="e">
        <f aca="false">VLOOKUP(A983,BD_ORDENES!A:BG,4,FALSE())</f>
        <v>#N/A</v>
      </c>
      <c r="F983" s="66" t="e">
        <f aca="false">VLOOKUP(A983,BD_ORDENES!A:BE,56,FALSE())</f>
        <v>#N/A</v>
      </c>
      <c r="G983" s="67" t="e">
        <f aca="false">VLOOKUP(A983,BD_ORDENES!A:BE,13,FALSE())</f>
        <v>#N/A</v>
      </c>
      <c r="H983" s="68" t="e">
        <f aca="false">VLOOKUP(A983,BD_ORDENES!A:BE,17,FALSE())</f>
        <v>#N/A</v>
      </c>
      <c r="I983" s="68" t="e">
        <f aca="false">VLOOKUP(A983,BD_ORDENES!A:BE,18,FALSE())</f>
        <v>#N/A</v>
      </c>
      <c r="J983" s="68" t="e">
        <f aca="false">VLOOKUP(A983,BD_ORDENES!A:BE,19,FALSE())</f>
        <v>#N/A</v>
      </c>
      <c r="K983" s="68" t="e">
        <f aca="false">VLOOKUP(A983,BD_ORDENES!A:BE,20,FALSE())</f>
        <v>#N/A</v>
      </c>
      <c r="L983" s="68" t="e">
        <f aca="false">VLOOKUP(A983,BD_ORDENES!A:BE,21,FALSE())</f>
        <v>#N/A</v>
      </c>
      <c r="M983" s="69" t="e">
        <f aca="false">VLOOKUP(A983,BD_ORDENES!A:BE,14,FALSE())</f>
        <v>#N/A</v>
      </c>
      <c r="N983" s="68" t="e">
        <f aca="false">VLOOKUP(A983,BD_ORDENES!A:BE,15,FALSE())</f>
        <v>#N/A</v>
      </c>
      <c r="O983" s="68" t="e">
        <f aca="false">VLOOKUP(A983,BD_ORDENES!A:BE,33,FALSE())</f>
        <v>#N/A</v>
      </c>
      <c r="P983" s="68" t="e">
        <f aca="false">VLOOKUP(A983,BD_ORDENES!A:BE,23,FALSE())</f>
        <v>#N/A</v>
      </c>
      <c r="Q983" s="68" t="e">
        <f aca="false">VLOOKUP(A983,BD_ORDENES!A:BE,52,FALSE())</f>
        <v>#N/A</v>
      </c>
      <c r="R983" s="68" t="e">
        <f aca="false">VLOOKUP(A983,BD_ORDENES!A:BE,25,FALSE())</f>
        <v>#N/A</v>
      </c>
      <c r="S983" s="68" t="e">
        <f aca="false">VLOOKUP(A983,BD_ORDENES!A:BE,22,FALSE())</f>
        <v>#N/A</v>
      </c>
      <c r="T983" s="65" t="e">
        <f aca="false">VLOOKUP(A983,BD_ORDENES!A:BE,55,FALSE())</f>
        <v>#N/A</v>
      </c>
      <c r="U983" s="68" t="e">
        <f aca="false">VLOOKUP(A983,BD_ORDENES!A:BE,57,FALSE())</f>
        <v>#N/A</v>
      </c>
      <c r="V983" s="70"/>
    </row>
    <row r="984" customFormat="false" ht="29.1" hidden="false" customHeight="false" outlineLevel="0" collapsed="false">
      <c r="A984" s="62" t="n">
        <f aca="false">A983+1</f>
        <v>977</v>
      </c>
      <c r="B984" s="63" t="e">
        <f aca="false">VLOOKUP(A984,BD_ORDENES!A:BG,12,FALSE())</f>
        <v>#N/A</v>
      </c>
      <c r="C984" s="64" t="n">
        <v>977</v>
      </c>
      <c r="D984" s="65" t="e">
        <f aca="false">VLOOKUP(A984,BD_ORDENES!A:BE,10,0)</f>
        <v>#N/A</v>
      </c>
      <c r="E984" s="66" t="e">
        <f aca="false">VLOOKUP(A984,BD_ORDENES!A:BG,4,FALSE())</f>
        <v>#N/A</v>
      </c>
      <c r="F984" s="66" t="e">
        <f aca="false">VLOOKUP(A984,BD_ORDENES!A:BE,56,FALSE())</f>
        <v>#N/A</v>
      </c>
      <c r="G984" s="67" t="e">
        <f aca="false">VLOOKUP(A984,BD_ORDENES!A:BE,13,FALSE())</f>
        <v>#N/A</v>
      </c>
      <c r="H984" s="68" t="e">
        <f aca="false">VLOOKUP(A984,BD_ORDENES!A:BE,17,FALSE())</f>
        <v>#N/A</v>
      </c>
      <c r="I984" s="68" t="e">
        <f aca="false">VLOOKUP(A984,BD_ORDENES!A:BE,18,FALSE())</f>
        <v>#N/A</v>
      </c>
      <c r="J984" s="68" t="e">
        <f aca="false">VLOOKUP(A984,BD_ORDENES!A:BE,19,FALSE())</f>
        <v>#N/A</v>
      </c>
      <c r="K984" s="68" t="e">
        <f aca="false">VLOOKUP(A984,BD_ORDENES!A:BE,20,FALSE())</f>
        <v>#N/A</v>
      </c>
      <c r="L984" s="68" t="e">
        <f aca="false">VLOOKUP(A984,BD_ORDENES!A:BE,21,FALSE())</f>
        <v>#N/A</v>
      </c>
      <c r="M984" s="69" t="e">
        <f aca="false">VLOOKUP(A984,BD_ORDENES!A:BE,14,FALSE())</f>
        <v>#N/A</v>
      </c>
      <c r="N984" s="68" t="e">
        <f aca="false">VLOOKUP(A984,BD_ORDENES!A:BE,15,FALSE())</f>
        <v>#N/A</v>
      </c>
      <c r="O984" s="68" t="e">
        <f aca="false">VLOOKUP(A984,BD_ORDENES!A:BE,33,FALSE())</f>
        <v>#N/A</v>
      </c>
      <c r="P984" s="68" t="e">
        <f aca="false">VLOOKUP(A984,BD_ORDENES!A:BE,23,FALSE())</f>
        <v>#N/A</v>
      </c>
      <c r="Q984" s="68" t="e">
        <f aca="false">VLOOKUP(A984,BD_ORDENES!A:BE,52,FALSE())</f>
        <v>#N/A</v>
      </c>
      <c r="R984" s="68" t="e">
        <f aca="false">VLOOKUP(A984,BD_ORDENES!A:BE,25,FALSE())</f>
        <v>#N/A</v>
      </c>
      <c r="S984" s="68" t="e">
        <f aca="false">VLOOKUP(A984,BD_ORDENES!A:BE,22,FALSE())</f>
        <v>#N/A</v>
      </c>
      <c r="T984" s="65" t="e">
        <f aca="false">VLOOKUP(A984,BD_ORDENES!A:BE,55,FALSE())</f>
        <v>#N/A</v>
      </c>
      <c r="U984" s="68" t="e">
        <f aca="false">VLOOKUP(A984,BD_ORDENES!A:BE,57,FALSE())</f>
        <v>#N/A</v>
      </c>
      <c r="V984" s="70"/>
    </row>
    <row r="985" customFormat="false" ht="29.1" hidden="false" customHeight="false" outlineLevel="0" collapsed="false">
      <c r="A985" s="62" t="n">
        <f aca="false">A984+1</f>
        <v>978</v>
      </c>
      <c r="B985" s="63" t="e">
        <f aca="false">VLOOKUP(A985,BD_ORDENES!A:BG,12,FALSE())</f>
        <v>#N/A</v>
      </c>
      <c r="C985" s="64" t="n">
        <v>978</v>
      </c>
      <c r="D985" s="65" t="e">
        <f aca="false">VLOOKUP(A985,BD_ORDENES!A:BE,10,0)</f>
        <v>#N/A</v>
      </c>
      <c r="E985" s="66" t="e">
        <f aca="false">VLOOKUP(A985,BD_ORDENES!A:BG,4,FALSE())</f>
        <v>#N/A</v>
      </c>
      <c r="F985" s="66" t="e">
        <f aca="false">VLOOKUP(A985,BD_ORDENES!A:BE,56,FALSE())</f>
        <v>#N/A</v>
      </c>
      <c r="G985" s="67" t="e">
        <f aca="false">VLOOKUP(A985,BD_ORDENES!A:BE,13,FALSE())</f>
        <v>#N/A</v>
      </c>
      <c r="H985" s="68" t="e">
        <f aca="false">VLOOKUP(A985,BD_ORDENES!A:BE,17,FALSE())</f>
        <v>#N/A</v>
      </c>
      <c r="I985" s="68" t="e">
        <f aca="false">VLOOKUP(A985,BD_ORDENES!A:BE,18,FALSE())</f>
        <v>#N/A</v>
      </c>
      <c r="J985" s="68" t="e">
        <f aca="false">VLOOKUP(A985,BD_ORDENES!A:BE,19,FALSE())</f>
        <v>#N/A</v>
      </c>
      <c r="K985" s="68" t="e">
        <f aca="false">VLOOKUP(A985,BD_ORDENES!A:BE,20,FALSE())</f>
        <v>#N/A</v>
      </c>
      <c r="L985" s="68" t="e">
        <f aca="false">VLOOKUP(A985,BD_ORDENES!A:BE,21,FALSE())</f>
        <v>#N/A</v>
      </c>
      <c r="M985" s="69" t="e">
        <f aca="false">VLOOKUP(A985,BD_ORDENES!A:BE,14,FALSE())</f>
        <v>#N/A</v>
      </c>
      <c r="N985" s="68" t="e">
        <f aca="false">VLOOKUP(A985,BD_ORDENES!A:BE,15,FALSE())</f>
        <v>#N/A</v>
      </c>
      <c r="O985" s="68" t="e">
        <f aca="false">VLOOKUP(A985,BD_ORDENES!A:BE,33,FALSE())</f>
        <v>#N/A</v>
      </c>
      <c r="P985" s="68" t="e">
        <f aca="false">VLOOKUP(A985,BD_ORDENES!A:BE,23,FALSE())</f>
        <v>#N/A</v>
      </c>
      <c r="Q985" s="68" t="e">
        <f aca="false">VLOOKUP(A985,BD_ORDENES!A:BE,52,FALSE())</f>
        <v>#N/A</v>
      </c>
      <c r="R985" s="68" t="e">
        <f aca="false">VLOOKUP(A985,BD_ORDENES!A:BE,25,FALSE())</f>
        <v>#N/A</v>
      </c>
      <c r="S985" s="68" t="e">
        <f aca="false">VLOOKUP(A985,BD_ORDENES!A:BE,22,FALSE())</f>
        <v>#N/A</v>
      </c>
      <c r="T985" s="65" t="e">
        <f aca="false">VLOOKUP(A985,BD_ORDENES!A:BE,55,FALSE())</f>
        <v>#N/A</v>
      </c>
      <c r="U985" s="68" t="e">
        <f aca="false">VLOOKUP(A985,BD_ORDENES!A:BE,57,FALSE())</f>
        <v>#N/A</v>
      </c>
      <c r="V985" s="70"/>
    </row>
    <row r="986" customFormat="false" ht="29.1" hidden="false" customHeight="false" outlineLevel="0" collapsed="false">
      <c r="A986" s="62" t="n">
        <f aca="false">A985+1</f>
        <v>979</v>
      </c>
      <c r="B986" s="63" t="e">
        <f aca="false">VLOOKUP(A986,BD_ORDENES!A:BG,12,FALSE())</f>
        <v>#N/A</v>
      </c>
      <c r="C986" s="64" t="n">
        <v>979</v>
      </c>
      <c r="D986" s="65" t="e">
        <f aca="false">VLOOKUP(A986,BD_ORDENES!A:BE,10,0)</f>
        <v>#N/A</v>
      </c>
      <c r="E986" s="66" t="e">
        <f aca="false">VLOOKUP(A986,BD_ORDENES!A:BG,4,FALSE())</f>
        <v>#N/A</v>
      </c>
      <c r="F986" s="66" t="e">
        <f aca="false">VLOOKUP(A986,BD_ORDENES!A:BE,56,FALSE())</f>
        <v>#N/A</v>
      </c>
      <c r="G986" s="67" t="e">
        <f aca="false">VLOOKUP(A986,BD_ORDENES!A:BE,13,FALSE())</f>
        <v>#N/A</v>
      </c>
      <c r="H986" s="68" t="e">
        <f aca="false">VLOOKUP(A986,BD_ORDENES!A:BE,17,FALSE())</f>
        <v>#N/A</v>
      </c>
      <c r="I986" s="68" t="e">
        <f aca="false">VLOOKUP(A986,BD_ORDENES!A:BE,18,FALSE())</f>
        <v>#N/A</v>
      </c>
      <c r="J986" s="68" t="e">
        <f aca="false">VLOOKUP(A986,BD_ORDENES!A:BE,19,FALSE())</f>
        <v>#N/A</v>
      </c>
      <c r="K986" s="68" t="e">
        <f aca="false">VLOOKUP(A986,BD_ORDENES!A:BE,20,FALSE())</f>
        <v>#N/A</v>
      </c>
      <c r="L986" s="68" t="e">
        <f aca="false">VLOOKUP(A986,BD_ORDENES!A:BE,21,FALSE())</f>
        <v>#N/A</v>
      </c>
      <c r="M986" s="69" t="e">
        <f aca="false">VLOOKUP(A986,BD_ORDENES!A:BE,14,FALSE())</f>
        <v>#N/A</v>
      </c>
      <c r="N986" s="68" t="e">
        <f aca="false">VLOOKUP(A986,BD_ORDENES!A:BE,15,FALSE())</f>
        <v>#N/A</v>
      </c>
      <c r="O986" s="68" t="e">
        <f aca="false">VLOOKUP(A986,BD_ORDENES!A:BE,33,FALSE())</f>
        <v>#N/A</v>
      </c>
      <c r="P986" s="68" t="e">
        <f aca="false">VLOOKUP(A986,BD_ORDENES!A:BE,23,FALSE())</f>
        <v>#N/A</v>
      </c>
      <c r="Q986" s="68" t="e">
        <f aca="false">VLOOKUP(A986,BD_ORDENES!A:BE,52,FALSE())</f>
        <v>#N/A</v>
      </c>
      <c r="R986" s="68" t="e">
        <f aca="false">VLOOKUP(A986,BD_ORDENES!A:BE,25,FALSE())</f>
        <v>#N/A</v>
      </c>
      <c r="S986" s="68" t="e">
        <f aca="false">VLOOKUP(A986,BD_ORDENES!A:BE,22,FALSE())</f>
        <v>#N/A</v>
      </c>
      <c r="T986" s="65" t="e">
        <f aca="false">VLOOKUP(A986,BD_ORDENES!A:BE,55,FALSE())</f>
        <v>#N/A</v>
      </c>
      <c r="U986" s="68" t="e">
        <f aca="false">VLOOKUP(A986,BD_ORDENES!A:BE,57,FALSE())</f>
        <v>#N/A</v>
      </c>
      <c r="V986" s="70"/>
    </row>
    <row r="987" customFormat="false" ht="29.1" hidden="false" customHeight="false" outlineLevel="0" collapsed="false">
      <c r="A987" s="62" t="n">
        <f aca="false">A986+1</f>
        <v>980</v>
      </c>
      <c r="B987" s="63" t="e">
        <f aca="false">VLOOKUP(A987,BD_ORDENES!A:BG,12,FALSE())</f>
        <v>#N/A</v>
      </c>
      <c r="C987" s="64" t="n">
        <v>980</v>
      </c>
      <c r="D987" s="65" t="e">
        <f aca="false">VLOOKUP(A987,BD_ORDENES!A:BE,10,0)</f>
        <v>#N/A</v>
      </c>
      <c r="E987" s="66" t="e">
        <f aca="false">VLOOKUP(A987,BD_ORDENES!A:BG,4,FALSE())</f>
        <v>#N/A</v>
      </c>
      <c r="F987" s="66" t="e">
        <f aca="false">VLOOKUP(A987,BD_ORDENES!A:BE,56,FALSE())</f>
        <v>#N/A</v>
      </c>
      <c r="G987" s="67" t="e">
        <f aca="false">VLOOKUP(A987,BD_ORDENES!A:BE,13,FALSE())</f>
        <v>#N/A</v>
      </c>
      <c r="H987" s="68" t="e">
        <f aca="false">VLOOKUP(A987,BD_ORDENES!A:BE,17,FALSE())</f>
        <v>#N/A</v>
      </c>
      <c r="I987" s="68" t="e">
        <f aca="false">VLOOKUP(A987,BD_ORDENES!A:BE,18,FALSE())</f>
        <v>#N/A</v>
      </c>
      <c r="J987" s="68" t="e">
        <f aca="false">VLOOKUP(A987,BD_ORDENES!A:BE,19,FALSE())</f>
        <v>#N/A</v>
      </c>
      <c r="K987" s="68" t="e">
        <f aca="false">VLOOKUP(A987,BD_ORDENES!A:BE,20,FALSE())</f>
        <v>#N/A</v>
      </c>
      <c r="L987" s="68" t="e">
        <f aca="false">VLOOKUP(A987,BD_ORDENES!A:BE,21,FALSE())</f>
        <v>#N/A</v>
      </c>
      <c r="M987" s="69" t="e">
        <f aca="false">VLOOKUP(A987,BD_ORDENES!A:BE,14,FALSE())</f>
        <v>#N/A</v>
      </c>
      <c r="N987" s="68" t="e">
        <f aca="false">VLOOKUP(A987,BD_ORDENES!A:BE,15,FALSE())</f>
        <v>#N/A</v>
      </c>
      <c r="O987" s="68" t="e">
        <f aca="false">VLOOKUP(A987,BD_ORDENES!A:BE,33,FALSE())</f>
        <v>#N/A</v>
      </c>
      <c r="P987" s="68" t="e">
        <f aca="false">VLOOKUP(A987,BD_ORDENES!A:BE,23,FALSE())</f>
        <v>#N/A</v>
      </c>
      <c r="Q987" s="68" t="e">
        <f aca="false">VLOOKUP(A987,BD_ORDENES!A:BE,52,FALSE())</f>
        <v>#N/A</v>
      </c>
      <c r="R987" s="68" t="e">
        <f aca="false">VLOOKUP(A987,BD_ORDENES!A:BE,25,FALSE())</f>
        <v>#N/A</v>
      </c>
      <c r="S987" s="68" t="e">
        <f aca="false">VLOOKUP(A987,BD_ORDENES!A:BE,22,FALSE())</f>
        <v>#N/A</v>
      </c>
      <c r="T987" s="65" t="e">
        <f aca="false">VLOOKUP(A987,BD_ORDENES!A:BE,55,FALSE())</f>
        <v>#N/A</v>
      </c>
      <c r="U987" s="68" t="e">
        <f aca="false">VLOOKUP(A987,BD_ORDENES!A:BE,57,FALSE())</f>
        <v>#N/A</v>
      </c>
      <c r="V987" s="70"/>
    </row>
    <row r="988" customFormat="false" ht="29.1" hidden="false" customHeight="false" outlineLevel="0" collapsed="false">
      <c r="A988" s="62" t="n">
        <f aca="false">A987+1</f>
        <v>981</v>
      </c>
      <c r="B988" s="63" t="e">
        <f aca="false">VLOOKUP(A988,BD_ORDENES!A:BG,12,FALSE())</f>
        <v>#N/A</v>
      </c>
      <c r="C988" s="64" t="n">
        <v>981</v>
      </c>
      <c r="D988" s="65" t="e">
        <f aca="false">VLOOKUP(A988,BD_ORDENES!A:BE,10,0)</f>
        <v>#N/A</v>
      </c>
      <c r="E988" s="66" t="e">
        <f aca="false">VLOOKUP(A988,BD_ORDENES!A:BG,4,FALSE())</f>
        <v>#N/A</v>
      </c>
      <c r="F988" s="66" t="e">
        <f aca="false">VLOOKUP(A988,BD_ORDENES!A:BE,56,FALSE())</f>
        <v>#N/A</v>
      </c>
      <c r="G988" s="67" t="e">
        <f aca="false">VLOOKUP(A988,BD_ORDENES!A:BE,13,FALSE())</f>
        <v>#N/A</v>
      </c>
      <c r="H988" s="68" t="e">
        <f aca="false">VLOOKUP(A988,BD_ORDENES!A:BE,17,FALSE())</f>
        <v>#N/A</v>
      </c>
      <c r="I988" s="68" t="e">
        <f aca="false">VLOOKUP(A988,BD_ORDENES!A:BE,18,FALSE())</f>
        <v>#N/A</v>
      </c>
      <c r="J988" s="68" t="e">
        <f aca="false">VLOOKUP(A988,BD_ORDENES!A:BE,19,FALSE())</f>
        <v>#N/A</v>
      </c>
      <c r="K988" s="68" t="e">
        <f aca="false">VLOOKUP(A988,BD_ORDENES!A:BE,20,FALSE())</f>
        <v>#N/A</v>
      </c>
      <c r="L988" s="68" t="e">
        <f aca="false">VLOOKUP(A988,BD_ORDENES!A:BE,21,FALSE())</f>
        <v>#N/A</v>
      </c>
      <c r="M988" s="69" t="e">
        <f aca="false">VLOOKUP(A988,BD_ORDENES!A:BE,14,FALSE())</f>
        <v>#N/A</v>
      </c>
      <c r="N988" s="68" t="e">
        <f aca="false">VLOOKUP(A988,BD_ORDENES!A:BE,15,FALSE())</f>
        <v>#N/A</v>
      </c>
      <c r="O988" s="68" t="e">
        <f aca="false">VLOOKUP(A988,BD_ORDENES!A:BE,33,FALSE())</f>
        <v>#N/A</v>
      </c>
      <c r="P988" s="68" t="e">
        <f aca="false">VLOOKUP(A988,BD_ORDENES!A:BE,23,FALSE())</f>
        <v>#N/A</v>
      </c>
      <c r="Q988" s="68" t="e">
        <f aca="false">VLOOKUP(A988,BD_ORDENES!A:BE,52,FALSE())</f>
        <v>#N/A</v>
      </c>
      <c r="R988" s="68" t="e">
        <f aca="false">VLOOKUP(A988,BD_ORDENES!A:BE,25,FALSE())</f>
        <v>#N/A</v>
      </c>
      <c r="S988" s="68" t="e">
        <f aca="false">VLOOKUP(A988,BD_ORDENES!A:BE,22,FALSE())</f>
        <v>#N/A</v>
      </c>
      <c r="T988" s="65" t="e">
        <f aca="false">VLOOKUP(A988,BD_ORDENES!A:BE,55,FALSE())</f>
        <v>#N/A</v>
      </c>
      <c r="U988" s="68" t="e">
        <f aca="false">VLOOKUP(A988,BD_ORDENES!A:BE,57,FALSE())</f>
        <v>#N/A</v>
      </c>
      <c r="V988" s="70"/>
    </row>
    <row r="989" customFormat="false" ht="29.1" hidden="false" customHeight="false" outlineLevel="0" collapsed="false">
      <c r="A989" s="62" t="n">
        <f aca="false">A988+1</f>
        <v>982</v>
      </c>
      <c r="B989" s="63" t="e">
        <f aca="false">VLOOKUP(A989,BD_ORDENES!A:BG,12,FALSE())</f>
        <v>#N/A</v>
      </c>
      <c r="C989" s="64" t="n">
        <v>982</v>
      </c>
      <c r="D989" s="65" t="e">
        <f aca="false">VLOOKUP(A989,BD_ORDENES!A:BE,10,0)</f>
        <v>#N/A</v>
      </c>
      <c r="E989" s="66" t="e">
        <f aca="false">VLOOKUP(A989,BD_ORDENES!A:BG,4,FALSE())</f>
        <v>#N/A</v>
      </c>
      <c r="F989" s="66" t="e">
        <f aca="false">VLOOKUP(A989,BD_ORDENES!A:BE,56,FALSE())</f>
        <v>#N/A</v>
      </c>
      <c r="G989" s="67" t="e">
        <f aca="false">VLOOKUP(A989,BD_ORDENES!A:BE,13,FALSE())</f>
        <v>#N/A</v>
      </c>
      <c r="H989" s="68" t="e">
        <f aca="false">VLOOKUP(A989,BD_ORDENES!A:BE,17,FALSE())</f>
        <v>#N/A</v>
      </c>
      <c r="I989" s="68" t="e">
        <f aca="false">VLOOKUP(A989,BD_ORDENES!A:BE,18,FALSE())</f>
        <v>#N/A</v>
      </c>
      <c r="J989" s="68" t="e">
        <f aca="false">VLOOKUP(A989,BD_ORDENES!A:BE,19,FALSE())</f>
        <v>#N/A</v>
      </c>
      <c r="K989" s="68" t="e">
        <f aca="false">VLOOKUP(A989,BD_ORDENES!A:BE,20,FALSE())</f>
        <v>#N/A</v>
      </c>
      <c r="L989" s="68" t="e">
        <f aca="false">VLOOKUP(A989,BD_ORDENES!A:BE,21,FALSE())</f>
        <v>#N/A</v>
      </c>
      <c r="M989" s="69" t="e">
        <f aca="false">VLOOKUP(A989,BD_ORDENES!A:BE,14,FALSE())</f>
        <v>#N/A</v>
      </c>
      <c r="N989" s="68" t="e">
        <f aca="false">VLOOKUP(A989,BD_ORDENES!A:BE,15,FALSE())</f>
        <v>#N/A</v>
      </c>
      <c r="O989" s="68" t="e">
        <f aca="false">VLOOKUP(A989,BD_ORDENES!A:BE,33,FALSE())</f>
        <v>#N/A</v>
      </c>
      <c r="P989" s="68" t="e">
        <f aca="false">VLOOKUP(A989,BD_ORDENES!A:BE,23,FALSE())</f>
        <v>#N/A</v>
      </c>
      <c r="Q989" s="68" t="e">
        <f aca="false">VLOOKUP(A989,BD_ORDENES!A:BE,52,FALSE())</f>
        <v>#N/A</v>
      </c>
      <c r="R989" s="68" t="e">
        <f aca="false">VLOOKUP(A989,BD_ORDENES!A:BE,25,FALSE())</f>
        <v>#N/A</v>
      </c>
      <c r="S989" s="68" t="e">
        <f aca="false">VLOOKUP(A989,BD_ORDENES!A:BE,22,FALSE())</f>
        <v>#N/A</v>
      </c>
      <c r="T989" s="65" t="e">
        <f aca="false">VLOOKUP(A989,BD_ORDENES!A:BE,55,FALSE())</f>
        <v>#N/A</v>
      </c>
      <c r="U989" s="68" t="e">
        <f aca="false">VLOOKUP(A989,BD_ORDENES!A:BE,57,FALSE())</f>
        <v>#N/A</v>
      </c>
      <c r="V989" s="70"/>
    </row>
    <row r="990" customFormat="false" ht="29.1" hidden="false" customHeight="false" outlineLevel="0" collapsed="false">
      <c r="A990" s="62" t="n">
        <f aca="false">A989+1</f>
        <v>983</v>
      </c>
      <c r="B990" s="63" t="e">
        <f aca="false">VLOOKUP(A990,BD_ORDENES!A:BG,12,FALSE())</f>
        <v>#N/A</v>
      </c>
      <c r="C990" s="64" t="n">
        <v>983</v>
      </c>
      <c r="D990" s="65" t="e">
        <f aca="false">VLOOKUP(A990,BD_ORDENES!A:BE,10,0)</f>
        <v>#N/A</v>
      </c>
      <c r="E990" s="66" t="e">
        <f aca="false">VLOOKUP(A990,BD_ORDENES!A:BG,4,FALSE())</f>
        <v>#N/A</v>
      </c>
      <c r="F990" s="66" t="e">
        <f aca="false">VLOOKUP(A990,BD_ORDENES!A:BE,56,FALSE())</f>
        <v>#N/A</v>
      </c>
      <c r="G990" s="67" t="e">
        <f aca="false">VLOOKUP(A990,BD_ORDENES!A:BE,13,FALSE())</f>
        <v>#N/A</v>
      </c>
      <c r="H990" s="68" t="e">
        <f aca="false">VLOOKUP(A990,BD_ORDENES!A:BE,17,FALSE())</f>
        <v>#N/A</v>
      </c>
      <c r="I990" s="68" t="e">
        <f aca="false">VLOOKUP(A990,BD_ORDENES!A:BE,18,FALSE())</f>
        <v>#N/A</v>
      </c>
      <c r="J990" s="68" t="e">
        <f aca="false">VLOOKUP(A990,BD_ORDENES!A:BE,19,FALSE())</f>
        <v>#N/A</v>
      </c>
      <c r="K990" s="68" t="e">
        <f aca="false">VLOOKUP(A990,BD_ORDENES!A:BE,20,FALSE())</f>
        <v>#N/A</v>
      </c>
      <c r="L990" s="68" t="e">
        <f aca="false">VLOOKUP(A990,BD_ORDENES!A:BE,21,FALSE())</f>
        <v>#N/A</v>
      </c>
      <c r="M990" s="69" t="e">
        <f aca="false">VLOOKUP(A990,BD_ORDENES!A:BE,14,FALSE())</f>
        <v>#N/A</v>
      </c>
      <c r="N990" s="68" t="e">
        <f aca="false">VLOOKUP(A990,BD_ORDENES!A:BE,15,FALSE())</f>
        <v>#N/A</v>
      </c>
      <c r="O990" s="68" t="e">
        <f aca="false">VLOOKUP(A990,BD_ORDENES!A:BE,33,FALSE())</f>
        <v>#N/A</v>
      </c>
      <c r="P990" s="68" t="e">
        <f aca="false">VLOOKUP(A990,BD_ORDENES!A:BE,23,FALSE())</f>
        <v>#N/A</v>
      </c>
      <c r="Q990" s="68" t="e">
        <f aca="false">VLOOKUP(A990,BD_ORDENES!A:BE,52,FALSE())</f>
        <v>#N/A</v>
      </c>
      <c r="R990" s="68" t="e">
        <f aca="false">VLOOKUP(A990,BD_ORDENES!A:BE,25,FALSE())</f>
        <v>#N/A</v>
      </c>
      <c r="S990" s="68" t="e">
        <f aca="false">VLOOKUP(A990,BD_ORDENES!A:BE,22,FALSE())</f>
        <v>#N/A</v>
      </c>
      <c r="T990" s="65" t="e">
        <f aca="false">VLOOKUP(A990,BD_ORDENES!A:BE,55,FALSE())</f>
        <v>#N/A</v>
      </c>
      <c r="U990" s="68" t="e">
        <f aca="false">VLOOKUP(A990,BD_ORDENES!A:BE,57,FALSE())</f>
        <v>#N/A</v>
      </c>
      <c r="V990" s="70"/>
    </row>
    <row r="991" customFormat="false" ht="29.1" hidden="false" customHeight="false" outlineLevel="0" collapsed="false">
      <c r="A991" s="62" t="n">
        <f aca="false">A990+1</f>
        <v>984</v>
      </c>
      <c r="B991" s="63" t="e">
        <f aca="false">VLOOKUP(A991,BD_ORDENES!A:BG,12,FALSE())</f>
        <v>#N/A</v>
      </c>
      <c r="C991" s="64" t="n">
        <v>984</v>
      </c>
      <c r="D991" s="65" t="e">
        <f aca="false">VLOOKUP(A991,BD_ORDENES!A:BE,10,0)</f>
        <v>#N/A</v>
      </c>
      <c r="E991" s="66" t="e">
        <f aca="false">VLOOKUP(A991,BD_ORDENES!A:BG,4,FALSE())</f>
        <v>#N/A</v>
      </c>
      <c r="F991" s="66" t="e">
        <f aca="false">VLOOKUP(A991,BD_ORDENES!A:BE,56,FALSE())</f>
        <v>#N/A</v>
      </c>
      <c r="G991" s="67" t="e">
        <f aca="false">VLOOKUP(A991,BD_ORDENES!A:BE,13,FALSE())</f>
        <v>#N/A</v>
      </c>
      <c r="H991" s="68" t="e">
        <f aca="false">VLOOKUP(A991,BD_ORDENES!A:BE,17,FALSE())</f>
        <v>#N/A</v>
      </c>
      <c r="I991" s="68" t="e">
        <f aca="false">VLOOKUP(A991,BD_ORDENES!A:BE,18,FALSE())</f>
        <v>#N/A</v>
      </c>
      <c r="J991" s="68" t="e">
        <f aca="false">VLOOKUP(A991,BD_ORDENES!A:BE,19,FALSE())</f>
        <v>#N/A</v>
      </c>
      <c r="K991" s="68" t="e">
        <f aca="false">VLOOKUP(A991,BD_ORDENES!A:BE,20,FALSE())</f>
        <v>#N/A</v>
      </c>
      <c r="L991" s="68" t="e">
        <f aca="false">VLOOKUP(A991,BD_ORDENES!A:BE,21,FALSE())</f>
        <v>#N/A</v>
      </c>
      <c r="M991" s="69" t="e">
        <f aca="false">VLOOKUP(A991,BD_ORDENES!A:BE,14,FALSE())</f>
        <v>#N/A</v>
      </c>
      <c r="N991" s="68" t="e">
        <f aca="false">VLOOKUP(A991,BD_ORDENES!A:BE,15,FALSE())</f>
        <v>#N/A</v>
      </c>
      <c r="O991" s="68" t="e">
        <f aca="false">VLOOKUP(A991,BD_ORDENES!A:BE,33,FALSE())</f>
        <v>#N/A</v>
      </c>
      <c r="P991" s="68" t="e">
        <f aca="false">VLOOKUP(A991,BD_ORDENES!A:BE,23,FALSE())</f>
        <v>#N/A</v>
      </c>
      <c r="Q991" s="68" t="e">
        <f aca="false">VLOOKUP(A991,BD_ORDENES!A:BE,52,FALSE())</f>
        <v>#N/A</v>
      </c>
      <c r="R991" s="68" t="e">
        <f aca="false">VLOOKUP(A991,BD_ORDENES!A:BE,25,FALSE())</f>
        <v>#N/A</v>
      </c>
      <c r="S991" s="68" t="e">
        <f aca="false">VLOOKUP(A991,BD_ORDENES!A:BE,22,FALSE())</f>
        <v>#N/A</v>
      </c>
      <c r="T991" s="65" t="e">
        <f aca="false">VLOOKUP(A991,BD_ORDENES!A:BE,55,FALSE())</f>
        <v>#N/A</v>
      </c>
      <c r="U991" s="68" t="e">
        <f aca="false">VLOOKUP(A991,BD_ORDENES!A:BE,57,FALSE())</f>
        <v>#N/A</v>
      </c>
      <c r="V991" s="70"/>
    </row>
    <row r="992" customFormat="false" ht="29.1" hidden="false" customHeight="false" outlineLevel="0" collapsed="false">
      <c r="A992" s="62" t="n">
        <f aca="false">A991+1</f>
        <v>985</v>
      </c>
      <c r="B992" s="63" t="e">
        <f aca="false">VLOOKUP(A992,BD_ORDENES!A:BG,12,FALSE())</f>
        <v>#N/A</v>
      </c>
      <c r="C992" s="64" t="n">
        <v>985</v>
      </c>
      <c r="D992" s="65" t="e">
        <f aca="false">VLOOKUP(A992,BD_ORDENES!A:BE,10,0)</f>
        <v>#N/A</v>
      </c>
      <c r="E992" s="66" t="e">
        <f aca="false">VLOOKUP(A992,BD_ORDENES!A:BG,4,FALSE())</f>
        <v>#N/A</v>
      </c>
      <c r="F992" s="66" t="e">
        <f aca="false">VLOOKUP(A992,BD_ORDENES!A:BE,56,FALSE())</f>
        <v>#N/A</v>
      </c>
      <c r="G992" s="67" t="e">
        <f aca="false">VLOOKUP(A992,BD_ORDENES!A:BE,13,FALSE())</f>
        <v>#N/A</v>
      </c>
      <c r="H992" s="68" t="e">
        <f aca="false">VLOOKUP(A992,BD_ORDENES!A:BE,17,FALSE())</f>
        <v>#N/A</v>
      </c>
      <c r="I992" s="68" t="e">
        <f aca="false">VLOOKUP(A992,BD_ORDENES!A:BE,18,FALSE())</f>
        <v>#N/A</v>
      </c>
      <c r="J992" s="68" t="e">
        <f aca="false">VLOOKUP(A992,BD_ORDENES!A:BE,19,FALSE())</f>
        <v>#N/A</v>
      </c>
      <c r="K992" s="68" t="e">
        <f aca="false">VLOOKUP(A992,BD_ORDENES!A:BE,20,FALSE())</f>
        <v>#N/A</v>
      </c>
      <c r="L992" s="68" t="e">
        <f aca="false">VLOOKUP(A992,BD_ORDENES!A:BE,21,FALSE())</f>
        <v>#N/A</v>
      </c>
      <c r="M992" s="69" t="e">
        <f aca="false">VLOOKUP(A992,BD_ORDENES!A:BE,14,FALSE())</f>
        <v>#N/A</v>
      </c>
      <c r="N992" s="68" t="e">
        <f aca="false">VLOOKUP(A992,BD_ORDENES!A:BE,15,FALSE())</f>
        <v>#N/A</v>
      </c>
      <c r="O992" s="68" t="e">
        <f aca="false">VLOOKUP(A992,BD_ORDENES!A:BE,33,FALSE())</f>
        <v>#N/A</v>
      </c>
      <c r="P992" s="68" t="e">
        <f aca="false">VLOOKUP(A992,BD_ORDENES!A:BE,23,FALSE())</f>
        <v>#N/A</v>
      </c>
      <c r="Q992" s="68" t="e">
        <f aca="false">VLOOKUP(A992,BD_ORDENES!A:BE,52,FALSE())</f>
        <v>#N/A</v>
      </c>
      <c r="R992" s="68" t="e">
        <f aca="false">VLOOKUP(A992,BD_ORDENES!A:BE,25,FALSE())</f>
        <v>#N/A</v>
      </c>
      <c r="S992" s="68" t="e">
        <f aca="false">VLOOKUP(A992,BD_ORDENES!A:BE,22,FALSE())</f>
        <v>#N/A</v>
      </c>
      <c r="T992" s="65" t="e">
        <f aca="false">VLOOKUP(A992,BD_ORDENES!A:BE,55,FALSE())</f>
        <v>#N/A</v>
      </c>
      <c r="U992" s="68" t="e">
        <f aca="false">VLOOKUP(A992,BD_ORDENES!A:BE,57,FALSE())</f>
        <v>#N/A</v>
      </c>
      <c r="V992" s="70"/>
    </row>
    <row r="993" customFormat="false" ht="29.1" hidden="false" customHeight="false" outlineLevel="0" collapsed="false">
      <c r="A993" s="62" t="n">
        <f aca="false">A992+1</f>
        <v>986</v>
      </c>
      <c r="B993" s="63" t="e">
        <f aca="false">VLOOKUP(A993,BD_ORDENES!A:BG,12,FALSE())</f>
        <v>#N/A</v>
      </c>
      <c r="C993" s="64" t="n">
        <v>986</v>
      </c>
      <c r="D993" s="65" t="e">
        <f aca="false">VLOOKUP(A993,BD_ORDENES!A:BE,10,0)</f>
        <v>#N/A</v>
      </c>
      <c r="E993" s="66" t="e">
        <f aca="false">VLOOKUP(A993,BD_ORDENES!A:BG,4,FALSE())</f>
        <v>#N/A</v>
      </c>
      <c r="F993" s="66" t="e">
        <f aca="false">VLOOKUP(A993,BD_ORDENES!A:BE,56,FALSE())</f>
        <v>#N/A</v>
      </c>
      <c r="G993" s="67" t="e">
        <f aca="false">VLOOKUP(A993,BD_ORDENES!A:BE,13,FALSE())</f>
        <v>#N/A</v>
      </c>
      <c r="H993" s="68" t="e">
        <f aca="false">VLOOKUP(A993,BD_ORDENES!A:BE,17,FALSE())</f>
        <v>#N/A</v>
      </c>
      <c r="I993" s="68" t="e">
        <f aca="false">VLOOKUP(A993,BD_ORDENES!A:BE,18,FALSE())</f>
        <v>#N/A</v>
      </c>
      <c r="J993" s="68" t="e">
        <f aca="false">VLOOKUP(A993,BD_ORDENES!A:BE,19,FALSE())</f>
        <v>#N/A</v>
      </c>
      <c r="K993" s="68" t="e">
        <f aca="false">VLOOKUP(A993,BD_ORDENES!A:BE,20,FALSE())</f>
        <v>#N/A</v>
      </c>
      <c r="L993" s="68" t="e">
        <f aca="false">VLOOKUP(A993,BD_ORDENES!A:BE,21,FALSE())</f>
        <v>#N/A</v>
      </c>
      <c r="M993" s="69" t="e">
        <f aca="false">VLOOKUP(A993,BD_ORDENES!A:BE,14,FALSE())</f>
        <v>#N/A</v>
      </c>
      <c r="N993" s="68" t="e">
        <f aca="false">VLOOKUP(A993,BD_ORDENES!A:BE,15,FALSE())</f>
        <v>#N/A</v>
      </c>
      <c r="O993" s="68" t="e">
        <f aca="false">VLOOKUP(A993,BD_ORDENES!A:BE,33,FALSE())</f>
        <v>#N/A</v>
      </c>
      <c r="P993" s="68" t="e">
        <f aca="false">VLOOKUP(A993,BD_ORDENES!A:BE,23,FALSE())</f>
        <v>#N/A</v>
      </c>
      <c r="Q993" s="68" t="e">
        <f aca="false">VLOOKUP(A993,BD_ORDENES!A:BE,52,FALSE())</f>
        <v>#N/A</v>
      </c>
      <c r="R993" s="68" t="e">
        <f aca="false">VLOOKUP(A993,BD_ORDENES!A:BE,25,FALSE())</f>
        <v>#N/A</v>
      </c>
      <c r="S993" s="68" t="e">
        <f aca="false">VLOOKUP(A993,BD_ORDENES!A:BE,22,FALSE())</f>
        <v>#N/A</v>
      </c>
      <c r="T993" s="65" t="e">
        <f aca="false">VLOOKUP(A993,BD_ORDENES!A:BE,55,FALSE())</f>
        <v>#N/A</v>
      </c>
      <c r="U993" s="68" t="e">
        <f aca="false">VLOOKUP(A993,BD_ORDENES!A:BE,57,FALSE())</f>
        <v>#N/A</v>
      </c>
      <c r="V993" s="70"/>
    </row>
    <row r="994" customFormat="false" ht="29.1" hidden="false" customHeight="false" outlineLevel="0" collapsed="false">
      <c r="A994" s="62" t="n">
        <f aca="false">A993+1</f>
        <v>987</v>
      </c>
      <c r="B994" s="63" t="e">
        <f aca="false">VLOOKUP(A994,BD_ORDENES!A:BG,12,FALSE())</f>
        <v>#N/A</v>
      </c>
      <c r="C994" s="64" t="n">
        <v>987</v>
      </c>
      <c r="D994" s="65" t="e">
        <f aca="false">VLOOKUP(A994,BD_ORDENES!A:BE,10,0)</f>
        <v>#N/A</v>
      </c>
      <c r="E994" s="66" t="e">
        <f aca="false">VLOOKUP(A994,BD_ORDENES!A:BG,4,FALSE())</f>
        <v>#N/A</v>
      </c>
      <c r="F994" s="66" t="e">
        <f aca="false">VLOOKUP(A994,BD_ORDENES!A:BE,56,FALSE())</f>
        <v>#N/A</v>
      </c>
      <c r="G994" s="67" t="e">
        <f aca="false">VLOOKUP(A994,BD_ORDENES!A:BE,13,FALSE())</f>
        <v>#N/A</v>
      </c>
      <c r="H994" s="68" t="e">
        <f aca="false">VLOOKUP(A994,BD_ORDENES!A:BE,17,FALSE())</f>
        <v>#N/A</v>
      </c>
      <c r="I994" s="68" t="e">
        <f aca="false">VLOOKUP(A994,BD_ORDENES!A:BE,18,FALSE())</f>
        <v>#N/A</v>
      </c>
      <c r="J994" s="68" t="e">
        <f aca="false">VLOOKUP(A994,BD_ORDENES!A:BE,19,FALSE())</f>
        <v>#N/A</v>
      </c>
      <c r="K994" s="68" t="e">
        <f aca="false">VLOOKUP(A994,BD_ORDENES!A:BE,20,FALSE())</f>
        <v>#N/A</v>
      </c>
      <c r="L994" s="68" t="e">
        <f aca="false">VLOOKUP(A994,BD_ORDENES!A:BE,21,FALSE())</f>
        <v>#N/A</v>
      </c>
      <c r="M994" s="69" t="e">
        <f aca="false">VLOOKUP(A994,BD_ORDENES!A:BE,14,FALSE())</f>
        <v>#N/A</v>
      </c>
      <c r="N994" s="68" t="e">
        <f aca="false">VLOOKUP(A994,BD_ORDENES!A:BE,15,FALSE())</f>
        <v>#N/A</v>
      </c>
      <c r="O994" s="68" t="e">
        <f aca="false">VLOOKUP(A994,BD_ORDENES!A:BE,33,FALSE())</f>
        <v>#N/A</v>
      </c>
      <c r="P994" s="68" t="e">
        <f aca="false">VLOOKUP(A994,BD_ORDENES!A:BE,23,FALSE())</f>
        <v>#N/A</v>
      </c>
      <c r="Q994" s="68" t="e">
        <f aca="false">VLOOKUP(A994,BD_ORDENES!A:BE,52,FALSE())</f>
        <v>#N/A</v>
      </c>
      <c r="R994" s="68" t="e">
        <f aca="false">VLOOKUP(A994,BD_ORDENES!A:BE,25,FALSE())</f>
        <v>#N/A</v>
      </c>
      <c r="S994" s="68" t="e">
        <f aca="false">VLOOKUP(A994,BD_ORDENES!A:BE,22,FALSE())</f>
        <v>#N/A</v>
      </c>
      <c r="T994" s="65" t="e">
        <f aca="false">VLOOKUP(A994,BD_ORDENES!A:BE,55,FALSE())</f>
        <v>#N/A</v>
      </c>
      <c r="U994" s="68" t="e">
        <f aca="false">VLOOKUP(A994,BD_ORDENES!A:BE,57,FALSE())</f>
        <v>#N/A</v>
      </c>
      <c r="V994" s="70"/>
    </row>
    <row r="995" customFormat="false" ht="29.1" hidden="false" customHeight="false" outlineLevel="0" collapsed="false">
      <c r="A995" s="62" t="n">
        <f aca="false">A994+1</f>
        <v>988</v>
      </c>
      <c r="B995" s="63" t="e">
        <f aca="false">VLOOKUP(A995,BD_ORDENES!A:BG,12,FALSE())</f>
        <v>#N/A</v>
      </c>
      <c r="C995" s="64" t="n">
        <v>988</v>
      </c>
      <c r="D995" s="65" t="e">
        <f aca="false">VLOOKUP(A995,BD_ORDENES!A:BE,10,0)</f>
        <v>#N/A</v>
      </c>
      <c r="E995" s="66" t="e">
        <f aca="false">VLOOKUP(A995,BD_ORDENES!A:BG,4,FALSE())</f>
        <v>#N/A</v>
      </c>
      <c r="F995" s="66" t="e">
        <f aca="false">VLOOKUP(A995,BD_ORDENES!A:BE,56,FALSE())</f>
        <v>#N/A</v>
      </c>
      <c r="G995" s="67" t="e">
        <f aca="false">VLOOKUP(A995,BD_ORDENES!A:BE,13,FALSE())</f>
        <v>#N/A</v>
      </c>
      <c r="H995" s="68" t="e">
        <f aca="false">VLOOKUP(A995,BD_ORDENES!A:BE,17,FALSE())</f>
        <v>#N/A</v>
      </c>
      <c r="I995" s="68" t="e">
        <f aca="false">VLOOKUP(A995,BD_ORDENES!A:BE,18,FALSE())</f>
        <v>#N/A</v>
      </c>
      <c r="J995" s="68" t="e">
        <f aca="false">VLOOKUP(A995,BD_ORDENES!A:BE,19,FALSE())</f>
        <v>#N/A</v>
      </c>
      <c r="K995" s="68" t="e">
        <f aca="false">VLOOKUP(A995,BD_ORDENES!A:BE,20,FALSE())</f>
        <v>#N/A</v>
      </c>
      <c r="L995" s="68" t="e">
        <f aca="false">VLOOKUP(A995,BD_ORDENES!A:BE,21,FALSE())</f>
        <v>#N/A</v>
      </c>
      <c r="M995" s="69" t="e">
        <f aca="false">VLOOKUP(A995,BD_ORDENES!A:BE,14,FALSE())</f>
        <v>#N/A</v>
      </c>
      <c r="N995" s="68" t="e">
        <f aca="false">VLOOKUP(A995,BD_ORDENES!A:BE,15,FALSE())</f>
        <v>#N/A</v>
      </c>
      <c r="O995" s="68" t="e">
        <f aca="false">VLOOKUP(A995,BD_ORDENES!A:BE,33,FALSE())</f>
        <v>#N/A</v>
      </c>
      <c r="P995" s="68" t="e">
        <f aca="false">VLOOKUP(A995,BD_ORDENES!A:BE,23,FALSE())</f>
        <v>#N/A</v>
      </c>
      <c r="Q995" s="68" t="e">
        <f aca="false">VLOOKUP(A995,BD_ORDENES!A:BE,52,FALSE())</f>
        <v>#N/A</v>
      </c>
      <c r="R995" s="68" t="e">
        <f aca="false">VLOOKUP(A995,BD_ORDENES!A:BE,25,FALSE())</f>
        <v>#N/A</v>
      </c>
      <c r="S995" s="68" t="e">
        <f aca="false">VLOOKUP(A995,BD_ORDENES!A:BE,22,FALSE())</f>
        <v>#N/A</v>
      </c>
      <c r="T995" s="65" t="e">
        <f aca="false">VLOOKUP(A995,BD_ORDENES!A:BE,55,FALSE())</f>
        <v>#N/A</v>
      </c>
      <c r="U995" s="68" t="e">
        <f aca="false">VLOOKUP(A995,BD_ORDENES!A:BE,57,FALSE())</f>
        <v>#N/A</v>
      </c>
      <c r="V995" s="70"/>
    </row>
    <row r="996" customFormat="false" ht="29.1" hidden="false" customHeight="false" outlineLevel="0" collapsed="false">
      <c r="A996" s="62" t="n">
        <f aca="false">A995+1</f>
        <v>989</v>
      </c>
      <c r="B996" s="63" t="e">
        <f aca="false">VLOOKUP(A996,BD_ORDENES!A:BG,12,FALSE())</f>
        <v>#N/A</v>
      </c>
      <c r="C996" s="64" t="n">
        <v>989</v>
      </c>
      <c r="D996" s="65" t="e">
        <f aca="false">VLOOKUP(A996,BD_ORDENES!A:BE,10,0)</f>
        <v>#N/A</v>
      </c>
      <c r="E996" s="66" t="e">
        <f aca="false">VLOOKUP(A996,BD_ORDENES!A:BG,4,FALSE())</f>
        <v>#N/A</v>
      </c>
      <c r="F996" s="66" t="e">
        <f aca="false">VLOOKUP(A996,BD_ORDENES!A:BE,56,FALSE())</f>
        <v>#N/A</v>
      </c>
      <c r="G996" s="67" t="e">
        <f aca="false">VLOOKUP(A996,BD_ORDENES!A:BE,13,FALSE())</f>
        <v>#N/A</v>
      </c>
      <c r="H996" s="68" t="e">
        <f aca="false">VLOOKUP(A996,BD_ORDENES!A:BE,17,FALSE())</f>
        <v>#N/A</v>
      </c>
      <c r="I996" s="68" t="e">
        <f aca="false">VLOOKUP(A996,BD_ORDENES!A:BE,18,FALSE())</f>
        <v>#N/A</v>
      </c>
      <c r="J996" s="68" t="e">
        <f aca="false">VLOOKUP(A996,BD_ORDENES!A:BE,19,FALSE())</f>
        <v>#N/A</v>
      </c>
      <c r="K996" s="68" t="e">
        <f aca="false">VLOOKUP(A996,BD_ORDENES!A:BE,20,FALSE())</f>
        <v>#N/A</v>
      </c>
      <c r="L996" s="68" t="e">
        <f aca="false">VLOOKUP(A996,BD_ORDENES!A:BE,21,FALSE())</f>
        <v>#N/A</v>
      </c>
      <c r="M996" s="69" t="e">
        <f aca="false">VLOOKUP(A996,BD_ORDENES!A:BE,14,FALSE())</f>
        <v>#N/A</v>
      </c>
      <c r="N996" s="68" t="e">
        <f aca="false">VLOOKUP(A996,BD_ORDENES!A:BE,15,FALSE())</f>
        <v>#N/A</v>
      </c>
      <c r="O996" s="68" t="e">
        <f aca="false">VLOOKUP(A996,BD_ORDENES!A:BE,33,FALSE())</f>
        <v>#N/A</v>
      </c>
      <c r="P996" s="68" t="e">
        <f aca="false">VLOOKUP(A996,BD_ORDENES!A:BE,23,FALSE())</f>
        <v>#N/A</v>
      </c>
      <c r="Q996" s="68" t="e">
        <f aca="false">VLOOKUP(A996,BD_ORDENES!A:BE,52,FALSE())</f>
        <v>#N/A</v>
      </c>
      <c r="R996" s="68" t="e">
        <f aca="false">VLOOKUP(A996,BD_ORDENES!A:BE,25,FALSE())</f>
        <v>#N/A</v>
      </c>
      <c r="S996" s="68" t="e">
        <f aca="false">VLOOKUP(A996,BD_ORDENES!A:BE,22,FALSE())</f>
        <v>#N/A</v>
      </c>
      <c r="T996" s="65" t="e">
        <f aca="false">VLOOKUP(A996,BD_ORDENES!A:BE,55,FALSE())</f>
        <v>#N/A</v>
      </c>
      <c r="U996" s="68" t="e">
        <f aca="false">VLOOKUP(A996,BD_ORDENES!A:BE,57,FALSE())</f>
        <v>#N/A</v>
      </c>
      <c r="V996" s="70"/>
    </row>
    <row r="997" customFormat="false" ht="29.1" hidden="false" customHeight="false" outlineLevel="0" collapsed="false">
      <c r="A997" s="62" t="n">
        <f aca="false">A996+1</f>
        <v>990</v>
      </c>
      <c r="B997" s="63" t="e">
        <f aca="false">VLOOKUP(A997,BD_ORDENES!A:BG,12,FALSE())</f>
        <v>#N/A</v>
      </c>
      <c r="C997" s="64" t="n">
        <v>990</v>
      </c>
      <c r="D997" s="65" t="e">
        <f aca="false">VLOOKUP(A997,BD_ORDENES!A:BE,10,0)</f>
        <v>#N/A</v>
      </c>
      <c r="E997" s="66" t="e">
        <f aca="false">VLOOKUP(A997,BD_ORDENES!A:BG,4,FALSE())</f>
        <v>#N/A</v>
      </c>
      <c r="F997" s="66" t="e">
        <f aca="false">VLOOKUP(A997,BD_ORDENES!A:BE,56,FALSE())</f>
        <v>#N/A</v>
      </c>
      <c r="G997" s="67" t="e">
        <f aca="false">VLOOKUP(A997,BD_ORDENES!A:BE,13,FALSE())</f>
        <v>#N/A</v>
      </c>
      <c r="H997" s="68" t="e">
        <f aca="false">VLOOKUP(A997,BD_ORDENES!A:BE,17,FALSE())</f>
        <v>#N/A</v>
      </c>
      <c r="I997" s="68" t="e">
        <f aca="false">VLOOKUP(A997,BD_ORDENES!A:BE,18,FALSE())</f>
        <v>#N/A</v>
      </c>
      <c r="J997" s="68" t="e">
        <f aca="false">VLOOKUP(A997,BD_ORDENES!A:BE,19,FALSE())</f>
        <v>#N/A</v>
      </c>
      <c r="K997" s="68" t="e">
        <f aca="false">VLOOKUP(A997,BD_ORDENES!A:BE,20,FALSE())</f>
        <v>#N/A</v>
      </c>
      <c r="L997" s="68" t="e">
        <f aca="false">VLOOKUP(A997,BD_ORDENES!A:BE,21,FALSE())</f>
        <v>#N/A</v>
      </c>
      <c r="M997" s="69" t="e">
        <f aca="false">VLOOKUP(A997,BD_ORDENES!A:BE,14,FALSE())</f>
        <v>#N/A</v>
      </c>
      <c r="N997" s="68" t="e">
        <f aca="false">VLOOKUP(A997,BD_ORDENES!A:BE,15,FALSE())</f>
        <v>#N/A</v>
      </c>
      <c r="O997" s="68" t="e">
        <f aca="false">VLOOKUP(A997,BD_ORDENES!A:BE,33,FALSE())</f>
        <v>#N/A</v>
      </c>
      <c r="P997" s="68" t="e">
        <f aca="false">VLOOKUP(A997,BD_ORDENES!A:BE,23,FALSE())</f>
        <v>#N/A</v>
      </c>
      <c r="Q997" s="68" t="e">
        <f aca="false">VLOOKUP(A997,BD_ORDENES!A:BE,52,FALSE())</f>
        <v>#N/A</v>
      </c>
      <c r="R997" s="68" t="e">
        <f aca="false">VLOOKUP(A997,BD_ORDENES!A:BE,25,FALSE())</f>
        <v>#N/A</v>
      </c>
      <c r="S997" s="68" t="e">
        <f aca="false">VLOOKUP(A997,BD_ORDENES!A:BE,22,FALSE())</f>
        <v>#N/A</v>
      </c>
      <c r="T997" s="65" t="e">
        <f aca="false">VLOOKUP(A997,BD_ORDENES!A:BE,55,FALSE())</f>
        <v>#N/A</v>
      </c>
      <c r="U997" s="68" t="e">
        <f aca="false">VLOOKUP(A997,BD_ORDENES!A:BE,57,FALSE())</f>
        <v>#N/A</v>
      </c>
      <c r="V997" s="70"/>
    </row>
    <row r="998" customFormat="false" ht="29.1" hidden="false" customHeight="false" outlineLevel="0" collapsed="false">
      <c r="A998" s="62" t="n">
        <f aca="false">A997+1</f>
        <v>991</v>
      </c>
      <c r="B998" s="63" t="e">
        <f aca="false">VLOOKUP(A998,BD_ORDENES!A:BG,12,FALSE())</f>
        <v>#N/A</v>
      </c>
      <c r="C998" s="64" t="n">
        <v>991</v>
      </c>
      <c r="D998" s="65" t="e">
        <f aca="false">VLOOKUP(A998,BD_ORDENES!A:BE,10,0)</f>
        <v>#N/A</v>
      </c>
      <c r="E998" s="66" t="e">
        <f aca="false">VLOOKUP(A998,BD_ORDENES!A:BG,4,FALSE())</f>
        <v>#N/A</v>
      </c>
      <c r="F998" s="66" t="e">
        <f aca="false">VLOOKUP(A998,BD_ORDENES!A:BE,56,FALSE())</f>
        <v>#N/A</v>
      </c>
      <c r="G998" s="67" t="e">
        <f aca="false">VLOOKUP(A998,BD_ORDENES!A:BE,13,FALSE())</f>
        <v>#N/A</v>
      </c>
      <c r="H998" s="68" t="e">
        <f aca="false">VLOOKUP(A998,BD_ORDENES!A:BE,17,FALSE())</f>
        <v>#N/A</v>
      </c>
      <c r="I998" s="68" t="e">
        <f aca="false">VLOOKUP(A998,BD_ORDENES!A:BE,18,FALSE())</f>
        <v>#N/A</v>
      </c>
      <c r="J998" s="68" t="e">
        <f aca="false">VLOOKUP(A998,BD_ORDENES!A:BE,19,FALSE())</f>
        <v>#N/A</v>
      </c>
      <c r="K998" s="68" t="e">
        <f aca="false">VLOOKUP(A998,BD_ORDENES!A:BE,20,FALSE())</f>
        <v>#N/A</v>
      </c>
      <c r="L998" s="68" t="e">
        <f aca="false">VLOOKUP(A998,BD_ORDENES!A:BE,21,FALSE())</f>
        <v>#N/A</v>
      </c>
      <c r="M998" s="69" t="e">
        <f aca="false">VLOOKUP(A998,BD_ORDENES!A:BE,14,FALSE())</f>
        <v>#N/A</v>
      </c>
      <c r="N998" s="68" t="e">
        <f aca="false">VLOOKUP(A998,BD_ORDENES!A:BE,15,FALSE())</f>
        <v>#N/A</v>
      </c>
      <c r="O998" s="68" t="e">
        <f aca="false">VLOOKUP(A998,BD_ORDENES!A:BE,33,FALSE())</f>
        <v>#N/A</v>
      </c>
      <c r="P998" s="68" t="e">
        <f aca="false">VLOOKUP(A998,BD_ORDENES!A:BE,23,FALSE())</f>
        <v>#N/A</v>
      </c>
      <c r="Q998" s="68" t="e">
        <f aca="false">VLOOKUP(A998,BD_ORDENES!A:BE,52,FALSE())</f>
        <v>#N/A</v>
      </c>
      <c r="R998" s="68" t="e">
        <f aca="false">VLOOKUP(A998,BD_ORDENES!A:BE,25,FALSE())</f>
        <v>#N/A</v>
      </c>
      <c r="S998" s="68" t="e">
        <f aca="false">VLOOKUP(A998,BD_ORDENES!A:BE,22,FALSE())</f>
        <v>#N/A</v>
      </c>
      <c r="T998" s="65" t="e">
        <f aca="false">VLOOKUP(A998,BD_ORDENES!A:BE,55,FALSE())</f>
        <v>#N/A</v>
      </c>
      <c r="U998" s="68" t="e">
        <f aca="false">VLOOKUP(A998,BD_ORDENES!A:BE,57,FALSE())</f>
        <v>#N/A</v>
      </c>
      <c r="V998" s="70"/>
    </row>
    <row r="999" customFormat="false" ht="29.1" hidden="false" customHeight="false" outlineLevel="0" collapsed="false">
      <c r="A999" s="62" t="n">
        <f aca="false">A998+1</f>
        <v>992</v>
      </c>
      <c r="B999" s="63" t="e">
        <f aca="false">VLOOKUP(A999,BD_ORDENES!A:BG,12,FALSE())</f>
        <v>#N/A</v>
      </c>
      <c r="C999" s="64" t="n">
        <v>992</v>
      </c>
      <c r="D999" s="65" t="e">
        <f aca="false">VLOOKUP(A999,BD_ORDENES!A:BE,10,0)</f>
        <v>#N/A</v>
      </c>
      <c r="E999" s="66" t="e">
        <f aca="false">VLOOKUP(A999,BD_ORDENES!A:BG,4,FALSE())</f>
        <v>#N/A</v>
      </c>
      <c r="F999" s="66" t="e">
        <f aca="false">VLOOKUP(A999,BD_ORDENES!A:BE,56,FALSE())</f>
        <v>#N/A</v>
      </c>
      <c r="G999" s="67" t="e">
        <f aca="false">VLOOKUP(A999,BD_ORDENES!A:BE,13,FALSE())</f>
        <v>#N/A</v>
      </c>
      <c r="H999" s="68" t="e">
        <f aca="false">VLOOKUP(A999,BD_ORDENES!A:BE,17,FALSE())</f>
        <v>#N/A</v>
      </c>
      <c r="I999" s="68" t="e">
        <f aca="false">VLOOKUP(A999,BD_ORDENES!A:BE,18,FALSE())</f>
        <v>#N/A</v>
      </c>
      <c r="J999" s="68" t="e">
        <f aca="false">VLOOKUP(A999,BD_ORDENES!A:BE,19,FALSE())</f>
        <v>#N/A</v>
      </c>
      <c r="K999" s="68" t="e">
        <f aca="false">VLOOKUP(A999,BD_ORDENES!A:BE,20,FALSE())</f>
        <v>#N/A</v>
      </c>
      <c r="L999" s="68" t="e">
        <f aca="false">VLOOKUP(A999,BD_ORDENES!A:BE,21,FALSE())</f>
        <v>#N/A</v>
      </c>
      <c r="M999" s="69" t="e">
        <f aca="false">VLOOKUP(A999,BD_ORDENES!A:BE,14,FALSE())</f>
        <v>#N/A</v>
      </c>
      <c r="N999" s="68" t="e">
        <f aca="false">VLOOKUP(A999,BD_ORDENES!A:BE,15,FALSE())</f>
        <v>#N/A</v>
      </c>
      <c r="O999" s="68" t="e">
        <f aca="false">VLOOKUP(A999,BD_ORDENES!A:BE,33,FALSE())</f>
        <v>#N/A</v>
      </c>
      <c r="P999" s="68" t="e">
        <f aca="false">VLOOKUP(A999,BD_ORDENES!A:BE,23,FALSE())</f>
        <v>#N/A</v>
      </c>
      <c r="Q999" s="68" t="e">
        <f aca="false">VLOOKUP(A999,BD_ORDENES!A:BE,52,FALSE())</f>
        <v>#N/A</v>
      </c>
      <c r="R999" s="68" t="e">
        <f aca="false">VLOOKUP(A999,BD_ORDENES!A:BE,25,FALSE())</f>
        <v>#N/A</v>
      </c>
      <c r="S999" s="68" t="e">
        <f aca="false">VLOOKUP(A999,BD_ORDENES!A:BE,22,FALSE())</f>
        <v>#N/A</v>
      </c>
      <c r="T999" s="65" t="e">
        <f aca="false">VLOOKUP(A999,BD_ORDENES!A:BE,55,FALSE())</f>
        <v>#N/A</v>
      </c>
      <c r="U999" s="68" t="e">
        <f aca="false">VLOOKUP(A999,BD_ORDENES!A:BE,57,FALSE())</f>
        <v>#N/A</v>
      </c>
      <c r="V999" s="70"/>
    </row>
    <row r="1000" customFormat="false" ht="29.1" hidden="false" customHeight="false" outlineLevel="0" collapsed="false">
      <c r="A1000" s="62" t="n">
        <f aca="false">A999+1</f>
        <v>993</v>
      </c>
      <c r="B1000" s="63" t="e">
        <f aca="false">VLOOKUP(A1000,BD_ORDENES!A:BG,12,FALSE())</f>
        <v>#N/A</v>
      </c>
      <c r="C1000" s="64" t="n">
        <v>993</v>
      </c>
      <c r="D1000" s="65" t="e">
        <f aca="false">VLOOKUP(A1000,BD_ORDENES!A:BE,10,0)</f>
        <v>#N/A</v>
      </c>
      <c r="E1000" s="66" t="e">
        <f aca="false">VLOOKUP(A1000,BD_ORDENES!A:BG,4,FALSE())</f>
        <v>#N/A</v>
      </c>
      <c r="F1000" s="66" t="e">
        <f aca="false">VLOOKUP(A1000,BD_ORDENES!A:BE,56,FALSE())</f>
        <v>#N/A</v>
      </c>
      <c r="G1000" s="67" t="e">
        <f aca="false">VLOOKUP(A1000,BD_ORDENES!A:BE,13,FALSE())</f>
        <v>#N/A</v>
      </c>
      <c r="H1000" s="68" t="e">
        <f aca="false">VLOOKUP(A1000,BD_ORDENES!A:BE,17,FALSE())</f>
        <v>#N/A</v>
      </c>
      <c r="I1000" s="68" t="e">
        <f aca="false">VLOOKUP(A1000,BD_ORDENES!A:BE,18,FALSE())</f>
        <v>#N/A</v>
      </c>
      <c r="J1000" s="68" t="e">
        <f aca="false">VLOOKUP(A1000,BD_ORDENES!A:BE,19,FALSE())</f>
        <v>#N/A</v>
      </c>
      <c r="K1000" s="68" t="e">
        <f aca="false">VLOOKUP(A1000,BD_ORDENES!A:BE,20,FALSE())</f>
        <v>#N/A</v>
      </c>
      <c r="L1000" s="68" t="e">
        <f aca="false">VLOOKUP(A1000,BD_ORDENES!A:BE,21,FALSE())</f>
        <v>#N/A</v>
      </c>
      <c r="M1000" s="69" t="e">
        <f aca="false">VLOOKUP(A1000,BD_ORDENES!A:BE,14,FALSE())</f>
        <v>#N/A</v>
      </c>
      <c r="N1000" s="68" t="e">
        <f aca="false">VLOOKUP(A1000,BD_ORDENES!A:BE,15,FALSE())</f>
        <v>#N/A</v>
      </c>
      <c r="O1000" s="68" t="e">
        <f aca="false">VLOOKUP(A1000,BD_ORDENES!A:BE,33,FALSE())</f>
        <v>#N/A</v>
      </c>
      <c r="P1000" s="68" t="e">
        <f aca="false">VLOOKUP(A1000,BD_ORDENES!A:BE,23,FALSE())</f>
        <v>#N/A</v>
      </c>
      <c r="Q1000" s="68" t="e">
        <f aca="false">VLOOKUP(A1000,BD_ORDENES!A:BE,52,FALSE())</f>
        <v>#N/A</v>
      </c>
      <c r="R1000" s="68" t="e">
        <f aca="false">VLOOKUP(A1000,BD_ORDENES!A:BE,25,FALSE())</f>
        <v>#N/A</v>
      </c>
      <c r="S1000" s="68" t="e">
        <f aca="false">VLOOKUP(A1000,BD_ORDENES!A:BE,22,FALSE())</f>
        <v>#N/A</v>
      </c>
      <c r="T1000" s="65" t="e">
        <f aca="false">VLOOKUP(A1000,BD_ORDENES!A:BE,55,FALSE())</f>
        <v>#N/A</v>
      </c>
      <c r="U1000" s="68" t="e">
        <f aca="false">VLOOKUP(A1000,BD_ORDENES!A:BE,57,FALSE())</f>
        <v>#N/A</v>
      </c>
      <c r="V1000" s="70"/>
    </row>
    <row r="1001" customFormat="false" ht="29.1" hidden="false" customHeight="false" outlineLevel="0" collapsed="false">
      <c r="A1001" s="62" t="n">
        <f aca="false">A1000+1</f>
        <v>994</v>
      </c>
      <c r="B1001" s="63" t="e">
        <f aca="false">VLOOKUP(A1001,BD_ORDENES!A:BG,12,FALSE())</f>
        <v>#N/A</v>
      </c>
      <c r="C1001" s="64" t="n">
        <v>994</v>
      </c>
      <c r="D1001" s="65" t="e">
        <f aca="false">VLOOKUP(A1001,BD_ORDENES!A:BE,10,0)</f>
        <v>#N/A</v>
      </c>
      <c r="E1001" s="66" t="e">
        <f aca="false">VLOOKUP(A1001,BD_ORDENES!A:BG,4,FALSE())</f>
        <v>#N/A</v>
      </c>
      <c r="F1001" s="66" t="e">
        <f aca="false">VLOOKUP(A1001,BD_ORDENES!A:BE,56,FALSE())</f>
        <v>#N/A</v>
      </c>
      <c r="G1001" s="67" t="e">
        <f aca="false">VLOOKUP(A1001,BD_ORDENES!A:BE,13,FALSE())</f>
        <v>#N/A</v>
      </c>
      <c r="H1001" s="68" t="e">
        <f aca="false">VLOOKUP(A1001,BD_ORDENES!A:BE,17,FALSE())</f>
        <v>#N/A</v>
      </c>
      <c r="I1001" s="68" t="e">
        <f aca="false">VLOOKUP(A1001,BD_ORDENES!A:BE,18,FALSE())</f>
        <v>#N/A</v>
      </c>
      <c r="J1001" s="68" t="e">
        <f aca="false">VLOOKUP(A1001,BD_ORDENES!A:BE,19,FALSE())</f>
        <v>#N/A</v>
      </c>
      <c r="K1001" s="68" t="e">
        <f aca="false">VLOOKUP(A1001,BD_ORDENES!A:BE,20,FALSE())</f>
        <v>#N/A</v>
      </c>
      <c r="L1001" s="68" t="e">
        <f aca="false">VLOOKUP(A1001,BD_ORDENES!A:BE,21,FALSE())</f>
        <v>#N/A</v>
      </c>
      <c r="M1001" s="69" t="e">
        <f aca="false">VLOOKUP(A1001,BD_ORDENES!A:BE,14,FALSE())</f>
        <v>#N/A</v>
      </c>
      <c r="N1001" s="68" t="e">
        <f aca="false">VLOOKUP(A1001,BD_ORDENES!A:BE,15,FALSE())</f>
        <v>#N/A</v>
      </c>
      <c r="O1001" s="68" t="e">
        <f aca="false">VLOOKUP(A1001,BD_ORDENES!A:BE,33,FALSE())</f>
        <v>#N/A</v>
      </c>
      <c r="P1001" s="68" t="e">
        <f aca="false">VLOOKUP(A1001,BD_ORDENES!A:BE,23,FALSE())</f>
        <v>#N/A</v>
      </c>
      <c r="Q1001" s="68" t="e">
        <f aca="false">VLOOKUP(A1001,BD_ORDENES!A:BE,52,FALSE())</f>
        <v>#N/A</v>
      </c>
      <c r="R1001" s="68" t="e">
        <f aca="false">VLOOKUP(A1001,BD_ORDENES!A:BE,25,FALSE())</f>
        <v>#N/A</v>
      </c>
      <c r="S1001" s="68" t="e">
        <f aca="false">VLOOKUP(A1001,BD_ORDENES!A:BE,22,FALSE())</f>
        <v>#N/A</v>
      </c>
      <c r="T1001" s="65" t="e">
        <f aca="false">VLOOKUP(A1001,BD_ORDENES!A:BE,55,FALSE())</f>
        <v>#N/A</v>
      </c>
      <c r="U1001" s="68" t="e">
        <f aca="false">VLOOKUP(A1001,BD_ORDENES!A:BE,57,FALSE())</f>
        <v>#N/A</v>
      </c>
      <c r="V1001" s="70"/>
    </row>
    <row r="1002" customFormat="false" ht="29.1" hidden="false" customHeight="false" outlineLevel="0" collapsed="false">
      <c r="A1002" s="62" t="n">
        <f aca="false">A1001+1</f>
        <v>995</v>
      </c>
      <c r="B1002" s="63" t="e">
        <f aca="false">VLOOKUP(A1002,BD_ORDENES!A:BG,12,FALSE())</f>
        <v>#N/A</v>
      </c>
      <c r="C1002" s="64" t="n">
        <v>995</v>
      </c>
      <c r="D1002" s="65" t="e">
        <f aca="false">VLOOKUP(A1002,BD_ORDENES!A:BE,10,0)</f>
        <v>#N/A</v>
      </c>
      <c r="E1002" s="66" t="e">
        <f aca="false">VLOOKUP(A1002,BD_ORDENES!A:BG,4,FALSE())</f>
        <v>#N/A</v>
      </c>
      <c r="F1002" s="66" t="e">
        <f aca="false">VLOOKUP(A1002,BD_ORDENES!A:BE,56,FALSE())</f>
        <v>#N/A</v>
      </c>
      <c r="G1002" s="67" t="e">
        <f aca="false">VLOOKUP(A1002,BD_ORDENES!A:BE,13,FALSE())</f>
        <v>#N/A</v>
      </c>
      <c r="H1002" s="68" t="e">
        <f aca="false">VLOOKUP(A1002,BD_ORDENES!A:BE,17,FALSE())</f>
        <v>#N/A</v>
      </c>
      <c r="I1002" s="68" t="e">
        <f aca="false">VLOOKUP(A1002,BD_ORDENES!A:BE,18,FALSE())</f>
        <v>#N/A</v>
      </c>
      <c r="J1002" s="68" t="e">
        <f aca="false">VLOOKUP(A1002,BD_ORDENES!A:BE,19,FALSE())</f>
        <v>#N/A</v>
      </c>
      <c r="K1002" s="68" t="e">
        <f aca="false">VLOOKUP(A1002,BD_ORDENES!A:BE,20,FALSE())</f>
        <v>#N/A</v>
      </c>
      <c r="L1002" s="68" t="e">
        <f aca="false">VLOOKUP(A1002,BD_ORDENES!A:BE,21,FALSE())</f>
        <v>#N/A</v>
      </c>
      <c r="M1002" s="69" t="e">
        <f aca="false">VLOOKUP(A1002,BD_ORDENES!A:BE,14,FALSE())</f>
        <v>#N/A</v>
      </c>
      <c r="N1002" s="68" t="e">
        <f aca="false">VLOOKUP(A1002,BD_ORDENES!A:BE,15,FALSE())</f>
        <v>#N/A</v>
      </c>
      <c r="O1002" s="68" t="e">
        <f aca="false">VLOOKUP(A1002,BD_ORDENES!A:BE,33,FALSE())</f>
        <v>#N/A</v>
      </c>
      <c r="P1002" s="68" t="e">
        <f aca="false">VLOOKUP(A1002,BD_ORDENES!A:BE,23,FALSE())</f>
        <v>#N/A</v>
      </c>
      <c r="Q1002" s="68" t="e">
        <f aca="false">VLOOKUP(A1002,BD_ORDENES!A:BE,52,FALSE())</f>
        <v>#N/A</v>
      </c>
      <c r="R1002" s="68" t="e">
        <f aca="false">VLOOKUP(A1002,BD_ORDENES!A:BE,25,FALSE())</f>
        <v>#N/A</v>
      </c>
      <c r="S1002" s="68" t="e">
        <f aca="false">VLOOKUP(A1002,BD_ORDENES!A:BE,22,FALSE())</f>
        <v>#N/A</v>
      </c>
      <c r="T1002" s="65" t="e">
        <f aca="false">VLOOKUP(A1002,BD_ORDENES!A:BE,55,FALSE())</f>
        <v>#N/A</v>
      </c>
      <c r="U1002" s="68" t="e">
        <f aca="false">VLOOKUP(A1002,BD_ORDENES!A:BE,57,FALSE())</f>
        <v>#N/A</v>
      </c>
      <c r="V1002" s="70"/>
    </row>
    <row r="1003" customFormat="false" ht="29.1" hidden="false" customHeight="false" outlineLevel="0" collapsed="false">
      <c r="A1003" s="62" t="n">
        <f aca="false">A1002+1</f>
        <v>996</v>
      </c>
      <c r="B1003" s="63" t="e">
        <f aca="false">VLOOKUP(A1003,BD_ORDENES!A:BG,12,FALSE())</f>
        <v>#N/A</v>
      </c>
      <c r="C1003" s="64" t="n">
        <v>996</v>
      </c>
      <c r="D1003" s="65" t="e">
        <f aca="false">VLOOKUP(A1003,BD_ORDENES!A:BE,10,0)</f>
        <v>#N/A</v>
      </c>
      <c r="E1003" s="66" t="e">
        <f aca="false">VLOOKUP(A1003,BD_ORDENES!A:BG,4,FALSE())</f>
        <v>#N/A</v>
      </c>
      <c r="F1003" s="66" t="e">
        <f aca="false">VLOOKUP(A1003,BD_ORDENES!A:BE,56,FALSE())</f>
        <v>#N/A</v>
      </c>
      <c r="G1003" s="67" t="e">
        <f aca="false">VLOOKUP(A1003,BD_ORDENES!A:BE,13,FALSE())</f>
        <v>#N/A</v>
      </c>
      <c r="H1003" s="68" t="e">
        <f aca="false">VLOOKUP(A1003,BD_ORDENES!A:BE,17,FALSE())</f>
        <v>#N/A</v>
      </c>
      <c r="I1003" s="68" t="e">
        <f aca="false">VLOOKUP(A1003,BD_ORDENES!A:BE,18,FALSE())</f>
        <v>#N/A</v>
      </c>
      <c r="J1003" s="68" t="e">
        <f aca="false">VLOOKUP(A1003,BD_ORDENES!A:BE,19,FALSE())</f>
        <v>#N/A</v>
      </c>
      <c r="K1003" s="68" t="e">
        <f aca="false">VLOOKUP(A1003,BD_ORDENES!A:BE,20,FALSE())</f>
        <v>#N/A</v>
      </c>
      <c r="L1003" s="68" t="e">
        <f aca="false">VLOOKUP(A1003,BD_ORDENES!A:BE,21,FALSE())</f>
        <v>#N/A</v>
      </c>
      <c r="M1003" s="69" t="e">
        <f aca="false">VLOOKUP(A1003,BD_ORDENES!A:BE,14,FALSE())</f>
        <v>#N/A</v>
      </c>
      <c r="N1003" s="68" t="e">
        <f aca="false">VLOOKUP(A1003,BD_ORDENES!A:BE,15,FALSE())</f>
        <v>#N/A</v>
      </c>
      <c r="O1003" s="68" t="e">
        <f aca="false">VLOOKUP(A1003,BD_ORDENES!A:BE,33,FALSE())</f>
        <v>#N/A</v>
      </c>
      <c r="P1003" s="68" t="e">
        <f aca="false">VLOOKUP(A1003,BD_ORDENES!A:BE,23,FALSE())</f>
        <v>#N/A</v>
      </c>
      <c r="Q1003" s="68" t="e">
        <f aca="false">VLOOKUP(A1003,BD_ORDENES!A:BE,52,FALSE())</f>
        <v>#N/A</v>
      </c>
      <c r="R1003" s="68" t="e">
        <f aca="false">VLOOKUP(A1003,BD_ORDENES!A:BE,25,FALSE())</f>
        <v>#N/A</v>
      </c>
      <c r="S1003" s="68" t="e">
        <f aca="false">VLOOKUP(A1003,BD_ORDENES!A:BE,22,FALSE())</f>
        <v>#N/A</v>
      </c>
      <c r="T1003" s="65" t="e">
        <f aca="false">VLOOKUP(A1003,BD_ORDENES!A:BE,55,FALSE())</f>
        <v>#N/A</v>
      </c>
      <c r="U1003" s="68" t="e">
        <f aca="false">VLOOKUP(A1003,BD_ORDENES!A:BE,57,FALSE())</f>
        <v>#N/A</v>
      </c>
      <c r="V1003" s="70"/>
    </row>
    <row r="1004" customFormat="false" ht="29.1" hidden="false" customHeight="false" outlineLevel="0" collapsed="false">
      <c r="A1004" s="62" t="n">
        <f aca="false">A1003+1</f>
        <v>997</v>
      </c>
      <c r="B1004" s="63" t="e">
        <f aca="false">VLOOKUP(A1004,BD_ORDENES!A:BG,12,FALSE())</f>
        <v>#N/A</v>
      </c>
      <c r="C1004" s="64" t="n">
        <v>997</v>
      </c>
      <c r="D1004" s="65" t="e">
        <f aca="false">VLOOKUP(A1004,BD_ORDENES!A:BE,10,0)</f>
        <v>#N/A</v>
      </c>
      <c r="E1004" s="66" t="e">
        <f aca="false">VLOOKUP(A1004,BD_ORDENES!A:BG,4,FALSE())</f>
        <v>#N/A</v>
      </c>
      <c r="F1004" s="66" t="e">
        <f aca="false">VLOOKUP(A1004,BD_ORDENES!A:BE,56,FALSE())</f>
        <v>#N/A</v>
      </c>
      <c r="G1004" s="67" t="e">
        <f aca="false">VLOOKUP(A1004,BD_ORDENES!A:BE,13,FALSE())</f>
        <v>#N/A</v>
      </c>
      <c r="H1004" s="68" t="e">
        <f aca="false">VLOOKUP(A1004,BD_ORDENES!A:BE,17,FALSE())</f>
        <v>#N/A</v>
      </c>
      <c r="I1004" s="68" t="e">
        <f aca="false">VLOOKUP(A1004,BD_ORDENES!A:BE,18,FALSE())</f>
        <v>#N/A</v>
      </c>
      <c r="J1004" s="68" t="e">
        <f aca="false">VLOOKUP(A1004,BD_ORDENES!A:BE,19,FALSE())</f>
        <v>#N/A</v>
      </c>
      <c r="K1004" s="68" t="e">
        <f aca="false">VLOOKUP(A1004,BD_ORDENES!A:BE,20,FALSE())</f>
        <v>#N/A</v>
      </c>
      <c r="L1004" s="68" t="e">
        <f aca="false">VLOOKUP(A1004,BD_ORDENES!A:BE,21,FALSE())</f>
        <v>#N/A</v>
      </c>
      <c r="M1004" s="69" t="e">
        <f aca="false">VLOOKUP(A1004,BD_ORDENES!A:BE,14,FALSE())</f>
        <v>#N/A</v>
      </c>
      <c r="N1004" s="68" t="e">
        <f aca="false">VLOOKUP(A1004,BD_ORDENES!A:BE,15,FALSE())</f>
        <v>#N/A</v>
      </c>
      <c r="O1004" s="68" t="e">
        <f aca="false">VLOOKUP(A1004,BD_ORDENES!A:BE,33,FALSE())</f>
        <v>#N/A</v>
      </c>
      <c r="P1004" s="68" t="e">
        <f aca="false">VLOOKUP(A1004,BD_ORDENES!A:BE,23,FALSE())</f>
        <v>#N/A</v>
      </c>
      <c r="Q1004" s="68" t="e">
        <f aca="false">VLOOKUP(A1004,BD_ORDENES!A:BE,52,FALSE())</f>
        <v>#N/A</v>
      </c>
      <c r="R1004" s="68" t="e">
        <f aca="false">VLOOKUP(A1004,BD_ORDENES!A:BE,25,FALSE())</f>
        <v>#N/A</v>
      </c>
      <c r="S1004" s="68" t="e">
        <f aca="false">VLOOKUP(A1004,BD_ORDENES!A:BE,22,FALSE())</f>
        <v>#N/A</v>
      </c>
      <c r="T1004" s="65" t="e">
        <f aca="false">VLOOKUP(A1004,BD_ORDENES!A:BE,55,FALSE())</f>
        <v>#N/A</v>
      </c>
      <c r="U1004" s="68" t="e">
        <f aca="false">VLOOKUP(A1004,BD_ORDENES!A:BE,57,FALSE())</f>
        <v>#N/A</v>
      </c>
      <c r="V1004" s="70"/>
    </row>
    <row r="1005" customFormat="false" ht="29.1" hidden="false" customHeight="false" outlineLevel="0" collapsed="false">
      <c r="A1005" s="62" t="n">
        <f aca="false">A1004+1</f>
        <v>998</v>
      </c>
      <c r="B1005" s="63" t="e">
        <f aca="false">VLOOKUP(A1005,BD_ORDENES!A:BG,12,FALSE())</f>
        <v>#N/A</v>
      </c>
      <c r="C1005" s="64" t="n">
        <v>998</v>
      </c>
      <c r="D1005" s="65" t="e">
        <f aca="false">VLOOKUP(A1005,BD_ORDENES!A:BE,10,0)</f>
        <v>#N/A</v>
      </c>
      <c r="E1005" s="66" t="e">
        <f aca="false">VLOOKUP(A1005,BD_ORDENES!A:BG,4,FALSE())</f>
        <v>#N/A</v>
      </c>
      <c r="F1005" s="66" t="e">
        <f aca="false">VLOOKUP(A1005,BD_ORDENES!A:BE,56,FALSE())</f>
        <v>#N/A</v>
      </c>
      <c r="G1005" s="67" t="e">
        <f aca="false">VLOOKUP(A1005,BD_ORDENES!A:BE,13,FALSE())</f>
        <v>#N/A</v>
      </c>
      <c r="H1005" s="68" t="e">
        <f aca="false">VLOOKUP(A1005,BD_ORDENES!A:BE,17,FALSE())</f>
        <v>#N/A</v>
      </c>
      <c r="I1005" s="68" t="e">
        <f aca="false">VLOOKUP(A1005,BD_ORDENES!A:BE,18,FALSE())</f>
        <v>#N/A</v>
      </c>
      <c r="J1005" s="68" t="e">
        <f aca="false">VLOOKUP(A1005,BD_ORDENES!A:BE,19,FALSE())</f>
        <v>#N/A</v>
      </c>
      <c r="K1005" s="68" t="e">
        <f aca="false">VLOOKUP(A1005,BD_ORDENES!A:BE,20,FALSE())</f>
        <v>#N/A</v>
      </c>
      <c r="L1005" s="68" t="e">
        <f aca="false">VLOOKUP(A1005,BD_ORDENES!A:BE,21,FALSE())</f>
        <v>#N/A</v>
      </c>
      <c r="M1005" s="69" t="e">
        <f aca="false">VLOOKUP(A1005,BD_ORDENES!A:BE,14,FALSE())</f>
        <v>#N/A</v>
      </c>
      <c r="N1005" s="68" t="e">
        <f aca="false">VLOOKUP(A1005,BD_ORDENES!A:BE,15,FALSE())</f>
        <v>#N/A</v>
      </c>
      <c r="O1005" s="68" t="e">
        <f aca="false">VLOOKUP(A1005,BD_ORDENES!A:BE,33,FALSE())</f>
        <v>#N/A</v>
      </c>
      <c r="P1005" s="68" t="e">
        <f aca="false">VLOOKUP(A1005,BD_ORDENES!A:BE,23,FALSE())</f>
        <v>#N/A</v>
      </c>
      <c r="Q1005" s="68" t="e">
        <f aca="false">VLOOKUP(A1005,BD_ORDENES!A:BE,52,FALSE())</f>
        <v>#N/A</v>
      </c>
      <c r="R1005" s="68" t="e">
        <f aca="false">VLOOKUP(A1005,BD_ORDENES!A:BE,25,FALSE())</f>
        <v>#N/A</v>
      </c>
      <c r="S1005" s="68" t="e">
        <f aca="false">VLOOKUP(A1005,BD_ORDENES!A:BE,22,FALSE())</f>
        <v>#N/A</v>
      </c>
      <c r="T1005" s="65" t="e">
        <f aca="false">VLOOKUP(A1005,BD_ORDENES!A:BE,55,FALSE())</f>
        <v>#N/A</v>
      </c>
      <c r="U1005" s="68" t="e">
        <f aca="false">VLOOKUP(A1005,BD_ORDENES!A:BE,57,FALSE())</f>
        <v>#N/A</v>
      </c>
      <c r="V1005" s="70"/>
    </row>
    <row r="1006" customFormat="false" ht="29.1" hidden="false" customHeight="false" outlineLevel="0" collapsed="false">
      <c r="A1006" s="62" t="n">
        <f aca="false">A1005+1</f>
        <v>999</v>
      </c>
      <c r="B1006" s="63" t="e">
        <f aca="false">VLOOKUP(A1006,BD_ORDENES!A:BG,12,FALSE())</f>
        <v>#N/A</v>
      </c>
      <c r="C1006" s="64" t="n">
        <v>999</v>
      </c>
      <c r="D1006" s="65" t="e">
        <f aca="false">VLOOKUP(A1006,BD_ORDENES!A:BE,10,0)</f>
        <v>#N/A</v>
      </c>
      <c r="E1006" s="66" t="e">
        <f aca="false">VLOOKUP(A1006,BD_ORDENES!A:BG,4,FALSE())</f>
        <v>#N/A</v>
      </c>
      <c r="F1006" s="66" t="e">
        <f aca="false">VLOOKUP(A1006,BD_ORDENES!A:BE,56,FALSE())</f>
        <v>#N/A</v>
      </c>
      <c r="G1006" s="67" t="e">
        <f aca="false">VLOOKUP(A1006,BD_ORDENES!A:BE,13,FALSE())</f>
        <v>#N/A</v>
      </c>
      <c r="H1006" s="68" t="e">
        <f aca="false">VLOOKUP(A1006,BD_ORDENES!A:BE,17,FALSE())</f>
        <v>#N/A</v>
      </c>
      <c r="I1006" s="68" t="e">
        <f aca="false">VLOOKUP(A1006,BD_ORDENES!A:BE,18,FALSE())</f>
        <v>#N/A</v>
      </c>
      <c r="J1006" s="68" t="e">
        <f aca="false">VLOOKUP(A1006,BD_ORDENES!A:BE,19,FALSE())</f>
        <v>#N/A</v>
      </c>
      <c r="K1006" s="68" t="e">
        <f aca="false">VLOOKUP(A1006,BD_ORDENES!A:BE,20,FALSE())</f>
        <v>#N/A</v>
      </c>
      <c r="L1006" s="68" t="e">
        <f aca="false">VLOOKUP(A1006,BD_ORDENES!A:BE,21,FALSE())</f>
        <v>#N/A</v>
      </c>
      <c r="M1006" s="69" t="e">
        <f aca="false">VLOOKUP(A1006,BD_ORDENES!A:BE,14,FALSE())</f>
        <v>#N/A</v>
      </c>
      <c r="N1006" s="68" t="e">
        <f aca="false">VLOOKUP(A1006,BD_ORDENES!A:BE,15,FALSE())</f>
        <v>#N/A</v>
      </c>
      <c r="O1006" s="68" t="e">
        <f aca="false">VLOOKUP(A1006,BD_ORDENES!A:BE,33,FALSE())</f>
        <v>#N/A</v>
      </c>
      <c r="P1006" s="68" t="e">
        <f aca="false">VLOOKUP(A1006,BD_ORDENES!A:BE,23,FALSE())</f>
        <v>#N/A</v>
      </c>
      <c r="Q1006" s="68" t="e">
        <f aca="false">VLOOKUP(A1006,BD_ORDENES!A:BE,52,FALSE())</f>
        <v>#N/A</v>
      </c>
      <c r="R1006" s="68" t="e">
        <f aca="false">VLOOKUP(A1006,BD_ORDENES!A:BE,25,FALSE())</f>
        <v>#N/A</v>
      </c>
      <c r="S1006" s="68" t="e">
        <f aca="false">VLOOKUP(A1006,BD_ORDENES!A:BE,22,FALSE())</f>
        <v>#N/A</v>
      </c>
      <c r="T1006" s="65" t="e">
        <f aca="false">VLOOKUP(A1006,BD_ORDENES!A:BE,55,FALSE())</f>
        <v>#N/A</v>
      </c>
      <c r="U1006" s="68" t="e">
        <f aca="false">VLOOKUP(A1006,BD_ORDENES!A:BE,57,FALSE())</f>
        <v>#N/A</v>
      </c>
      <c r="V1006" s="70"/>
    </row>
    <row r="1007" customFormat="false" ht="29.1" hidden="false" customHeight="false" outlineLevel="0" collapsed="false">
      <c r="A1007" s="62" t="n">
        <f aca="false">A1006+1</f>
        <v>1000</v>
      </c>
      <c r="B1007" s="63" t="e">
        <f aca="false">VLOOKUP(A1007,BD_ORDENES!A:BG,12,FALSE())</f>
        <v>#N/A</v>
      </c>
      <c r="C1007" s="64" t="n">
        <v>1000</v>
      </c>
      <c r="D1007" s="65" t="e">
        <f aca="false">VLOOKUP(A1007,BD_ORDENES!A:BE,10,0)</f>
        <v>#N/A</v>
      </c>
      <c r="E1007" s="66" t="e">
        <f aca="false">VLOOKUP(A1007,BD_ORDENES!A:BG,4,FALSE())</f>
        <v>#N/A</v>
      </c>
      <c r="F1007" s="66" t="e">
        <f aca="false">VLOOKUP(A1007,BD_ORDENES!A:BE,56,FALSE())</f>
        <v>#N/A</v>
      </c>
      <c r="G1007" s="67" t="e">
        <f aca="false">VLOOKUP(A1007,BD_ORDENES!A:BE,13,FALSE())</f>
        <v>#N/A</v>
      </c>
      <c r="H1007" s="68" t="e">
        <f aca="false">VLOOKUP(A1007,BD_ORDENES!A:BE,17,FALSE())</f>
        <v>#N/A</v>
      </c>
      <c r="I1007" s="68" t="e">
        <f aca="false">VLOOKUP(A1007,BD_ORDENES!A:BE,18,FALSE())</f>
        <v>#N/A</v>
      </c>
      <c r="J1007" s="68" t="e">
        <f aca="false">VLOOKUP(A1007,BD_ORDENES!A:BE,19,FALSE())</f>
        <v>#N/A</v>
      </c>
      <c r="K1007" s="68" t="e">
        <f aca="false">VLOOKUP(A1007,BD_ORDENES!A:BE,20,FALSE())</f>
        <v>#N/A</v>
      </c>
      <c r="L1007" s="68" t="e">
        <f aca="false">VLOOKUP(A1007,BD_ORDENES!A:BE,21,FALSE())</f>
        <v>#N/A</v>
      </c>
      <c r="M1007" s="69" t="e">
        <f aca="false">VLOOKUP(A1007,BD_ORDENES!A:BE,14,FALSE())</f>
        <v>#N/A</v>
      </c>
      <c r="N1007" s="68" t="e">
        <f aca="false">VLOOKUP(A1007,BD_ORDENES!A:BE,15,FALSE())</f>
        <v>#N/A</v>
      </c>
      <c r="O1007" s="68" t="e">
        <f aca="false">VLOOKUP(A1007,BD_ORDENES!A:BE,33,FALSE())</f>
        <v>#N/A</v>
      </c>
      <c r="P1007" s="68" t="e">
        <f aca="false">VLOOKUP(A1007,BD_ORDENES!A:BE,23,FALSE())</f>
        <v>#N/A</v>
      </c>
      <c r="Q1007" s="68" t="e">
        <f aca="false">VLOOKUP(A1007,BD_ORDENES!A:BE,52,FALSE())</f>
        <v>#N/A</v>
      </c>
      <c r="R1007" s="68" t="e">
        <f aca="false">VLOOKUP(A1007,BD_ORDENES!A:BE,25,FALSE())</f>
        <v>#N/A</v>
      </c>
      <c r="S1007" s="68" t="e">
        <f aca="false">VLOOKUP(A1007,BD_ORDENES!A:BE,22,FALSE())</f>
        <v>#N/A</v>
      </c>
      <c r="T1007" s="65" t="e">
        <f aca="false">VLOOKUP(A1007,BD_ORDENES!A:BE,55,FALSE())</f>
        <v>#N/A</v>
      </c>
      <c r="U1007" s="68" t="e">
        <f aca="false">VLOOKUP(A1007,BD_ORDENES!A:BE,57,FALSE())</f>
        <v>#N/A</v>
      </c>
      <c r="V1007" s="70"/>
    </row>
    <row r="1008" customFormat="false" ht="29.1" hidden="false" customHeight="false" outlineLevel="0" collapsed="false">
      <c r="A1008" s="62" t="n">
        <f aca="false">A1007+1</f>
        <v>1001</v>
      </c>
      <c r="B1008" s="63" t="e">
        <f aca="false">VLOOKUP(A1008,BD_ORDENES!A:BG,12,FALSE())</f>
        <v>#N/A</v>
      </c>
      <c r="C1008" s="64" t="n">
        <v>1001</v>
      </c>
      <c r="D1008" s="65" t="e">
        <f aca="false">VLOOKUP(A1008,BD_ORDENES!A:BE,10,0)</f>
        <v>#N/A</v>
      </c>
      <c r="E1008" s="66" t="e">
        <f aca="false">VLOOKUP(A1008,BD_ORDENES!A:BG,4,FALSE())</f>
        <v>#N/A</v>
      </c>
      <c r="F1008" s="66" t="e">
        <f aca="false">VLOOKUP(A1008,BD_ORDENES!A:BE,56,FALSE())</f>
        <v>#N/A</v>
      </c>
      <c r="G1008" s="67" t="e">
        <f aca="false">VLOOKUP(A1008,BD_ORDENES!A:BE,13,FALSE())</f>
        <v>#N/A</v>
      </c>
      <c r="H1008" s="68" t="e">
        <f aca="false">VLOOKUP(A1008,BD_ORDENES!A:BE,17,FALSE())</f>
        <v>#N/A</v>
      </c>
      <c r="I1008" s="68" t="e">
        <f aca="false">VLOOKUP(A1008,BD_ORDENES!A:BE,18,FALSE())</f>
        <v>#N/A</v>
      </c>
      <c r="J1008" s="68" t="e">
        <f aca="false">VLOOKUP(A1008,BD_ORDENES!A:BE,19,FALSE())</f>
        <v>#N/A</v>
      </c>
      <c r="K1008" s="68" t="e">
        <f aca="false">VLOOKUP(A1008,BD_ORDENES!A:BE,20,FALSE())</f>
        <v>#N/A</v>
      </c>
      <c r="L1008" s="68" t="e">
        <f aca="false">VLOOKUP(A1008,BD_ORDENES!A:BE,21,FALSE())</f>
        <v>#N/A</v>
      </c>
      <c r="M1008" s="69" t="e">
        <f aca="false">VLOOKUP(A1008,BD_ORDENES!A:BE,14,FALSE())</f>
        <v>#N/A</v>
      </c>
      <c r="N1008" s="68" t="e">
        <f aca="false">VLOOKUP(A1008,BD_ORDENES!A:BE,15,FALSE())</f>
        <v>#N/A</v>
      </c>
      <c r="O1008" s="68" t="e">
        <f aca="false">VLOOKUP(A1008,BD_ORDENES!A:BE,33,FALSE())</f>
        <v>#N/A</v>
      </c>
      <c r="P1008" s="68" t="e">
        <f aca="false">VLOOKUP(A1008,BD_ORDENES!A:BE,23,FALSE())</f>
        <v>#N/A</v>
      </c>
      <c r="Q1008" s="68" t="e">
        <f aca="false">VLOOKUP(A1008,BD_ORDENES!A:BE,52,FALSE())</f>
        <v>#N/A</v>
      </c>
      <c r="R1008" s="68" t="e">
        <f aca="false">VLOOKUP(A1008,BD_ORDENES!A:BE,25,FALSE())</f>
        <v>#N/A</v>
      </c>
      <c r="S1008" s="68" t="e">
        <f aca="false">VLOOKUP(A1008,BD_ORDENES!A:BE,22,FALSE())</f>
        <v>#N/A</v>
      </c>
      <c r="T1008" s="65" t="e">
        <f aca="false">VLOOKUP(A1008,BD_ORDENES!A:BE,55,FALSE())</f>
        <v>#N/A</v>
      </c>
      <c r="U1008" s="68" t="e">
        <f aca="false">VLOOKUP(A1008,BD_ORDENES!A:BE,57,FALSE())</f>
        <v>#N/A</v>
      </c>
      <c r="V1008" s="70"/>
    </row>
    <row r="1009" customFormat="false" ht="29.1" hidden="false" customHeight="false" outlineLevel="0" collapsed="false">
      <c r="A1009" s="62" t="n">
        <f aca="false">A1008+1</f>
        <v>1002</v>
      </c>
      <c r="B1009" s="63" t="e">
        <f aca="false">VLOOKUP(A1009,BD_ORDENES!A:BG,12,FALSE())</f>
        <v>#N/A</v>
      </c>
      <c r="C1009" s="64" t="n">
        <v>1002</v>
      </c>
      <c r="D1009" s="65" t="e">
        <f aca="false">VLOOKUP(A1009,BD_ORDENES!A:BE,10,0)</f>
        <v>#N/A</v>
      </c>
      <c r="E1009" s="66" t="e">
        <f aca="false">VLOOKUP(A1009,BD_ORDENES!A:BG,4,FALSE())</f>
        <v>#N/A</v>
      </c>
      <c r="F1009" s="66" t="e">
        <f aca="false">VLOOKUP(A1009,BD_ORDENES!A:BE,56,FALSE())</f>
        <v>#N/A</v>
      </c>
      <c r="G1009" s="67" t="e">
        <f aca="false">VLOOKUP(A1009,BD_ORDENES!A:BE,13,FALSE())</f>
        <v>#N/A</v>
      </c>
      <c r="H1009" s="68" t="e">
        <f aca="false">VLOOKUP(A1009,BD_ORDENES!A:BE,17,FALSE())</f>
        <v>#N/A</v>
      </c>
      <c r="I1009" s="68" t="e">
        <f aca="false">VLOOKUP(A1009,BD_ORDENES!A:BE,18,FALSE())</f>
        <v>#N/A</v>
      </c>
      <c r="J1009" s="68" t="e">
        <f aca="false">VLOOKUP(A1009,BD_ORDENES!A:BE,19,FALSE())</f>
        <v>#N/A</v>
      </c>
      <c r="K1009" s="68" t="e">
        <f aca="false">VLOOKUP(A1009,BD_ORDENES!A:BE,20,FALSE())</f>
        <v>#N/A</v>
      </c>
      <c r="L1009" s="68" t="e">
        <f aca="false">VLOOKUP(A1009,BD_ORDENES!A:BE,21,FALSE())</f>
        <v>#N/A</v>
      </c>
      <c r="M1009" s="69" t="e">
        <f aca="false">VLOOKUP(A1009,BD_ORDENES!A:BE,14,FALSE())</f>
        <v>#N/A</v>
      </c>
      <c r="N1009" s="68" t="e">
        <f aca="false">VLOOKUP(A1009,BD_ORDENES!A:BE,15,FALSE())</f>
        <v>#N/A</v>
      </c>
      <c r="O1009" s="68" t="e">
        <f aca="false">VLOOKUP(A1009,BD_ORDENES!A:BE,33,FALSE())</f>
        <v>#N/A</v>
      </c>
      <c r="P1009" s="68" t="e">
        <f aca="false">VLOOKUP(A1009,BD_ORDENES!A:BE,23,FALSE())</f>
        <v>#N/A</v>
      </c>
      <c r="Q1009" s="68" t="e">
        <f aca="false">VLOOKUP(A1009,BD_ORDENES!A:BE,52,FALSE())</f>
        <v>#N/A</v>
      </c>
      <c r="R1009" s="68" t="e">
        <f aca="false">VLOOKUP(A1009,BD_ORDENES!A:BE,25,FALSE())</f>
        <v>#N/A</v>
      </c>
      <c r="S1009" s="68" t="e">
        <f aca="false">VLOOKUP(A1009,BD_ORDENES!A:BE,22,FALSE())</f>
        <v>#N/A</v>
      </c>
      <c r="T1009" s="65" t="e">
        <f aca="false">VLOOKUP(A1009,BD_ORDENES!A:BE,55,FALSE())</f>
        <v>#N/A</v>
      </c>
      <c r="U1009" s="68" t="e">
        <f aca="false">VLOOKUP(A1009,BD_ORDENES!A:BE,57,FALSE())</f>
        <v>#N/A</v>
      </c>
      <c r="V1009" s="70"/>
    </row>
    <row r="1010" customFormat="false" ht="29.1" hidden="false" customHeight="false" outlineLevel="0" collapsed="false">
      <c r="A1010" s="62" t="n">
        <f aca="false">A1009+1</f>
        <v>1003</v>
      </c>
      <c r="B1010" s="63" t="e">
        <f aca="false">VLOOKUP(A1010,BD_ORDENES!A:BG,12,FALSE())</f>
        <v>#N/A</v>
      </c>
      <c r="C1010" s="64" t="n">
        <v>1003</v>
      </c>
      <c r="D1010" s="65" t="e">
        <f aca="false">VLOOKUP(A1010,BD_ORDENES!A:BE,10,0)</f>
        <v>#N/A</v>
      </c>
      <c r="E1010" s="66" t="e">
        <f aca="false">VLOOKUP(A1010,BD_ORDENES!A:BG,4,FALSE())</f>
        <v>#N/A</v>
      </c>
      <c r="F1010" s="66" t="e">
        <f aca="false">VLOOKUP(A1010,BD_ORDENES!A:BE,56,FALSE())</f>
        <v>#N/A</v>
      </c>
      <c r="G1010" s="67" t="e">
        <f aca="false">VLOOKUP(A1010,BD_ORDENES!A:BE,13,FALSE())</f>
        <v>#N/A</v>
      </c>
      <c r="H1010" s="68" t="e">
        <f aca="false">VLOOKUP(A1010,BD_ORDENES!A:BE,17,FALSE())</f>
        <v>#N/A</v>
      </c>
      <c r="I1010" s="68" t="e">
        <f aca="false">VLOOKUP(A1010,BD_ORDENES!A:BE,18,FALSE())</f>
        <v>#N/A</v>
      </c>
      <c r="J1010" s="68" t="e">
        <f aca="false">VLOOKUP(A1010,BD_ORDENES!A:BE,19,FALSE())</f>
        <v>#N/A</v>
      </c>
      <c r="K1010" s="68" t="e">
        <f aca="false">VLOOKUP(A1010,BD_ORDENES!A:BE,20,FALSE())</f>
        <v>#N/A</v>
      </c>
      <c r="L1010" s="68" t="e">
        <f aca="false">VLOOKUP(A1010,BD_ORDENES!A:BE,21,FALSE())</f>
        <v>#N/A</v>
      </c>
      <c r="M1010" s="69" t="e">
        <f aca="false">VLOOKUP(A1010,BD_ORDENES!A:BE,14,FALSE())</f>
        <v>#N/A</v>
      </c>
      <c r="N1010" s="68" t="e">
        <f aca="false">VLOOKUP(A1010,BD_ORDENES!A:BE,15,FALSE())</f>
        <v>#N/A</v>
      </c>
      <c r="O1010" s="68" t="e">
        <f aca="false">VLOOKUP(A1010,BD_ORDENES!A:BE,33,FALSE())</f>
        <v>#N/A</v>
      </c>
      <c r="P1010" s="68" t="e">
        <f aca="false">VLOOKUP(A1010,BD_ORDENES!A:BE,23,FALSE())</f>
        <v>#N/A</v>
      </c>
      <c r="Q1010" s="68" t="e">
        <f aca="false">VLOOKUP(A1010,BD_ORDENES!A:BE,52,FALSE())</f>
        <v>#N/A</v>
      </c>
      <c r="R1010" s="68" t="e">
        <f aca="false">VLOOKUP(A1010,BD_ORDENES!A:BE,25,FALSE())</f>
        <v>#N/A</v>
      </c>
      <c r="S1010" s="68" t="e">
        <f aca="false">VLOOKUP(A1010,BD_ORDENES!A:BE,22,FALSE())</f>
        <v>#N/A</v>
      </c>
      <c r="T1010" s="65" t="e">
        <f aca="false">VLOOKUP(A1010,BD_ORDENES!A:BE,55,FALSE())</f>
        <v>#N/A</v>
      </c>
      <c r="U1010" s="68" t="e">
        <f aca="false">VLOOKUP(A1010,BD_ORDENES!A:BE,57,FALSE())</f>
        <v>#N/A</v>
      </c>
      <c r="V1010" s="70"/>
    </row>
    <row r="1011" customFormat="false" ht="29.1" hidden="false" customHeight="false" outlineLevel="0" collapsed="false">
      <c r="A1011" s="62" t="n">
        <f aca="false">A1010+1</f>
        <v>1004</v>
      </c>
      <c r="B1011" s="63" t="e">
        <f aca="false">VLOOKUP(A1011,BD_ORDENES!A:BG,12,FALSE())</f>
        <v>#N/A</v>
      </c>
      <c r="C1011" s="64" t="n">
        <v>1004</v>
      </c>
      <c r="D1011" s="65" t="e">
        <f aca="false">VLOOKUP(A1011,BD_ORDENES!A:BE,10,0)</f>
        <v>#N/A</v>
      </c>
      <c r="E1011" s="66" t="e">
        <f aca="false">VLOOKUP(A1011,BD_ORDENES!A:BG,4,FALSE())</f>
        <v>#N/A</v>
      </c>
      <c r="F1011" s="66" t="e">
        <f aca="false">VLOOKUP(A1011,BD_ORDENES!A:BE,56,FALSE())</f>
        <v>#N/A</v>
      </c>
      <c r="G1011" s="67" t="e">
        <f aca="false">VLOOKUP(A1011,BD_ORDENES!A:BE,13,FALSE())</f>
        <v>#N/A</v>
      </c>
      <c r="H1011" s="68" t="e">
        <f aca="false">VLOOKUP(A1011,BD_ORDENES!A:BE,17,FALSE())</f>
        <v>#N/A</v>
      </c>
      <c r="I1011" s="68" t="e">
        <f aca="false">VLOOKUP(A1011,BD_ORDENES!A:BE,18,FALSE())</f>
        <v>#N/A</v>
      </c>
      <c r="J1011" s="68" t="e">
        <f aca="false">VLOOKUP(A1011,BD_ORDENES!A:BE,19,FALSE())</f>
        <v>#N/A</v>
      </c>
      <c r="K1011" s="68" t="e">
        <f aca="false">VLOOKUP(A1011,BD_ORDENES!A:BE,20,FALSE())</f>
        <v>#N/A</v>
      </c>
      <c r="L1011" s="68" t="e">
        <f aca="false">VLOOKUP(A1011,BD_ORDENES!A:BE,21,FALSE())</f>
        <v>#N/A</v>
      </c>
      <c r="M1011" s="69" t="e">
        <f aca="false">VLOOKUP(A1011,BD_ORDENES!A:BE,14,FALSE())</f>
        <v>#N/A</v>
      </c>
      <c r="N1011" s="68" t="e">
        <f aca="false">VLOOKUP(A1011,BD_ORDENES!A:BE,15,FALSE())</f>
        <v>#N/A</v>
      </c>
      <c r="O1011" s="68" t="e">
        <f aca="false">VLOOKUP(A1011,BD_ORDENES!A:BE,33,FALSE())</f>
        <v>#N/A</v>
      </c>
      <c r="P1011" s="68" t="e">
        <f aca="false">VLOOKUP(A1011,BD_ORDENES!A:BE,23,FALSE())</f>
        <v>#N/A</v>
      </c>
      <c r="Q1011" s="68" t="e">
        <f aca="false">VLOOKUP(A1011,BD_ORDENES!A:BE,52,FALSE())</f>
        <v>#N/A</v>
      </c>
      <c r="R1011" s="68" t="e">
        <f aca="false">VLOOKUP(A1011,BD_ORDENES!A:BE,25,FALSE())</f>
        <v>#N/A</v>
      </c>
      <c r="S1011" s="68" t="e">
        <f aca="false">VLOOKUP(A1011,BD_ORDENES!A:BE,22,FALSE())</f>
        <v>#N/A</v>
      </c>
      <c r="T1011" s="65" t="e">
        <f aca="false">VLOOKUP(A1011,BD_ORDENES!A:BE,55,FALSE())</f>
        <v>#N/A</v>
      </c>
      <c r="U1011" s="68" t="e">
        <f aca="false">VLOOKUP(A1011,BD_ORDENES!A:BE,57,FALSE())</f>
        <v>#N/A</v>
      </c>
      <c r="V1011" s="70"/>
    </row>
    <row r="1012" customFormat="false" ht="29.1" hidden="false" customHeight="false" outlineLevel="0" collapsed="false">
      <c r="A1012" s="62" t="n">
        <f aca="false">A1011+1</f>
        <v>1005</v>
      </c>
      <c r="B1012" s="63" t="e">
        <f aca="false">VLOOKUP(A1012,BD_ORDENES!A:BG,12,FALSE())</f>
        <v>#N/A</v>
      </c>
      <c r="C1012" s="64" t="n">
        <v>1005</v>
      </c>
      <c r="D1012" s="65" t="e">
        <f aca="false">VLOOKUP(A1012,BD_ORDENES!A:BE,10,0)</f>
        <v>#N/A</v>
      </c>
      <c r="E1012" s="66" t="e">
        <f aca="false">VLOOKUP(A1012,BD_ORDENES!A:BG,4,FALSE())</f>
        <v>#N/A</v>
      </c>
      <c r="F1012" s="66" t="e">
        <f aca="false">VLOOKUP(A1012,BD_ORDENES!A:BE,56,FALSE())</f>
        <v>#N/A</v>
      </c>
      <c r="G1012" s="67" t="e">
        <f aca="false">VLOOKUP(A1012,BD_ORDENES!A:BE,13,FALSE())</f>
        <v>#N/A</v>
      </c>
      <c r="H1012" s="68" t="e">
        <f aca="false">VLOOKUP(A1012,BD_ORDENES!A:BE,17,FALSE())</f>
        <v>#N/A</v>
      </c>
      <c r="I1012" s="68" t="e">
        <f aca="false">VLOOKUP(A1012,BD_ORDENES!A:BE,18,FALSE())</f>
        <v>#N/A</v>
      </c>
      <c r="J1012" s="68" t="e">
        <f aca="false">VLOOKUP(A1012,BD_ORDENES!A:BE,19,FALSE())</f>
        <v>#N/A</v>
      </c>
      <c r="K1012" s="68" t="e">
        <f aca="false">VLOOKUP(A1012,BD_ORDENES!A:BE,20,FALSE())</f>
        <v>#N/A</v>
      </c>
      <c r="L1012" s="68" t="e">
        <f aca="false">VLOOKUP(A1012,BD_ORDENES!A:BE,21,FALSE())</f>
        <v>#N/A</v>
      </c>
      <c r="M1012" s="69" t="e">
        <f aca="false">VLOOKUP(A1012,BD_ORDENES!A:BE,14,FALSE())</f>
        <v>#N/A</v>
      </c>
      <c r="N1012" s="68" t="e">
        <f aca="false">VLOOKUP(A1012,BD_ORDENES!A:BE,15,FALSE())</f>
        <v>#N/A</v>
      </c>
      <c r="O1012" s="68" t="e">
        <f aca="false">VLOOKUP(A1012,BD_ORDENES!A:BE,33,FALSE())</f>
        <v>#N/A</v>
      </c>
      <c r="P1012" s="68" t="e">
        <f aca="false">VLOOKUP(A1012,BD_ORDENES!A:BE,23,FALSE())</f>
        <v>#N/A</v>
      </c>
      <c r="Q1012" s="68" t="e">
        <f aca="false">VLOOKUP(A1012,BD_ORDENES!A:BE,52,FALSE())</f>
        <v>#N/A</v>
      </c>
      <c r="R1012" s="68" t="e">
        <f aca="false">VLOOKUP(A1012,BD_ORDENES!A:BE,25,FALSE())</f>
        <v>#N/A</v>
      </c>
      <c r="S1012" s="68" t="e">
        <f aca="false">VLOOKUP(A1012,BD_ORDENES!A:BE,22,FALSE())</f>
        <v>#N/A</v>
      </c>
      <c r="T1012" s="65" t="e">
        <f aca="false">VLOOKUP(A1012,BD_ORDENES!A:BE,55,FALSE())</f>
        <v>#N/A</v>
      </c>
      <c r="U1012" s="68" t="e">
        <f aca="false">VLOOKUP(A1012,BD_ORDENES!A:BE,57,FALSE())</f>
        <v>#N/A</v>
      </c>
      <c r="V1012" s="70"/>
    </row>
    <row r="1013" customFormat="false" ht="29.1" hidden="false" customHeight="false" outlineLevel="0" collapsed="false">
      <c r="A1013" s="62" t="n">
        <f aca="false">A1012+1</f>
        <v>1006</v>
      </c>
      <c r="B1013" s="63" t="e">
        <f aca="false">VLOOKUP(A1013,BD_ORDENES!A:BG,12,FALSE())</f>
        <v>#N/A</v>
      </c>
      <c r="C1013" s="64" t="n">
        <v>1006</v>
      </c>
      <c r="D1013" s="65" t="e">
        <f aca="false">VLOOKUP(A1013,BD_ORDENES!A:BE,10,0)</f>
        <v>#N/A</v>
      </c>
      <c r="E1013" s="66" t="e">
        <f aca="false">VLOOKUP(A1013,BD_ORDENES!A:BG,4,FALSE())</f>
        <v>#N/A</v>
      </c>
      <c r="F1013" s="66" t="e">
        <f aca="false">VLOOKUP(A1013,BD_ORDENES!A:BE,56,FALSE())</f>
        <v>#N/A</v>
      </c>
      <c r="G1013" s="67" t="e">
        <f aca="false">VLOOKUP(A1013,BD_ORDENES!A:BE,13,FALSE())</f>
        <v>#N/A</v>
      </c>
      <c r="H1013" s="68" t="e">
        <f aca="false">VLOOKUP(A1013,BD_ORDENES!A:BE,17,FALSE())</f>
        <v>#N/A</v>
      </c>
      <c r="I1013" s="68" t="e">
        <f aca="false">VLOOKUP(A1013,BD_ORDENES!A:BE,18,FALSE())</f>
        <v>#N/A</v>
      </c>
      <c r="J1013" s="68" t="e">
        <f aca="false">VLOOKUP(A1013,BD_ORDENES!A:BE,19,FALSE())</f>
        <v>#N/A</v>
      </c>
      <c r="K1013" s="68" t="e">
        <f aca="false">VLOOKUP(A1013,BD_ORDENES!A:BE,20,FALSE())</f>
        <v>#N/A</v>
      </c>
      <c r="L1013" s="68" t="e">
        <f aca="false">VLOOKUP(A1013,BD_ORDENES!A:BE,21,FALSE())</f>
        <v>#N/A</v>
      </c>
      <c r="M1013" s="69" t="e">
        <f aca="false">VLOOKUP(A1013,BD_ORDENES!A:BE,14,FALSE())</f>
        <v>#N/A</v>
      </c>
      <c r="N1013" s="68" t="e">
        <f aca="false">VLOOKUP(A1013,BD_ORDENES!A:BE,15,FALSE())</f>
        <v>#N/A</v>
      </c>
      <c r="O1013" s="68" t="e">
        <f aca="false">VLOOKUP(A1013,BD_ORDENES!A:BE,33,FALSE())</f>
        <v>#N/A</v>
      </c>
      <c r="P1013" s="68" t="e">
        <f aca="false">VLOOKUP(A1013,BD_ORDENES!A:BE,23,FALSE())</f>
        <v>#N/A</v>
      </c>
      <c r="Q1013" s="68" t="e">
        <f aca="false">VLOOKUP(A1013,BD_ORDENES!A:BE,52,FALSE())</f>
        <v>#N/A</v>
      </c>
      <c r="R1013" s="68" t="e">
        <f aca="false">VLOOKUP(A1013,BD_ORDENES!A:BE,25,FALSE())</f>
        <v>#N/A</v>
      </c>
      <c r="S1013" s="68" t="e">
        <f aca="false">VLOOKUP(A1013,BD_ORDENES!A:BE,22,FALSE())</f>
        <v>#N/A</v>
      </c>
      <c r="T1013" s="65" t="e">
        <f aca="false">VLOOKUP(A1013,BD_ORDENES!A:BE,55,FALSE())</f>
        <v>#N/A</v>
      </c>
      <c r="U1013" s="68" t="e">
        <f aca="false">VLOOKUP(A1013,BD_ORDENES!A:BE,57,FALSE())</f>
        <v>#N/A</v>
      </c>
      <c r="V1013" s="70"/>
    </row>
    <row r="1014" customFormat="false" ht="29.1" hidden="false" customHeight="false" outlineLevel="0" collapsed="false">
      <c r="A1014" s="62" t="n">
        <f aca="false">A1013+1</f>
        <v>1007</v>
      </c>
      <c r="B1014" s="63" t="e">
        <f aca="false">VLOOKUP(A1014,BD_ORDENES!A:BG,12,FALSE())</f>
        <v>#N/A</v>
      </c>
      <c r="C1014" s="64" t="n">
        <v>1007</v>
      </c>
      <c r="D1014" s="65" t="e">
        <f aca="false">VLOOKUP(A1014,BD_ORDENES!A:BE,10,0)</f>
        <v>#N/A</v>
      </c>
      <c r="E1014" s="66" t="e">
        <f aca="false">VLOOKUP(A1014,BD_ORDENES!A:BG,4,FALSE())</f>
        <v>#N/A</v>
      </c>
      <c r="F1014" s="66" t="e">
        <f aca="false">VLOOKUP(A1014,BD_ORDENES!A:BE,56,FALSE())</f>
        <v>#N/A</v>
      </c>
      <c r="G1014" s="67" t="e">
        <f aca="false">VLOOKUP(A1014,BD_ORDENES!A:BE,13,FALSE())</f>
        <v>#N/A</v>
      </c>
      <c r="H1014" s="68" t="e">
        <f aca="false">VLOOKUP(A1014,BD_ORDENES!A:BE,17,FALSE())</f>
        <v>#N/A</v>
      </c>
      <c r="I1014" s="68" t="e">
        <f aca="false">VLOOKUP(A1014,BD_ORDENES!A:BE,18,FALSE())</f>
        <v>#N/A</v>
      </c>
      <c r="J1014" s="68" t="e">
        <f aca="false">VLOOKUP(A1014,BD_ORDENES!A:BE,19,FALSE())</f>
        <v>#N/A</v>
      </c>
      <c r="K1014" s="68" t="e">
        <f aca="false">VLOOKUP(A1014,BD_ORDENES!A:BE,20,FALSE())</f>
        <v>#N/A</v>
      </c>
      <c r="L1014" s="68" t="e">
        <f aca="false">VLOOKUP(A1014,BD_ORDENES!A:BE,21,FALSE())</f>
        <v>#N/A</v>
      </c>
      <c r="M1014" s="69" t="e">
        <f aca="false">VLOOKUP(A1014,BD_ORDENES!A:BE,14,FALSE())</f>
        <v>#N/A</v>
      </c>
      <c r="N1014" s="68" t="e">
        <f aca="false">VLOOKUP(A1014,BD_ORDENES!A:BE,15,FALSE())</f>
        <v>#N/A</v>
      </c>
      <c r="O1014" s="68" t="e">
        <f aca="false">VLOOKUP(A1014,BD_ORDENES!A:BE,33,FALSE())</f>
        <v>#N/A</v>
      </c>
      <c r="P1014" s="68" t="e">
        <f aca="false">VLOOKUP(A1014,BD_ORDENES!A:BE,23,FALSE())</f>
        <v>#N/A</v>
      </c>
      <c r="Q1014" s="68" t="e">
        <f aca="false">VLOOKUP(A1014,BD_ORDENES!A:BE,52,FALSE())</f>
        <v>#N/A</v>
      </c>
      <c r="R1014" s="68" t="e">
        <f aca="false">VLOOKUP(A1014,BD_ORDENES!A:BE,25,FALSE())</f>
        <v>#N/A</v>
      </c>
      <c r="S1014" s="68" t="e">
        <f aca="false">VLOOKUP(A1014,BD_ORDENES!A:BE,22,FALSE())</f>
        <v>#N/A</v>
      </c>
      <c r="T1014" s="65" t="e">
        <f aca="false">VLOOKUP(A1014,BD_ORDENES!A:BE,55,FALSE())</f>
        <v>#N/A</v>
      </c>
      <c r="U1014" s="68" t="e">
        <f aca="false">VLOOKUP(A1014,BD_ORDENES!A:BE,57,FALSE())</f>
        <v>#N/A</v>
      </c>
      <c r="V1014" s="70"/>
    </row>
    <row r="1015" customFormat="false" ht="29.1" hidden="false" customHeight="false" outlineLevel="0" collapsed="false">
      <c r="A1015" s="62" t="n">
        <f aca="false">A1014+1</f>
        <v>1008</v>
      </c>
      <c r="B1015" s="63" t="e">
        <f aca="false">VLOOKUP(A1015,BD_ORDENES!A:BG,12,FALSE())</f>
        <v>#N/A</v>
      </c>
      <c r="C1015" s="64" t="n">
        <v>1008</v>
      </c>
      <c r="D1015" s="65" t="e">
        <f aca="false">VLOOKUP(A1015,BD_ORDENES!A:BE,10,0)</f>
        <v>#N/A</v>
      </c>
      <c r="E1015" s="66" t="e">
        <f aca="false">VLOOKUP(A1015,BD_ORDENES!A:BG,4,FALSE())</f>
        <v>#N/A</v>
      </c>
      <c r="F1015" s="66" t="e">
        <f aca="false">VLOOKUP(A1015,BD_ORDENES!A:BE,56,FALSE())</f>
        <v>#N/A</v>
      </c>
      <c r="G1015" s="67" t="e">
        <f aca="false">VLOOKUP(A1015,BD_ORDENES!A:BE,13,FALSE())</f>
        <v>#N/A</v>
      </c>
      <c r="H1015" s="68" t="e">
        <f aca="false">VLOOKUP(A1015,BD_ORDENES!A:BE,17,FALSE())</f>
        <v>#N/A</v>
      </c>
      <c r="I1015" s="68" t="e">
        <f aca="false">VLOOKUP(A1015,BD_ORDENES!A:BE,18,FALSE())</f>
        <v>#N/A</v>
      </c>
      <c r="J1015" s="68" t="e">
        <f aca="false">VLOOKUP(A1015,BD_ORDENES!A:BE,19,FALSE())</f>
        <v>#N/A</v>
      </c>
      <c r="K1015" s="68" t="e">
        <f aca="false">VLOOKUP(A1015,BD_ORDENES!A:BE,20,FALSE())</f>
        <v>#N/A</v>
      </c>
      <c r="L1015" s="68" t="e">
        <f aca="false">VLOOKUP(A1015,BD_ORDENES!A:BE,21,FALSE())</f>
        <v>#N/A</v>
      </c>
      <c r="M1015" s="69" t="e">
        <f aca="false">VLOOKUP(A1015,BD_ORDENES!A:BE,14,FALSE())</f>
        <v>#N/A</v>
      </c>
      <c r="N1015" s="68" t="e">
        <f aca="false">VLOOKUP(A1015,BD_ORDENES!A:BE,15,FALSE())</f>
        <v>#N/A</v>
      </c>
      <c r="O1015" s="68" t="e">
        <f aca="false">VLOOKUP(A1015,BD_ORDENES!A:BE,33,FALSE())</f>
        <v>#N/A</v>
      </c>
      <c r="P1015" s="68" t="e">
        <f aca="false">VLOOKUP(A1015,BD_ORDENES!A:BE,23,FALSE())</f>
        <v>#N/A</v>
      </c>
      <c r="Q1015" s="68" t="e">
        <f aca="false">VLOOKUP(A1015,BD_ORDENES!A:BE,52,FALSE())</f>
        <v>#N/A</v>
      </c>
      <c r="R1015" s="68" t="e">
        <f aca="false">VLOOKUP(A1015,BD_ORDENES!A:BE,25,FALSE())</f>
        <v>#N/A</v>
      </c>
      <c r="S1015" s="68" t="e">
        <f aca="false">VLOOKUP(A1015,BD_ORDENES!A:BE,22,FALSE())</f>
        <v>#N/A</v>
      </c>
      <c r="T1015" s="65" t="e">
        <f aca="false">VLOOKUP(A1015,BD_ORDENES!A:BE,55,FALSE())</f>
        <v>#N/A</v>
      </c>
      <c r="U1015" s="68" t="e">
        <f aca="false">VLOOKUP(A1015,BD_ORDENES!A:BE,57,FALSE())</f>
        <v>#N/A</v>
      </c>
      <c r="V1015" s="70"/>
    </row>
    <row r="1016" customFormat="false" ht="29.1" hidden="false" customHeight="false" outlineLevel="0" collapsed="false">
      <c r="A1016" s="62" t="n">
        <f aca="false">A1015+1</f>
        <v>1009</v>
      </c>
      <c r="B1016" s="63" t="e">
        <f aca="false">VLOOKUP(A1016,BD_ORDENES!A:BG,12,FALSE())</f>
        <v>#N/A</v>
      </c>
      <c r="C1016" s="64" t="n">
        <v>1009</v>
      </c>
      <c r="D1016" s="65" t="e">
        <f aca="false">VLOOKUP(A1016,BD_ORDENES!A:BE,10,0)</f>
        <v>#N/A</v>
      </c>
      <c r="E1016" s="66" t="e">
        <f aca="false">VLOOKUP(A1016,BD_ORDENES!A:BG,4,FALSE())</f>
        <v>#N/A</v>
      </c>
      <c r="F1016" s="66" t="e">
        <f aca="false">VLOOKUP(A1016,BD_ORDENES!A:BE,56,FALSE())</f>
        <v>#N/A</v>
      </c>
      <c r="G1016" s="67" t="e">
        <f aca="false">VLOOKUP(A1016,BD_ORDENES!A:BE,13,FALSE())</f>
        <v>#N/A</v>
      </c>
      <c r="H1016" s="68" t="e">
        <f aca="false">VLOOKUP(A1016,BD_ORDENES!A:BE,17,FALSE())</f>
        <v>#N/A</v>
      </c>
      <c r="I1016" s="68" t="e">
        <f aca="false">VLOOKUP(A1016,BD_ORDENES!A:BE,18,FALSE())</f>
        <v>#N/A</v>
      </c>
      <c r="J1016" s="68" t="e">
        <f aca="false">VLOOKUP(A1016,BD_ORDENES!A:BE,19,FALSE())</f>
        <v>#N/A</v>
      </c>
      <c r="K1016" s="68" t="e">
        <f aca="false">VLOOKUP(A1016,BD_ORDENES!A:BE,20,FALSE())</f>
        <v>#N/A</v>
      </c>
      <c r="L1016" s="68" t="e">
        <f aca="false">VLOOKUP(A1016,BD_ORDENES!A:BE,21,FALSE())</f>
        <v>#N/A</v>
      </c>
      <c r="M1016" s="69" t="e">
        <f aca="false">VLOOKUP(A1016,BD_ORDENES!A:BE,14,FALSE())</f>
        <v>#N/A</v>
      </c>
      <c r="N1016" s="68" t="e">
        <f aca="false">VLOOKUP(A1016,BD_ORDENES!A:BE,15,FALSE())</f>
        <v>#N/A</v>
      </c>
      <c r="O1016" s="68" t="e">
        <f aca="false">VLOOKUP(A1016,BD_ORDENES!A:BE,33,FALSE())</f>
        <v>#N/A</v>
      </c>
      <c r="P1016" s="68" t="e">
        <f aca="false">VLOOKUP(A1016,BD_ORDENES!A:BE,23,FALSE())</f>
        <v>#N/A</v>
      </c>
      <c r="Q1016" s="68" t="e">
        <f aca="false">VLOOKUP(A1016,BD_ORDENES!A:BE,52,FALSE())</f>
        <v>#N/A</v>
      </c>
      <c r="R1016" s="68" t="e">
        <f aca="false">VLOOKUP(A1016,BD_ORDENES!A:BE,25,FALSE())</f>
        <v>#N/A</v>
      </c>
      <c r="S1016" s="68" t="e">
        <f aca="false">VLOOKUP(A1016,BD_ORDENES!A:BE,22,FALSE())</f>
        <v>#N/A</v>
      </c>
      <c r="T1016" s="65" t="e">
        <f aca="false">VLOOKUP(A1016,BD_ORDENES!A:BE,55,FALSE())</f>
        <v>#N/A</v>
      </c>
      <c r="U1016" s="68" t="e">
        <f aca="false">VLOOKUP(A1016,BD_ORDENES!A:BE,57,FALSE())</f>
        <v>#N/A</v>
      </c>
      <c r="V1016" s="70"/>
    </row>
    <row r="1017" customFormat="false" ht="29.1" hidden="false" customHeight="false" outlineLevel="0" collapsed="false">
      <c r="A1017" s="62" t="n">
        <f aca="false">A1016+1</f>
        <v>1010</v>
      </c>
      <c r="B1017" s="63" t="e">
        <f aca="false">VLOOKUP(A1017,BD_ORDENES!A:BG,12,FALSE())</f>
        <v>#N/A</v>
      </c>
      <c r="C1017" s="64" t="n">
        <v>1010</v>
      </c>
      <c r="D1017" s="65" t="e">
        <f aca="false">VLOOKUP(A1017,BD_ORDENES!A:BE,10,0)</f>
        <v>#N/A</v>
      </c>
      <c r="E1017" s="66" t="e">
        <f aca="false">VLOOKUP(A1017,BD_ORDENES!A:BG,4,FALSE())</f>
        <v>#N/A</v>
      </c>
      <c r="F1017" s="66" t="e">
        <f aca="false">VLOOKUP(A1017,BD_ORDENES!A:BE,56,FALSE())</f>
        <v>#N/A</v>
      </c>
      <c r="G1017" s="67" t="e">
        <f aca="false">VLOOKUP(A1017,BD_ORDENES!A:BE,13,FALSE())</f>
        <v>#N/A</v>
      </c>
      <c r="H1017" s="68" t="e">
        <f aca="false">VLOOKUP(A1017,BD_ORDENES!A:BE,17,FALSE())</f>
        <v>#N/A</v>
      </c>
      <c r="I1017" s="68" t="e">
        <f aca="false">VLOOKUP(A1017,BD_ORDENES!A:BE,18,FALSE())</f>
        <v>#N/A</v>
      </c>
      <c r="J1017" s="68" t="e">
        <f aca="false">VLOOKUP(A1017,BD_ORDENES!A:BE,19,FALSE())</f>
        <v>#N/A</v>
      </c>
      <c r="K1017" s="68" t="e">
        <f aca="false">VLOOKUP(A1017,BD_ORDENES!A:BE,20,FALSE())</f>
        <v>#N/A</v>
      </c>
      <c r="L1017" s="68" t="e">
        <f aca="false">VLOOKUP(A1017,BD_ORDENES!A:BE,21,FALSE())</f>
        <v>#N/A</v>
      </c>
      <c r="M1017" s="69" t="e">
        <f aca="false">VLOOKUP(A1017,BD_ORDENES!A:BE,14,FALSE())</f>
        <v>#N/A</v>
      </c>
      <c r="N1017" s="68" t="e">
        <f aca="false">VLOOKUP(A1017,BD_ORDENES!A:BE,15,FALSE())</f>
        <v>#N/A</v>
      </c>
      <c r="O1017" s="68" t="e">
        <f aca="false">VLOOKUP(A1017,BD_ORDENES!A:BE,33,FALSE())</f>
        <v>#N/A</v>
      </c>
      <c r="P1017" s="68" t="e">
        <f aca="false">VLOOKUP(A1017,BD_ORDENES!A:BE,23,FALSE())</f>
        <v>#N/A</v>
      </c>
      <c r="Q1017" s="68" t="e">
        <f aca="false">VLOOKUP(A1017,BD_ORDENES!A:BE,52,FALSE())</f>
        <v>#N/A</v>
      </c>
      <c r="R1017" s="68" t="e">
        <f aca="false">VLOOKUP(A1017,BD_ORDENES!A:BE,25,FALSE())</f>
        <v>#N/A</v>
      </c>
      <c r="S1017" s="68" t="e">
        <f aca="false">VLOOKUP(A1017,BD_ORDENES!A:BE,22,FALSE())</f>
        <v>#N/A</v>
      </c>
      <c r="T1017" s="65" t="e">
        <f aca="false">VLOOKUP(A1017,BD_ORDENES!A:BE,55,FALSE())</f>
        <v>#N/A</v>
      </c>
      <c r="U1017" s="68" t="e">
        <f aca="false">VLOOKUP(A1017,BD_ORDENES!A:BE,57,FALSE())</f>
        <v>#N/A</v>
      </c>
      <c r="V1017" s="70"/>
    </row>
    <row r="1018" customFormat="false" ht="29.1" hidden="false" customHeight="false" outlineLevel="0" collapsed="false">
      <c r="A1018" s="62" t="n">
        <f aca="false">A1017+1</f>
        <v>1011</v>
      </c>
      <c r="B1018" s="63" t="e">
        <f aca="false">VLOOKUP(A1018,BD_ORDENES!A:BG,12,FALSE())</f>
        <v>#N/A</v>
      </c>
      <c r="C1018" s="64" t="n">
        <v>1011</v>
      </c>
      <c r="D1018" s="65" t="e">
        <f aca="false">VLOOKUP(A1018,BD_ORDENES!A:BE,10,0)</f>
        <v>#N/A</v>
      </c>
      <c r="E1018" s="66" t="e">
        <f aca="false">VLOOKUP(A1018,BD_ORDENES!A:BG,4,FALSE())</f>
        <v>#N/A</v>
      </c>
      <c r="F1018" s="66" t="e">
        <f aca="false">VLOOKUP(A1018,BD_ORDENES!A:BE,56,FALSE())</f>
        <v>#N/A</v>
      </c>
      <c r="G1018" s="67" t="e">
        <f aca="false">VLOOKUP(A1018,BD_ORDENES!A:BE,13,FALSE())</f>
        <v>#N/A</v>
      </c>
      <c r="H1018" s="68" t="e">
        <f aca="false">VLOOKUP(A1018,BD_ORDENES!A:BE,17,FALSE())</f>
        <v>#N/A</v>
      </c>
      <c r="I1018" s="68" t="e">
        <f aca="false">VLOOKUP(A1018,BD_ORDENES!A:BE,18,FALSE())</f>
        <v>#N/A</v>
      </c>
      <c r="J1018" s="68" t="e">
        <f aca="false">VLOOKUP(A1018,BD_ORDENES!A:BE,19,FALSE())</f>
        <v>#N/A</v>
      </c>
      <c r="K1018" s="68" t="e">
        <f aca="false">VLOOKUP(A1018,BD_ORDENES!A:BE,20,FALSE())</f>
        <v>#N/A</v>
      </c>
      <c r="L1018" s="68" t="e">
        <f aca="false">VLOOKUP(A1018,BD_ORDENES!A:BE,21,FALSE())</f>
        <v>#N/A</v>
      </c>
      <c r="M1018" s="69" t="e">
        <f aca="false">VLOOKUP(A1018,BD_ORDENES!A:BE,14,FALSE())</f>
        <v>#N/A</v>
      </c>
      <c r="N1018" s="68" t="e">
        <f aca="false">VLOOKUP(A1018,BD_ORDENES!A:BE,15,FALSE())</f>
        <v>#N/A</v>
      </c>
      <c r="O1018" s="68" t="e">
        <f aca="false">VLOOKUP(A1018,BD_ORDENES!A:BE,33,FALSE())</f>
        <v>#N/A</v>
      </c>
      <c r="P1018" s="68" t="e">
        <f aca="false">VLOOKUP(A1018,BD_ORDENES!A:BE,23,FALSE())</f>
        <v>#N/A</v>
      </c>
      <c r="Q1018" s="68" t="e">
        <f aca="false">VLOOKUP(A1018,BD_ORDENES!A:BE,52,FALSE())</f>
        <v>#N/A</v>
      </c>
      <c r="R1018" s="68" t="e">
        <f aca="false">VLOOKUP(A1018,BD_ORDENES!A:BE,25,FALSE())</f>
        <v>#N/A</v>
      </c>
      <c r="S1018" s="68" t="e">
        <f aca="false">VLOOKUP(A1018,BD_ORDENES!A:BE,22,FALSE())</f>
        <v>#N/A</v>
      </c>
      <c r="T1018" s="65" t="e">
        <f aca="false">VLOOKUP(A1018,BD_ORDENES!A:BE,55,FALSE())</f>
        <v>#N/A</v>
      </c>
      <c r="U1018" s="68" t="e">
        <f aca="false">VLOOKUP(A1018,BD_ORDENES!A:BE,57,FALSE())</f>
        <v>#N/A</v>
      </c>
      <c r="V1018" s="70"/>
    </row>
    <row r="1019" customFormat="false" ht="29.1" hidden="false" customHeight="false" outlineLevel="0" collapsed="false">
      <c r="A1019" s="62" t="n">
        <f aca="false">A1018+1</f>
        <v>1012</v>
      </c>
      <c r="B1019" s="63" t="e">
        <f aca="false">VLOOKUP(A1019,BD_ORDENES!A:BG,12,FALSE())</f>
        <v>#N/A</v>
      </c>
      <c r="C1019" s="64" t="n">
        <v>1012</v>
      </c>
      <c r="D1019" s="65" t="e">
        <f aca="false">VLOOKUP(A1019,BD_ORDENES!A:BE,10,0)</f>
        <v>#N/A</v>
      </c>
      <c r="E1019" s="66" t="e">
        <f aca="false">VLOOKUP(A1019,BD_ORDENES!A:BG,4,FALSE())</f>
        <v>#N/A</v>
      </c>
      <c r="F1019" s="66" t="e">
        <f aca="false">VLOOKUP(A1019,BD_ORDENES!A:BE,56,FALSE())</f>
        <v>#N/A</v>
      </c>
      <c r="G1019" s="67" t="e">
        <f aca="false">VLOOKUP(A1019,BD_ORDENES!A:BE,13,FALSE())</f>
        <v>#N/A</v>
      </c>
      <c r="H1019" s="68" t="e">
        <f aca="false">VLOOKUP(A1019,BD_ORDENES!A:BE,17,FALSE())</f>
        <v>#N/A</v>
      </c>
      <c r="I1019" s="68" t="e">
        <f aca="false">VLOOKUP(A1019,BD_ORDENES!A:BE,18,FALSE())</f>
        <v>#N/A</v>
      </c>
      <c r="J1019" s="68" t="e">
        <f aca="false">VLOOKUP(A1019,BD_ORDENES!A:BE,19,FALSE())</f>
        <v>#N/A</v>
      </c>
      <c r="K1019" s="68" t="e">
        <f aca="false">VLOOKUP(A1019,BD_ORDENES!A:BE,20,FALSE())</f>
        <v>#N/A</v>
      </c>
      <c r="L1019" s="68" t="e">
        <f aca="false">VLOOKUP(A1019,BD_ORDENES!A:BE,21,FALSE())</f>
        <v>#N/A</v>
      </c>
      <c r="M1019" s="69" t="e">
        <f aca="false">VLOOKUP(A1019,BD_ORDENES!A:BE,14,FALSE())</f>
        <v>#N/A</v>
      </c>
      <c r="N1019" s="68" t="e">
        <f aca="false">VLOOKUP(A1019,BD_ORDENES!A:BE,15,FALSE())</f>
        <v>#N/A</v>
      </c>
      <c r="O1019" s="68" t="e">
        <f aca="false">VLOOKUP(A1019,BD_ORDENES!A:BE,33,FALSE())</f>
        <v>#N/A</v>
      </c>
      <c r="P1019" s="68" t="e">
        <f aca="false">VLOOKUP(A1019,BD_ORDENES!A:BE,23,FALSE())</f>
        <v>#N/A</v>
      </c>
      <c r="Q1019" s="68" t="e">
        <f aca="false">VLOOKUP(A1019,BD_ORDENES!A:BE,52,FALSE())</f>
        <v>#N/A</v>
      </c>
      <c r="R1019" s="68" t="e">
        <f aca="false">VLOOKUP(A1019,BD_ORDENES!A:BE,25,FALSE())</f>
        <v>#N/A</v>
      </c>
      <c r="S1019" s="68" t="e">
        <f aca="false">VLOOKUP(A1019,BD_ORDENES!A:BE,22,FALSE())</f>
        <v>#N/A</v>
      </c>
      <c r="T1019" s="65" t="e">
        <f aca="false">VLOOKUP(A1019,BD_ORDENES!A:BE,55,FALSE())</f>
        <v>#N/A</v>
      </c>
      <c r="U1019" s="68" t="e">
        <f aca="false">VLOOKUP(A1019,BD_ORDENES!A:BE,57,FALSE())</f>
        <v>#N/A</v>
      </c>
      <c r="V1019" s="70"/>
    </row>
    <row r="1020" customFormat="false" ht="29.1" hidden="false" customHeight="false" outlineLevel="0" collapsed="false">
      <c r="A1020" s="62" t="n">
        <f aca="false">A1019+1</f>
        <v>1013</v>
      </c>
      <c r="B1020" s="63" t="e">
        <f aca="false">VLOOKUP(A1020,BD_ORDENES!A:BG,12,FALSE())</f>
        <v>#N/A</v>
      </c>
      <c r="C1020" s="64" t="n">
        <v>1013</v>
      </c>
      <c r="D1020" s="65" t="e">
        <f aca="false">VLOOKUP(A1020,BD_ORDENES!A:BE,10,0)</f>
        <v>#N/A</v>
      </c>
      <c r="E1020" s="66" t="e">
        <f aca="false">VLOOKUP(A1020,BD_ORDENES!A:BG,4,FALSE())</f>
        <v>#N/A</v>
      </c>
      <c r="F1020" s="66" t="e">
        <f aca="false">VLOOKUP(A1020,BD_ORDENES!A:BE,56,FALSE())</f>
        <v>#N/A</v>
      </c>
      <c r="G1020" s="67" t="e">
        <f aca="false">VLOOKUP(A1020,BD_ORDENES!A:BE,13,FALSE())</f>
        <v>#N/A</v>
      </c>
      <c r="H1020" s="68" t="e">
        <f aca="false">VLOOKUP(A1020,BD_ORDENES!A:BE,17,FALSE())</f>
        <v>#N/A</v>
      </c>
      <c r="I1020" s="68" t="e">
        <f aca="false">VLOOKUP(A1020,BD_ORDENES!A:BE,18,FALSE())</f>
        <v>#N/A</v>
      </c>
      <c r="J1020" s="68" t="e">
        <f aca="false">VLOOKUP(A1020,BD_ORDENES!A:BE,19,FALSE())</f>
        <v>#N/A</v>
      </c>
      <c r="K1020" s="68" t="e">
        <f aca="false">VLOOKUP(A1020,BD_ORDENES!A:BE,20,FALSE())</f>
        <v>#N/A</v>
      </c>
      <c r="L1020" s="68" t="e">
        <f aca="false">VLOOKUP(A1020,BD_ORDENES!A:BE,21,FALSE())</f>
        <v>#N/A</v>
      </c>
      <c r="M1020" s="69" t="e">
        <f aca="false">VLOOKUP(A1020,BD_ORDENES!A:BE,14,FALSE())</f>
        <v>#N/A</v>
      </c>
      <c r="N1020" s="68" t="e">
        <f aca="false">VLOOKUP(A1020,BD_ORDENES!A:BE,15,FALSE())</f>
        <v>#N/A</v>
      </c>
      <c r="O1020" s="68" t="e">
        <f aca="false">VLOOKUP(A1020,BD_ORDENES!A:BE,33,FALSE())</f>
        <v>#N/A</v>
      </c>
      <c r="P1020" s="68" t="e">
        <f aca="false">VLOOKUP(A1020,BD_ORDENES!A:BE,23,FALSE())</f>
        <v>#N/A</v>
      </c>
      <c r="Q1020" s="68" t="e">
        <f aca="false">VLOOKUP(A1020,BD_ORDENES!A:BE,52,FALSE())</f>
        <v>#N/A</v>
      </c>
      <c r="R1020" s="68" t="e">
        <f aca="false">VLOOKUP(A1020,BD_ORDENES!A:BE,25,FALSE())</f>
        <v>#N/A</v>
      </c>
      <c r="S1020" s="68" t="e">
        <f aca="false">VLOOKUP(A1020,BD_ORDENES!A:BE,22,FALSE())</f>
        <v>#N/A</v>
      </c>
      <c r="T1020" s="65" t="e">
        <f aca="false">VLOOKUP(A1020,BD_ORDENES!A:BE,55,FALSE())</f>
        <v>#N/A</v>
      </c>
      <c r="U1020" s="68" t="e">
        <f aca="false">VLOOKUP(A1020,BD_ORDENES!A:BE,57,FALSE())</f>
        <v>#N/A</v>
      </c>
      <c r="V1020" s="70"/>
    </row>
    <row r="1021" customFormat="false" ht="29.1" hidden="false" customHeight="false" outlineLevel="0" collapsed="false">
      <c r="A1021" s="62" t="n">
        <f aca="false">A1020+1</f>
        <v>1014</v>
      </c>
      <c r="B1021" s="63" t="e">
        <f aca="false">VLOOKUP(A1021,BD_ORDENES!A:BG,12,FALSE())</f>
        <v>#N/A</v>
      </c>
      <c r="C1021" s="64" t="n">
        <v>1014</v>
      </c>
      <c r="D1021" s="65" t="e">
        <f aca="false">VLOOKUP(A1021,BD_ORDENES!A:BE,10,0)</f>
        <v>#N/A</v>
      </c>
      <c r="E1021" s="66" t="e">
        <f aca="false">VLOOKUP(A1021,BD_ORDENES!A:BG,4,FALSE())</f>
        <v>#N/A</v>
      </c>
      <c r="F1021" s="66" t="e">
        <f aca="false">VLOOKUP(A1021,BD_ORDENES!A:BE,56,FALSE())</f>
        <v>#N/A</v>
      </c>
      <c r="G1021" s="67" t="e">
        <f aca="false">VLOOKUP(A1021,BD_ORDENES!A:BE,13,FALSE())</f>
        <v>#N/A</v>
      </c>
      <c r="H1021" s="68" t="e">
        <f aca="false">VLOOKUP(A1021,BD_ORDENES!A:BE,17,FALSE())</f>
        <v>#N/A</v>
      </c>
      <c r="I1021" s="68" t="e">
        <f aca="false">VLOOKUP(A1021,BD_ORDENES!A:BE,18,FALSE())</f>
        <v>#N/A</v>
      </c>
      <c r="J1021" s="68" t="e">
        <f aca="false">VLOOKUP(A1021,BD_ORDENES!A:BE,19,FALSE())</f>
        <v>#N/A</v>
      </c>
      <c r="K1021" s="68" t="e">
        <f aca="false">VLOOKUP(A1021,BD_ORDENES!A:BE,20,FALSE())</f>
        <v>#N/A</v>
      </c>
      <c r="L1021" s="68" t="e">
        <f aca="false">VLOOKUP(A1021,BD_ORDENES!A:BE,21,FALSE())</f>
        <v>#N/A</v>
      </c>
      <c r="M1021" s="69" t="e">
        <f aca="false">VLOOKUP(A1021,BD_ORDENES!A:BE,14,FALSE())</f>
        <v>#N/A</v>
      </c>
      <c r="N1021" s="68" t="e">
        <f aca="false">VLOOKUP(A1021,BD_ORDENES!A:BE,15,FALSE())</f>
        <v>#N/A</v>
      </c>
      <c r="O1021" s="68" t="e">
        <f aca="false">VLOOKUP(A1021,BD_ORDENES!A:BE,33,FALSE())</f>
        <v>#N/A</v>
      </c>
      <c r="P1021" s="68" t="e">
        <f aca="false">VLOOKUP(A1021,BD_ORDENES!A:BE,23,FALSE())</f>
        <v>#N/A</v>
      </c>
      <c r="Q1021" s="68" t="e">
        <f aca="false">VLOOKUP(A1021,BD_ORDENES!A:BE,52,FALSE())</f>
        <v>#N/A</v>
      </c>
      <c r="R1021" s="68" t="e">
        <f aca="false">VLOOKUP(A1021,BD_ORDENES!A:BE,25,FALSE())</f>
        <v>#N/A</v>
      </c>
      <c r="S1021" s="68" t="e">
        <f aca="false">VLOOKUP(A1021,BD_ORDENES!A:BE,22,FALSE())</f>
        <v>#N/A</v>
      </c>
      <c r="T1021" s="65" t="e">
        <f aca="false">VLOOKUP(A1021,BD_ORDENES!A:BE,55,FALSE())</f>
        <v>#N/A</v>
      </c>
      <c r="U1021" s="68" t="e">
        <f aca="false">VLOOKUP(A1021,BD_ORDENES!A:BE,57,FALSE())</f>
        <v>#N/A</v>
      </c>
      <c r="V1021" s="70"/>
    </row>
    <row r="1022" customFormat="false" ht="29.1" hidden="false" customHeight="false" outlineLevel="0" collapsed="false">
      <c r="A1022" s="62" t="n">
        <f aca="false">A1021+1</f>
        <v>1015</v>
      </c>
      <c r="B1022" s="63" t="e">
        <f aca="false">VLOOKUP(A1022,BD_ORDENES!A:BG,12,FALSE())</f>
        <v>#N/A</v>
      </c>
      <c r="C1022" s="64" t="n">
        <v>1015</v>
      </c>
      <c r="D1022" s="65" t="e">
        <f aca="false">VLOOKUP(A1022,BD_ORDENES!A:BE,10,0)</f>
        <v>#N/A</v>
      </c>
      <c r="E1022" s="66" t="e">
        <f aca="false">VLOOKUP(A1022,BD_ORDENES!A:BG,4,FALSE())</f>
        <v>#N/A</v>
      </c>
      <c r="F1022" s="66" t="e">
        <f aca="false">VLOOKUP(A1022,BD_ORDENES!A:BE,56,FALSE())</f>
        <v>#N/A</v>
      </c>
      <c r="G1022" s="67" t="e">
        <f aca="false">VLOOKUP(A1022,BD_ORDENES!A:BE,13,FALSE())</f>
        <v>#N/A</v>
      </c>
      <c r="H1022" s="68" t="e">
        <f aca="false">VLOOKUP(A1022,BD_ORDENES!A:BE,17,FALSE())</f>
        <v>#N/A</v>
      </c>
      <c r="I1022" s="68" t="e">
        <f aca="false">VLOOKUP(A1022,BD_ORDENES!A:BE,18,FALSE())</f>
        <v>#N/A</v>
      </c>
      <c r="J1022" s="68" t="e">
        <f aca="false">VLOOKUP(A1022,BD_ORDENES!A:BE,19,FALSE())</f>
        <v>#N/A</v>
      </c>
      <c r="K1022" s="68" t="e">
        <f aca="false">VLOOKUP(A1022,BD_ORDENES!A:BE,20,FALSE())</f>
        <v>#N/A</v>
      </c>
      <c r="L1022" s="68" t="e">
        <f aca="false">VLOOKUP(A1022,BD_ORDENES!A:BE,21,FALSE())</f>
        <v>#N/A</v>
      </c>
      <c r="M1022" s="69" t="e">
        <f aca="false">VLOOKUP(A1022,BD_ORDENES!A:BE,14,FALSE())</f>
        <v>#N/A</v>
      </c>
      <c r="N1022" s="68" t="e">
        <f aca="false">VLOOKUP(A1022,BD_ORDENES!A:BE,15,FALSE())</f>
        <v>#N/A</v>
      </c>
      <c r="O1022" s="68" t="e">
        <f aca="false">VLOOKUP(A1022,BD_ORDENES!A:BE,33,FALSE())</f>
        <v>#N/A</v>
      </c>
      <c r="P1022" s="68" t="e">
        <f aca="false">VLOOKUP(A1022,BD_ORDENES!A:BE,23,FALSE())</f>
        <v>#N/A</v>
      </c>
      <c r="Q1022" s="68" t="e">
        <f aca="false">VLOOKUP(A1022,BD_ORDENES!A:BE,52,FALSE())</f>
        <v>#N/A</v>
      </c>
      <c r="R1022" s="68" t="e">
        <f aca="false">VLOOKUP(A1022,BD_ORDENES!A:BE,25,FALSE())</f>
        <v>#N/A</v>
      </c>
      <c r="S1022" s="68" t="e">
        <f aca="false">VLOOKUP(A1022,BD_ORDENES!A:BE,22,FALSE())</f>
        <v>#N/A</v>
      </c>
      <c r="T1022" s="65" t="e">
        <f aca="false">VLOOKUP(A1022,BD_ORDENES!A:BE,55,FALSE())</f>
        <v>#N/A</v>
      </c>
      <c r="U1022" s="68" t="e">
        <f aca="false">VLOOKUP(A1022,BD_ORDENES!A:BE,57,FALSE())</f>
        <v>#N/A</v>
      </c>
      <c r="V1022" s="70"/>
    </row>
    <row r="1023" customFormat="false" ht="29.1" hidden="false" customHeight="false" outlineLevel="0" collapsed="false">
      <c r="A1023" s="62" t="n">
        <f aca="false">A1022+1</f>
        <v>1016</v>
      </c>
      <c r="B1023" s="63" t="e">
        <f aca="false">VLOOKUP(A1023,BD_ORDENES!A:BG,12,FALSE())</f>
        <v>#N/A</v>
      </c>
      <c r="C1023" s="64" t="n">
        <v>1016</v>
      </c>
      <c r="D1023" s="65" t="e">
        <f aca="false">VLOOKUP(A1023,BD_ORDENES!A:BE,10,0)</f>
        <v>#N/A</v>
      </c>
      <c r="E1023" s="66" t="e">
        <f aca="false">VLOOKUP(A1023,BD_ORDENES!A:BG,4,FALSE())</f>
        <v>#N/A</v>
      </c>
      <c r="F1023" s="66" t="e">
        <f aca="false">VLOOKUP(A1023,BD_ORDENES!A:BE,56,FALSE())</f>
        <v>#N/A</v>
      </c>
      <c r="G1023" s="67" t="e">
        <f aca="false">VLOOKUP(A1023,BD_ORDENES!A:BE,13,FALSE())</f>
        <v>#N/A</v>
      </c>
      <c r="H1023" s="68" t="e">
        <f aca="false">VLOOKUP(A1023,BD_ORDENES!A:BE,17,FALSE())</f>
        <v>#N/A</v>
      </c>
      <c r="I1023" s="68" t="e">
        <f aca="false">VLOOKUP(A1023,BD_ORDENES!A:BE,18,FALSE())</f>
        <v>#N/A</v>
      </c>
      <c r="J1023" s="68" t="e">
        <f aca="false">VLOOKUP(A1023,BD_ORDENES!A:BE,19,FALSE())</f>
        <v>#N/A</v>
      </c>
      <c r="K1023" s="68" t="e">
        <f aca="false">VLOOKUP(A1023,BD_ORDENES!A:BE,20,FALSE())</f>
        <v>#N/A</v>
      </c>
      <c r="L1023" s="68" t="e">
        <f aca="false">VLOOKUP(A1023,BD_ORDENES!A:BE,21,FALSE())</f>
        <v>#N/A</v>
      </c>
      <c r="M1023" s="69" t="e">
        <f aca="false">VLOOKUP(A1023,BD_ORDENES!A:BE,14,FALSE())</f>
        <v>#N/A</v>
      </c>
      <c r="N1023" s="68" t="e">
        <f aca="false">VLOOKUP(A1023,BD_ORDENES!A:BE,15,FALSE())</f>
        <v>#N/A</v>
      </c>
      <c r="O1023" s="68" t="e">
        <f aca="false">VLOOKUP(A1023,BD_ORDENES!A:BE,33,FALSE())</f>
        <v>#N/A</v>
      </c>
      <c r="P1023" s="68" t="e">
        <f aca="false">VLOOKUP(A1023,BD_ORDENES!A:BE,23,FALSE())</f>
        <v>#N/A</v>
      </c>
      <c r="Q1023" s="68" t="e">
        <f aca="false">VLOOKUP(A1023,BD_ORDENES!A:BE,52,FALSE())</f>
        <v>#N/A</v>
      </c>
      <c r="R1023" s="68" t="e">
        <f aca="false">VLOOKUP(A1023,BD_ORDENES!A:BE,25,FALSE())</f>
        <v>#N/A</v>
      </c>
      <c r="S1023" s="68" t="e">
        <f aca="false">VLOOKUP(A1023,BD_ORDENES!A:BE,22,FALSE())</f>
        <v>#N/A</v>
      </c>
      <c r="T1023" s="65" t="e">
        <f aca="false">VLOOKUP(A1023,BD_ORDENES!A:BE,55,FALSE())</f>
        <v>#N/A</v>
      </c>
      <c r="U1023" s="68" t="e">
        <f aca="false">VLOOKUP(A1023,BD_ORDENES!A:BE,57,FALSE())</f>
        <v>#N/A</v>
      </c>
      <c r="V1023" s="70"/>
    </row>
    <row r="1024" customFormat="false" ht="29.1" hidden="false" customHeight="false" outlineLevel="0" collapsed="false">
      <c r="A1024" s="62" t="n">
        <f aca="false">A1023+1</f>
        <v>1017</v>
      </c>
      <c r="B1024" s="63" t="e">
        <f aca="false">VLOOKUP(A1024,BD_ORDENES!A:BG,12,FALSE())</f>
        <v>#N/A</v>
      </c>
      <c r="C1024" s="64" t="n">
        <v>1017</v>
      </c>
      <c r="D1024" s="65" t="e">
        <f aca="false">VLOOKUP(A1024,BD_ORDENES!A:BE,10,0)</f>
        <v>#N/A</v>
      </c>
      <c r="E1024" s="66" t="e">
        <f aca="false">VLOOKUP(A1024,BD_ORDENES!A:BG,4,FALSE())</f>
        <v>#N/A</v>
      </c>
      <c r="F1024" s="66" t="e">
        <f aca="false">VLOOKUP(A1024,BD_ORDENES!A:BE,56,FALSE())</f>
        <v>#N/A</v>
      </c>
      <c r="G1024" s="67" t="e">
        <f aca="false">VLOOKUP(A1024,BD_ORDENES!A:BE,13,FALSE())</f>
        <v>#N/A</v>
      </c>
      <c r="H1024" s="68" t="e">
        <f aca="false">VLOOKUP(A1024,BD_ORDENES!A:BE,17,FALSE())</f>
        <v>#N/A</v>
      </c>
      <c r="I1024" s="68" t="e">
        <f aca="false">VLOOKUP(A1024,BD_ORDENES!A:BE,18,FALSE())</f>
        <v>#N/A</v>
      </c>
      <c r="J1024" s="68" t="e">
        <f aca="false">VLOOKUP(A1024,BD_ORDENES!A:BE,19,FALSE())</f>
        <v>#N/A</v>
      </c>
      <c r="K1024" s="68" t="e">
        <f aca="false">VLOOKUP(A1024,BD_ORDENES!A:BE,20,FALSE())</f>
        <v>#N/A</v>
      </c>
      <c r="L1024" s="68" t="e">
        <f aca="false">VLOOKUP(A1024,BD_ORDENES!A:BE,21,FALSE())</f>
        <v>#N/A</v>
      </c>
      <c r="M1024" s="69" t="e">
        <f aca="false">VLOOKUP(A1024,BD_ORDENES!A:BE,14,FALSE())</f>
        <v>#N/A</v>
      </c>
      <c r="N1024" s="68" t="e">
        <f aca="false">VLOOKUP(A1024,BD_ORDENES!A:BE,15,FALSE())</f>
        <v>#N/A</v>
      </c>
      <c r="O1024" s="68" t="e">
        <f aca="false">VLOOKUP(A1024,BD_ORDENES!A:BE,33,FALSE())</f>
        <v>#N/A</v>
      </c>
      <c r="P1024" s="68" t="e">
        <f aca="false">VLOOKUP(A1024,BD_ORDENES!A:BE,23,FALSE())</f>
        <v>#N/A</v>
      </c>
      <c r="Q1024" s="68" t="e">
        <f aca="false">VLOOKUP(A1024,BD_ORDENES!A:BE,52,FALSE())</f>
        <v>#N/A</v>
      </c>
      <c r="R1024" s="68" t="e">
        <f aca="false">VLOOKUP(A1024,BD_ORDENES!A:BE,25,FALSE())</f>
        <v>#N/A</v>
      </c>
      <c r="S1024" s="68" t="e">
        <f aca="false">VLOOKUP(A1024,BD_ORDENES!A:BE,22,FALSE())</f>
        <v>#N/A</v>
      </c>
      <c r="T1024" s="65" t="e">
        <f aca="false">VLOOKUP(A1024,BD_ORDENES!A:BE,55,FALSE())</f>
        <v>#N/A</v>
      </c>
      <c r="U1024" s="68" t="e">
        <f aca="false">VLOOKUP(A1024,BD_ORDENES!A:BE,57,FALSE())</f>
        <v>#N/A</v>
      </c>
      <c r="V1024" s="70"/>
    </row>
    <row r="1025" customFormat="false" ht="29.1" hidden="false" customHeight="false" outlineLevel="0" collapsed="false">
      <c r="A1025" s="62" t="n">
        <f aca="false">A1024+1</f>
        <v>1018</v>
      </c>
      <c r="B1025" s="63" t="e">
        <f aca="false">VLOOKUP(A1025,BD_ORDENES!A:BG,12,FALSE())</f>
        <v>#N/A</v>
      </c>
      <c r="C1025" s="64" t="n">
        <v>1018</v>
      </c>
      <c r="D1025" s="65" t="e">
        <f aca="false">VLOOKUP(A1025,BD_ORDENES!A:BE,10,0)</f>
        <v>#N/A</v>
      </c>
      <c r="E1025" s="66" t="e">
        <f aca="false">VLOOKUP(A1025,BD_ORDENES!A:BG,4,FALSE())</f>
        <v>#N/A</v>
      </c>
      <c r="F1025" s="66" t="e">
        <f aca="false">VLOOKUP(A1025,BD_ORDENES!A:BE,56,FALSE())</f>
        <v>#N/A</v>
      </c>
      <c r="G1025" s="67" t="e">
        <f aca="false">VLOOKUP(A1025,BD_ORDENES!A:BE,13,FALSE())</f>
        <v>#N/A</v>
      </c>
      <c r="H1025" s="68" t="e">
        <f aca="false">VLOOKUP(A1025,BD_ORDENES!A:BE,17,FALSE())</f>
        <v>#N/A</v>
      </c>
      <c r="I1025" s="68" t="e">
        <f aca="false">VLOOKUP(A1025,BD_ORDENES!A:BE,18,FALSE())</f>
        <v>#N/A</v>
      </c>
      <c r="J1025" s="68" t="e">
        <f aca="false">VLOOKUP(A1025,BD_ORDENES!A:BE,19,FALSE())</f>
        <v>#N/A</v>
      </c>
      <c r="K1025" s="68" t="e">
        <f aca="false">VLOOKUP(A1025,BD_ORDENES!A:BE,20,FALSE())</f>
        <v>#N/A</v>
      </c>
      <c r="L1025" s="68" t="e">
        <f aca="false">VLOOKUP(A1025,BD_ORDENES!A:BE,21,FALSE())</f>
        <v>#N/A</v>
      </c>
      <c r="M1025" s="69" t="e">
        <f aca="false">VLOOKUP(A1025,BD_ORDENES!A:BE,14,FALSE())</f>
        <v>#N/A</v>
      </c>
      <c r="N1025" s="68" t="e">
        <f aca="false">VLOOKUP(A1025,BD_ORDENES!A:BE,15,FALSE())</f>
        <v>#N/A</v>
      </c>
      <c r="O1025" s="68" t="e">
        <f aca="false">VLOOKUP(A1025,BD_ORDENES!A:BE,33,FALSE())</f>
        <v>#N/A</v>
      </c>
      <c r="P1025" s="68" t="e">
        <f aca="false">VLOOKUP(A1025,BD_ORDENES!A:BE,23,FALSE())</f>
        <v>#N/A</v>
      </c>
      <c r="Q1025" s="68" t="e">
        <f aca="false">VLOOKUP(A1025,BD_ORDENES!A:BE,52,FALSE())</f>
        <v>#N/A</v>
      </c>
      <c r="R1025" s="68" t="e">
        <f aca="false">VLOOKUP(A1025,BD_ORDENES!A:BE,25,FALSE())</f>
        <v>#N/A</v>
      </c>
      <c r="S1025" s="68" t="e">
        <f aca="false">VLOOKUP(A1025,BD_ORDENES!A:BE,22,FALSE())</f>
        <v>#N/A</v>
      </c>
      <c r="T1025" s="65" t="e">
        <f aca="false">VLOOKUP(A1025,BD_ORDENES!A:BE,55,FALSE())</f>
        <v>#N/A</v>
      </c>
      <c r="U1025" s="68" t="e">
        <f aca="false">VLOOKUP(A1025,BD_ORDENES!A:BE,57,FALSE())</f>
        <v>#N/A</v>
      </c>
      <c r="V1025" s="70"/>
    </row>
    <row r="1026" customFormat="false" ht="29.1" hidden="false" customHeight="false" outlineLevel="0" collapsed="false">
      <c r="A1026" s="62" t="n">
        <f aca="false">A1025+1</f>
        <v>1019</v>
      </c>
      <c r="B1026" s="63" t="e">
        <f aca="false">VLOOKUP(A1026,BD_ORDENES!A:BG,12,FALSE())</f>
        <v>#N/A</v>
      </c>
      <c r="C1026" s="64" t="n">
        <v>1019</v>
      </c>
      <c r="D1026" s="65" t="e">
        <f aca="false">VLOOKUP(A1026,BD_ORDENES!A:BE,10,0)</f>
        <v>#N/A</v>
      </c>
      <c r="E1026" s="66" t="e">
        <f aca="false">VLOOKUP(A1026,BD_ORDENES!A:BG,4,FALSE())</f>
        <v>#N/A</v>
      </c>
      <c r="F1026" s="66" t="e">
        <f aca="false">VLOOKUP(A1026,BD_ORDENES!A:BE,56,FALSE())</f>
        <v>#N/A</v>
      </c>
      <c r="G1026" s="67" t="e">
        <f aca="false">VLOOKUP(A1026,BD_ORDENES!A:BE,13,FALSE())</f>
        <v>#N/A</v>
      </c>
      <c r="H1026" s="68" t="e">
        <f aca="false">VLOOKUP(A1026,BD_ORDENES!A:BE,17,FALSE())</f>
        <v>#N/A</v>
      </c>
      <c r="I1026" s="68" t="e">
        <f aca="false">VLOOKUP(A1026,BD_ORDENES!A:BE,18,FALSE())</f>
        <v>#N/A</v>
      </c>
      <c r="J1026" s="68" t="e">
        <f aca="false">VLOOKUP(A1026,BD_ORDENES!A:BE,19,FALSE())</f>
        <v>#N/A</v>
      </c>
      <c r="K1026" s="68" t="e">
        <f aca="false">VLOOKUP(A1026,BD_ORDENES!A:BE,20,FALSE())</f>
        <v>#N/A</v>
      </c>
      <c r="L1026" s="68" t="e">
        <f aca="false">VLOOKUP(A1026,BD_ORDENES!A:BE,21,FALSE())</f>
        <v>#N/A</v>
      </c>
      <c r="M1026" s="69" t="e">
        <f aca="false">VLOOKUP(A1026,BD_ORDENES!A:BE,14,FALSE())</f>
        <v>#N/A</v>
      </c>
      <c r="N1026" s="68" t="e">
        <f aca="false">VLOOKUP(A1026,BD_ORDENES!A:BE,15,FALSE())</f>
        <v>#N/A</v>
      </c>
      <c r="O1026" s="68" t="e">
        <f aca="false">VLOOKUP(A1026,BD_ORDENES!A:BE,33,FALSE())</f>
        <v>#N/A</v>
      </c>
      <c r="P1026" s="68" t="e">
        <f aca="false">VLOOKUP(A1026,BD_ORDENES!A:BE,23,FALSE())</f>
        <v>#N/A</v>
      </c>
      <c r="Q1026" s="68" t="e">
        <f aca="false">VLOOKUP(A1026,BD_ORDENES!A:BE,52,FALSE())</f>
        <v>#N/A</v>
      </c>
      <c r="R1026" s="68" t="e">
        <f aca="false">VLOOKUP(A1026,BD_ORDENES!A:BE,25,FALSE())</f>
        <v>#N/A</v>
      </c>
      <c r="S1026" s="68" t="e">
        <f aca="false">VLOOKUP(A1026,BD_ORDENES!A:BE,22,FALSE())</f>
        <v>#N/A</v>
      </c>
      <c r="T1026" s="65" t="e">
        <f aca="false">VLOOKUP(A1026,BD_ORDENES!A:BE,55,FALSE())</f>
        <v>#N/A</v>
      </c>
      <c r="U1026" s="68" t="e">
        <f aca="false">VLOOKUP(A1026,BD_ORDENES!A:BE,57,FALSE())</f>
        <v>#N/A</v>
      </c>
      <c r="V1026" s="70"/>
    </row>
    <row r="1027" customFormat="false" ht="29.1" hidden="false" customHeight="false" outlineLevel="0" collapsed="false">
      <c r="A1027" s="62" t="n">
        <f aca="false">A1026+1</f>
        <v>1020</v>
      </c>
      <c r="B1027" s="63" t="e">
        <f aca="false">VLOOKUP(A1027,BD_ORDENES!A:BG,12,FALSE())</f>
        <v>#N/A</v>
      </c>
      <c r="C1027" s="64" t="n">
        <v>1020</v>
      </c>
      <c r="D1027" s="65" t="e">
        <f aca="false">VLOOKUP(A1027,BD_ORDENES!A:BE,10,0)</f>
        <v>#N/A</v>
      </c>
      <c r="E1027" s="66" t="e">
        <f aca="false">VLOOKUP(A1027,BD_ORDENES!A:BG,4,FALSE())</f>
        <v>#N/A</v>
      </c>
      <c r="F1027" s="66" t="e">
        <f aca="false">VLOOKUP(A1027,BD_ORDENES!A:BE,56,FALSE())</f>
        <v>#N/A</v>
      </c>
      <c r="G1027" s="67" t="e">
        <f aca="false">VLOOKUP(A1027,BD_ORDENES!A:BE,13,FALSE())</f>
        <v>#N/A</v>
      </c>
      <c r="H1027" s="68" t="e">
        <f aca="false">VLOOKUP(A1027,BD_ORDENES!A:BE,17,FALSE())</f>
        <v>#N/A</v>
      </c>
      <c r="I1027" s="68" t="e">
        <f aca="false">VLOOKUP(A1027,BD_ORDENES!A:BE,18,FALSE())</f>
        <v>#N/A</v>
      </c>
      <c r="J1027" s="68" t="e">
        <f aca="false">VLOOKUP(A1027,BD_ORDENES!A:BE,19,FALSE())</f>
        <v>#N/A</v>
      </c>
      <c r="K1027" s="68" t="e">
        <f aca="false">VLOOKUP(A1027,BD_ORDENES!A:BE,20,FALSE())</f>
        <v>#N/A</v>
      </c>
      <c r="L1027" s="68" t="e">
        <f aca="false">VLOOKUP(A1027,BD_ORDENES!A:BE,21,FALSE())</f>
        <v>#N/A</v>
      </c>
      <c r="M1027" s="69" t="e">
        <f aca="false">VLOOKUP(A1027,BD_ORDENES!A:BE,14,FALSE())</f>
        <v>#N/A</v>
      </c>
      <c r="N1027" s="68" t="e">
        <f aca="false">VLOOKUP(A1027,BD_ORDENES!A:BE,15,FALSE())</f>
        <v>#N/A</v>
      </c>
      <c r="O1027" s="68" t="e">
        <f aca="false">VLOOKUP(A1027,BD_ORDENES!A:BE,33,FALSE())</f>
        <v>#N/A</v>
      </c>
      <c r="P1027" s="68" t="e">
        <f aca="false">VLOOKUP(A1027,BD_ORDENES!A:BE,23,FALSE())</f>
        <v>#N/A</v>
      </c>
      <c r="Q1027" s="68" t="e">
        <f aca="false">VLOOKUP(A1027,BD_ORDENES!A:BE,52,FALSE())</f>
        <v>#N/A</v>
      </c>
      <c r="R1027" s="68" t="e">
        <f aca="false">VLOOKUP(A1027,BD_ORDENES!A:BE,25,FALSE())</f>
        <v>#N/A</v>
      </c>
      <c r="S1027" s="68" t="e">
        <f aca="false">VLOOKUP(A1027,BD_ORDENES!A:BE,22,FALSE())</f>
        <v>#N/A</v>
      </c>
      <c r="T1027" s="65" t="e">
        <f aca="false">VLOOKUP(A1027,BD_ORDENES!A:BE,55,FALSE())</f>
        <v>#N/A</v>
      </c>
      <c r="U1027" s="68" t="e">
        <f aca="false">VLOOKUP(A1027,BD_ORDENES!A:BE,57,FALSE())</f>
        <v>#N/A</v>
      </c>
      <c r="V1027" s="70"/>
    </row>
    <row r="1028" customFormat="false" ht="29.1" hidden="false" customHeight="false" outlineLevel="0" collapsed="false">
      <c r="A1028" s="62" t="n">
        <f aca="false">A1027+1</f>
        <v>1021</v>
      </c>
      <c r="B1028" s="63" t="e">
        <f aca="false">VLOOKUP(A1028,BD_ORDENES!A:BG,12,FALSE())</f>
        <v>#N/A</v>
      </c>
      <c r="C1028" s="64" t="n">
        <v>1021</v>
      </c>
      <c r="D1028" s="65" t="e">
        <f aca="false">VLOOKUP(A1028,BD_ORDENES!A:BE,10,0)</f>
        <v>#N/A</v>
      </c>
      <c r="E1028" s="66" t="e">
        <f aca="false">VLOOKUP(A1028,BD_ORDENES!A:BG,4,FALSE())</f>
        <v>#N/A</v>
      </c>
      <c r="F1028" s="66" t="e">
        <f aca="false">VLOOKUP(A1028,BD_ORDENES!A:BE,56,FALSE())</f>
        <v>#N/A</v>
      </c>
      <c r="G1028" s="67" t="e">
        <f aca="false">VLOOKUP(A1028,BD_ORDENES!A:BE,13,FALSE())</f>
        <v>#N/A</v>
      </c>
      <c r="H1028" s="68" t="e">
        <f aca="false">VLOOKUP(A1028,BD_ORDENES!A:BE,17,FALSE())</f>
        <v>#N/A</v>
      </c>
      <c r="I1028" s="68" t="e">
        <f aca="false">VLOOKUP(A1028,BD_ORDENES!A:BE,18,FALSE())</f>
        <v>#N/A</v>
      </c>
      <c r="J1028" s="68" t="e">
        <f aca="false">VLOOKUP(A1028,BD_ORDENES!A:BE,19,FALSE())</f>
        <v>#N/A</v>
      </c>
      <c r="K1028" s="68" t="e">
        <f aca="false">VLOOKUP(A1028,BD_ORDENES!A:BE,20,FALSE())</f>
        <v>#N/A</v>
      </c>
      <c r="L1028" s="68" t="e">
        <f aca="false">VLOOKUP(A1028,BD_ORDENES!A:BE,21,FALSE())</f>
        <v>#N/A</v>
      </c>
      <c r="M1028" s="69" t="e">
        <f aca="false">VLOOKUP(A1028,BD_ORDENES!A:BE,14,FALSE())</f>
        <v>#N/A</v>
      </c>
      <c r="N1028" s="68" t="e">
        <f aca="false">VLOOKUP(A1028,BD_ORDENES!A:BE,15,FALSE())</f>
        <v>#N/A</v>
      </c>
      <c r="O1028" s="68" t="e">
        <f aca="false">VLOOKUP(A1028,BD_ORDENES!A:BE,33,FALSE())</f>
        <v>#N/A</v>
      </c>
      <c r="P1028" s="68" t="e">
        <f aca="false">VLOOKUP(A1028,BD_ORDENES!A:BE,23,FALSE())</f>
        <v>#N/A</v>
      </c>
      <c r="Q1028" s="68" t="e">
        <f aca="false">VLOOKUP(A1028,BD_ORDENES!A:BE,52,FALSE())</f>
        <v>#N/A</v>
      </c>
      <c r="R1028" s="68" t="e">
        <f aca="false">VLOOKUP(A1028,BD_ORDENES!A:BE,25,FALSE())</f>
        <v>#N/A</v>
      </c>
      <c r="S1028" s="68" t="e">
        <f aca="false">VLOOKUP(A1028,BD_ORDENES!A:BE,22,FALSE())</f>
        <v>#N/A</v>
      </c>
      <c r="T1028" s="65" t="e">
        <f aca="false">VLOOKUP(A1028,BD_ORDENES!A:BE,55,FALSE())</f>
        <v>#N/A</v>
      </c>
      <c r="U1028" s="68" t="e">
        <f aca="false">VLOOKUP(A1028,BD_ORDENES!A:BE,57,FALSE())</f>
        <v>#N/A</v>
      </c>
      <c r="V1028" s="70"/>
    </row>
  </sheetData>
  <autoFilter ref="D7:V660"/>
  <mergeCells count="6">
    <mergeCell ref="C3:F4"/>
    <mergeCell ref="G3:T4"/>
    <mergeCell ref="U3:V3"/>
    <mergeCell ref="C5:N5"/>
    <mergeCell ref="O5:Q5"/>
    <mergeCell ref="R5:V5"/>
  </mergeCells>
  <printOptions headings="false" gridLines="false" gridLinesSet="true" horizontalCentered="true" verticalCentered="false"/>
  <pageMargins left="0.236111111111111" right="0.275694444444444" top="0.472222222222222" bottom="0.315277777777778" header="0.511811023622047" footer="0.511811023622047"/>
  <pageSetup paperSize="1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FF00"/>
    <pageSetUpPr fitToPage="false"/>
  </sheetPr>
  <dimension ref="A1:AM147"/>
  <sheetViews>
    <sheetView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A10" activeCellId="0" sqref="A10"/>
    </sheetView>
  </sheetViews>
  <sheetFormatPr defaultColWidth="11.00390625" defaultRowHeight="15" customHeight="true" zeroHeight="false" outlineLevelRow="0" outlineLevelCol="0"/>
  <cols>
    <col collapsed="false" customWidth="true" hidden="false" outlineLevel="0" max="1" min="1" style="0" width="77.43"/>
    <col collapsed="false" customWidth="true" hidden="false" outlineLevel="0" max="2" min="2" style="0" width="29"/>
    <col collapsed="false" customWidth="true" hidden="false" outlineLevel="0" max="3" min="3" style="0" width="22.71"/>
    <col collapsed="false" customWidth="true" hidden="false" outlineLevel="0" max="4" min="4" style="0" width="24"/>
    <col collapsed="false" customWidth="true" hidden="false" outlineLevel="0" max="5" min="5" style="0" width="13.57"/>
    <col collapsed="false" customWidth="true" hidden="false" outlineLevel="0" max="6" min="6" style="0" width="27.28"/>
    <col collapsed="false" customWidth="true" hidden="false" outlineLevel="0" max="7" min="7" style="0" width="15.43"/>
    <col collapsed="false" customWidth="true" hidden="false" outlineLevel="0" max="8" min="8" style="0" width="18.57"/>
    <col collapsed="false" customWidth="true" hidden="false" outlineLevel="0" max="10" min="10" style="0" width="27.57"/>
    <col collapsed="false" customWidth="true" hidden="false" outlineLevel="0" max="11" min="11" style="0" width="79.72"/>
    <col collapsed="false" customWidth="true" hidden="false" outlineLevel="0" max="12" min="12" style="0" width="25.57"/>
    <col collapsed="false" customWidth="true" hidden="false" outlineLevel="0" max="13" min="13" style="10" width="37.29"/>
    <col collapsed="false" customWidth="true" hidden="false" outlineLevel="0" max="14" min="14" style="0" width="45.86"/>
  </cols>
  <sheetData>
    <row r="1" customFormat="false" ht="35.25" hidden="false" customHeight="true" outlineLevel="0" collapsed="false">
      <c r="A1" s="83"/>
    </row>
    <row r="2" s="88" customFormat="true" ht="59.25" hidden="false" customHeight="true" outlineLevel="0" collapsed="false">
      <c r="A2" s="84" t="s">
        <v>36</v>
      </c>
      <c r="B2" s="84" t="s">
        <v>39</v>
      </c>
      <c r="C2" s="84" t="s">
        <v>2417</v>
      </c>
      <c r="D2" s="84" t="s">
        <v>41</v>
      </c>
      <c r="E2" s="84" t="s">
        <v>42</v>
      </c>
      <c r="F2" s="84" t="s">
        <v>43</v>
      </c>
      <c r="G2" s="85" t="s">
        <v>44</v>
      </c>
      <c r="H2" s="85" t="s">
        <v>45</v>
      </c>
      <c r="I2" s="84" t="s">
        <v>46</v>
      </c>
      <c r="J2" s="84" t="s">
        <v>55</v>
      </c>
      <c r="K2" s="86" t="s">
        <v>2418</v>
      </c>
      <c r="L2" s="86" t="s">
        <v>10</v>
      </c>
      <c r="M2" s="87" t="s">
        <v>2419</v>
      </c>
      <c r="N2" s="87" t="s">
        <v>2420</v>
      </c>
      <c r="O2" s="87" t="s">
        <v>2421</v>
      </c>
      <c r="P2" s="84"/>
      <c r="Q2" s="84"/>
      <c r="R2" s="84"/>
      <c r="S2" s="84"/>
      <c r="T2" s="84"/>
      <c r="U2" s="84"/>
      <c r="V2" s="84"/>
      <c r="W2" s="84"/>
      <c r="X2" s="84"/>
      <c r="Y2" s="84"/>
      <c r="Z2" s="84"/>
      <c r="AA2" s="84"/>
      <c r="AB2" s="84"/>
      <c r="AC2" s="84"/>
      <c r="AD2" s="84"/>
      <c r="AE2" s="84"/>
      <c r="AF2" s="84"/>
      <c r="AG2" s="84"/>
      <c r="AH2" s="84"/>
      <c r="AI2" s="84"/>
      <c r="AJ2" s="84"/>
      <c r="AK2" s="84"/>
      <c r="AL2" s="84"/>
      <c r="AM2" s="84"/>
    </row>
    <row r="3" customFormat="false" ht="15" hidden="false" customHeight="false" outlineLevel="0" collapsed="false">
      <c r="A3" s="0" t="s">
        <v>2422</v>
      </c>
      <c r="B3" s="0" t="s">
        <v>79</v>
      </c>
      <c r="C3" s="0" t="s">
        <v>80</v>
      </c>
      <c r="E3" s="0" t="n">
        <v>1013458919</v>
      </c>
      <c r="F3" s="0" t="s">
        <v>82</v>
      </c>
      <c r="G3" s="0" t="s">
        <v>83</v>
      </c>
      <c r="H3" s="0" t="s">
        <v>83</v>
      </c>
      <c r="J3" s="0" t="s">
        <v>86</v>
      </c>
      <c r="K3" s="0" t="s">
        <v>76</v>
      </c>
      <c r="L3" s="0" t="s">
        <v>92</v>
      </c>
      <c r="M3" s="10" t="s">
        <v>72</v>
      </c>
      <c r="N3" s="0" t="s">
        <v>91</v>
      </c>
      <c r="O3" s="89" t="n">
        <v>1</v>
      </c>
    </row>
    <row r="4" customFormat="false" ht="15" hidden="false" customHeight="false" outlineLevel="0" collapsed="false">
      <c r="A4" s="0" t="s">
        <v>2423</v>
      </c>
      <c r="B4" s="0" t="s">
        <v>103</v>
      </c>
      <c r="C4" s="0" t="s">
        <v>104</v>
      </c>
      <c r="E4" s="0" t="n">
        <v>1129565217</v>
      </c>
      <c r="F4" s="0" t="s">
        <v>106</v>
      </c>
      <c r="G4" s="0" t="s">
        <v>107</v>
      </c>
      <c r="H4" s="0" t="n">
        <v>3005184987</v>
      </c>
      <c r="J4" s="0" t="s">
        <v>109</v>
      </c>
      <c r="K4" s="0" t="s">
        <v>100</v>
      </c>
      <c r="L4" s="0" t="s">
        <v>92</v>
      </c>
      <c r="M4" s="10" t="s">
        <v>98</v>
      </c>
      <c r="N4" s="0" t="s">
        <v>112</v>
      </c>
      <c r="O4" s="89" t="n">
        <v>1</v>
      </c>
    </row>
    <row r="5" customFormat="false" ht="15" hidden="false" customHeight="false" outlineLevel="0" collapsed="false">
      <c r="A5" s="0" t="s">
        <v>2424</v>
      </c>
      <c r="B5" s="0" t="s">
        <v>121</v>
      </c>
      <c r="C5" s="0" t="s">
        <v>122</v>
      </c>
      <c r="E5" s="0" t="n">
        <v>1110447663</v>
      </c>
      <c r="F5" s="0" t="s">
        <v>124</v>
      </c>
      <c r="H5" s="0" t="n">
        <v>3187673537</v>
      </c>
      <c r="I5" s="0" t="s">
        <v>126</v>
      </c>
      <c r="J5" s="0" t="s">
        <v>127</v>
      </c>
      <c r="K5" s="0" t="s">
        <v>117</v>
      </c>
      <c r="L5" s="0" t="s">
        <v>92</v>
      </c>
      <c r="M5" s="10" t="s">
        <v>115</v>
      </c>
      <c r="N5" s="0" t="s">
        <v>131</v>
      </c>
      <c r="O5" s="89" t="n">
        <v>1</v>
      </c>
    </row>
    <row r="6" customFormat="false" ht="15" hidden="false" customHeight="false" outlineLevel="0" collapsed="false">
      <c r="A6" s="0" t="s">
        <v>2425</v>
      </c>
      <c r="B6" s="0" t="s">
        <v>143</v>
      </c>
      <c r="C6" s="0" t="s">
        <v>144</v>
      </c>
      <c r="E6" s="0" t="n">
        <v>23782072</v>
      </c>
      <c r="F6" s="0" t="s">
        <v>146</v>
      </c>
      <c r="G6" s="0" t="s">
        <v>147</v>
      </c>
      <c r="H6" s="0" t="s">
        <v>147</v>
      </c>
      <c r="J6" s="0" t="s">
        <v>148</v>
      </c>
      <c r="K6" s="0" t="s">
        <v>137</v>
      </c>
      <c r="L6" s="0" t="s">
        <v>152</v>
      </c>
      <c r="M6" s="10" t="s">
        <v>134</v>
      </c>
      <c r="N6" s="0" t="s">
        <v>151</v>
      </c>
      <c r="O6" s="89" t="n">
        <v>1</v>
      </c>
    </row>
    <row r="7" customFormat="false" ht="15" hidden="false" customHeight="false" outlineLevel="0" collapsed="false">
      <c r="A7" s="0" t="s">
        <v>2426</v>
      </c>
      <c r="B7" s="0" t="s">
        <v>178</v>
      </c>
      <c r="C7" s="0" t="s">
        <v>179</v>
      </c>
      <c r="E7" s="0" t="n">
        <v>1019120295</v>
      </c>
      <c r="F7" s="0" t="s">
        <v>181</v>
      </c>
      <c r="G7" s="0" t="s">
        <v>182</v>
      </c>
      <c r="H7" s="0" t="s">
        <v>182</v>
      </c>
      <c r="J7" s="0" t="s">
        <v>183</v>
      </c>
      <c r="K7" s="0" t="s">
        <v>174</v>
      </c>
      <c r="L7" s="0" t="s">
        <v>186</v>
      </c>
      <c r="M7" s="10" t="s">
        <v>171</v>
      </c>
      <c r="N7" s="0" t="s">
        <v>185</v>
      </c>
      <c r="O7" s="89" t="n">
        <v>1</v>
      </c>
    </row>
    <row r="8" customFormat="false" ht="15" hidden="false" customHeight="false" outlineLevel="0" collapsed="false">
      <c r="A8" s="0" t="s">
        <v>2427</v>
      </c>
      <c r="B8" s="0" t="s">
        <v>201</v>
      </c>
      <c r="C8" s="0" t="s">
        <v>202</v>
      </c>
      <c r="E8" s="0" t="n">
        <v>1022426468</v>
      </c>
      <c r="F8" s="0" t="s">
        <v>204</v>
      </c>
      <c r="H8" s="0" t="n">
        <v>3178947090</v>
      </c>
      <c r="I8" s="0" t="n">
        <v>125459357</v>
      </c>
      <c r="J8" s="0" t="n">
        <v>0</v>
      </c>
      <c r="K8" s="0" t="s">
        <v>194</v>
      </c>
      <c r="L8" s="0" t="s">
        <v>92</v>
      </c>
      <c r="M8" s="10" t="s">
        <v>190</v>
      </c>
      <c r="N8" s="0" t="s">
        <v>209</v>
      </c>
      <c r="O8" s="89" t="n">
        <v>1</v>
      </c>
    </row>
    <row r="9" customFormat="false" ht="15" hidden="false" customHeight="false" outlineLevel="0" collapsed="false">
      <c r="A9" s="0" t="s">
        <v>2428</v>
      </c>
      <c r="B9" s="0" t="s">
        <v>223</v>
      </c>
      <c r="C9" s="0" t="s">
        <v>224</v>
      </c>
      <c r="E9" s="0" t="n">
        <v>1144058545</v>
      </c>
      <c r="F9" s="0" t="s">
        <v>226</v>
      </c>
      <c r="H9" s="0" t="n">
        <v>3153164910</v>
      </c>
      <c r="I9" s="0" t="n">
        <v>125473294</v>
      </c>
      <c r="J9" s="0" t="n">
        <v>0</v>
      </c>
      <c r="K9" s="0" t="s">
        <v>216</v>
      </c>
      <c r="L9" s="0" t="s">
        <v>92</v>
      </c>
      <c r="M9" s="10" t="s">
        <v>213</v>
      </c>
      <c r="N9" s="0" t="s">
        <v>230</v>
      </c>
      <c r="O9" s="89" t="n">
        <v>1</v>
      </c>
    </row>
    <row r="10" customFormat="false" ht="15" hidden="false" customHeight="false" outlineLevel="0" collapsed="false">
      <c r="A10" s="0" t="s">
        <v>2429</v>
      </c>
      <c r="B10" s="0" t="s">
        <v>238</v>
      </c>
      <c r="C10" s="0" t="s">
        <v>202</v>
      </c>
      <c r="E10" s="0" t="n">
        <v>1073245736</v>
      </c>
      <c r="F10" s="0" t="s">
        <v>239</v>
      </c>
      <c r="H10" s="0" t="n">
        <v>573188095946</v>
      </c>
      <c r="I10" s="0" t="n">
        <v>138596693</v>
      </c>
      <c r="J10" s="0" t="n">
        <v>0</v>
      </c>
      <c r="K10" s="0" t="s">
        <v>234</v>
      </c>
      <c r="L10" s="0" t="s">
        <v>92</v>
      </c>
      <c r="M10" s="10" t="n">
        <v>2736959765</v>
      </c>
      <c r="N10" s="0" t="s">
        <v>242</v>
      </c>
      <c r="O10" s="89" t="n">
        <v>1</v>
      </c>
    </row>
    <row r="11" customFormat="false" ht="15" hidden="false" customHeight="false" outlineLevel="0" collapsed="false">
      <c r="A11" s="0" t="s">
        <v>2430</v>
      </c>
      <c r="B11" s="0" t="s">
        <v>238</v>
      </c>
      <c r="F11" s="0" t="s">
        <v>253</v>
      </c>
      <c r="H11" s="0" t="s">
        <v>254</v>
      </c>
      <c r="J11" s="0" t="s">
        <v>255</v>
      </c>
      <c r="K11" s="0" t="s">
        <v>248</v>
      </c>
      <c r="L11" s="0" t="s">
        <v>92</v>
      </c>
      <c r="M11" s="10" t="s">
        <v>244</v>
      </c>
      <c r="N11" s="0" t="s">
        <v>258</v>
      </c>
      <c r="O11" s="89" t="n">
        <v>2</v>
      </c>
    </row>
    <row r="12" customFormat="false" ht="15" hidden="false" customHeight="false" outlineLevel="0" collapsed="false">
      <c r="A12" s="90" t="s">
        <v>2431</v>
      </c>
      <c r="B12" s="89" t="s">
        <v>439</v>
      </c>
      <c r="C12" s="90" t="s">
        <v>179</v>
      </c>
      <c r="D12" s="89"/>
      <c r="E12" s="89" t="s">
        <v>440</v>
      </c>
      <c r="F12" s="89" t="s">
        <v>441</v>
      </c>
      <c r="G12" s="89"/>
      <c r="H12" s="89" t="n">
        <v>0</v>
      </c>
      <c r="I12" s="89" t="s">
        <v>442</v>
      </c>
      <c r="J12" s="89" t="n">
        <v>0</v>
      </c>
      <c r="K12" s="89" t="s">
        <v>433</v>
      </c>
      <c r="L12" s="89" t="s">
        <v>92</v>
      </c>
      <c r="M12" s="10" t="n">
        <v>13938687</v>
      </c>
      <c r="N12" s="89" t="s">
        <v>446</v>
      </c>
      <c r="O12" s="89" t="n">
        <v>8</v>
      </c>
    </row>
    <row r="13" customFormat="false" ht="15" hidden="false" customHeight="false" outlineLevel="0" collapsed="false">
      <c r="A13" s="90" t="s">
        <v>2432</v>
      </c>
      <c r="B13" s="89" t="s">
        <v>439</v>
      </c>
      <c r="C13" s="90" t="s">
        <v>179</v>
      </c>
      <c r="D13" s="89"/>
      <c r="E13" s="89" t="n">
        <v>26617058</v>
      </c>
      <c r="F13" s="89" t="s">
        <v>458</v>
      </c>
      <c r="G13" s="89"/>
      <c r="H13" s="89" t="n">
        <v>3106254853</v>
      </c>
      <c r="I13" s="89" t="n">
        <v>553167</v>
      </c>
      <c r="J13" s="89" t="n">
        <v>0</v>
      </c>
      <c r="K13" s="89" t="s">
        <v>452</v>
      </c>
      <c r="L13" s="89" t="s">
        <v>461</v>
      </c>
      <c r="M13" s="10" t="n">
        <v>13937014</v>
      </c>
      <c r="N13" s="89" t="s">
        <v>460</v>
      </c>
      <c r="O13" s="89" t="n">
        <v>3</v>
      </c>
    </row>
    <row r="14" customFormat="false" ht="15" hidden="false" customHeight="false" outlineLevel="0" collapsed="false">
      <c r="A14" s="90" t="s">
        <v>2433</v>
      </c>
      <c r="B14" s="89" t="s">
        <v>468</v>
      </c>
      <c r="C14" s="90" t="s">
        <v>144</v>
      </c>
      <c r="D14" s="89"/>
      <c r="E14" s="89" t="s">
        <v>469</v>
      </c>
      <c r="F14" s="89" t="s">
        <v>470</v>
      </c>
      <c r="G14" s="89"/>
      <c r="H14" s="89" t="s">
        <v>471</v>
      </c>
      <c r="I14" s="89"/>
      <c r="J14" s="89" t="s">
        <v>473</v>
      </c>
      <c r="K14" s="89" t="s">
        <v>466</v>
      </c>
      <c r="L14" s="89" t="s">
        <v>152</v>
      </c>
      <c r="M14" s="10" t="s">
        <v>463</v>
      </c>
      <c r="N14" s="89" t="s">
        <v>475</v>
      </c>
      <c r="O14" s="89" t="n">
        <v>1</v>
      </c>
    </row>
    <row r="15" customFormat="false" ht="15" hidden="false" customHeight="false" outlineLevel="0" collapsed="false">
      <c r="A15" s="90" t="s">
        <v>2434</v>
      </c>
      <c r="B15" s="89" t="s">
        <v>439</v>
      </c>
      <c r="C15" s="90" t="s">
        <v>179</v>
      </c>
      <c r="D15" s="89"/>
      <c r="E15" s="89" t="n">
        <v>1110551440</v>
      </c>
      <c r="F15" s="89" t="s">
        <v>458</v>
      </c>
      <c r="G15" s="89"/>
      <c r="H15" s="89" t="n">
        <v>3178603193</v>
      </c>
      <c r="I15" s="89" t="n">
        <v>533753</v>
      </c>
      <c r="J15" s="89" t="n">
        <v>0</v>
      </c>
      <c r="K15" s="89" t="s">
        <v>632</v>
      </c>
      <c r="L15" s="89" t="s">
        <v>461</v>
      </c>
      <c r="M15" s="10" t="n">
        <v>13935211</v>
      </c>
      <c r="N15" s="89" t="s">
        <v>636</v>
      </c>
      <c r="O15" s="89" t="n">
        <v>1</v>
      </c>
    </row>
    <row r="16" customFormat="false" ht="15" hidden="false" customHeight="false" outlineLevel="0" collapsed="false">
      <c r="A16" s="90" t="s">
        <v>2435</v>
      </c>
      <c r="B16" s="89" t="s">
        <v>439</v>
      </c>
      <c r="C16" s="90" t="s">
        <v>179</v>
      </c>
      <c r="D16" s="89"/>
      <c r="E16" s="89" t="n">
        <v>71641622</v>
      </c>
      <c r="F16" s="89" t="s">
        <v>458</v>
      </c>
      <c r="G16" s="89"/>
      <c r="H16" s="89" t="n">
        <v>3104671357</v>
      </c>
      <c r="I16" s="89" t="n">
        <v>758868</v>
      </c>
      <c r="J16" s="89" t="s">
        <v>643</v>
      </c>
      <c r="K16" s="89" t="s">
        <v>639</v>
      </c>
      <c r="L16" s="89" t="s">
        <v>461</v>
      </c>
      <c r="M16" s="10" t="n">
        <v>13935155</v>
      </c>
      <c r="N16" s="89" t="s">
        <v>645</v>
      </c>
      <c r="O16" s="89" t="n">
        <v>1</v>
      </c>
    </row>
    <row r="17" customFormat="false" ht="15" hidden="false" customHeight="false" outlineLevel="0" collapsed="false">
      <c r="A17" s="90" t="s">
        <v>2436</v>
      </c>
      <c r="B17" s="89" t="s">
        <v>439</v>
      </c>
      <c r="C17" s="90" t="s">
        <v>179</v>
      </c>
      <c r="D17" s="89"/>
      <c r="E17" s="89" t="n">
        <v>1070925971</v>
      </c>
      <c r="F17" s="89" t="s">
        <v>458</v>
      </c>
      <c r="G17" s="89"/>
      <c r="H17" s="89" t="n">
        <v>3006133481</v>
      </c>
      <c r="I17" s="89" t="n">
        <v>533746</v>
      </c>
      <c r="J17" s="89" t="s">
        <v>648</v>
      </c>
      <c r="K17" s="89" t="s">
        <v>632</v>
      </c>
      <c r="L17" s="89" t="s">
        <v>461</v>
      </c>
      <c r="M17" s="10" t="n">
        <v>13935108</v>
      </c>
      <c r="N17" s="89" t="s">
        <v>650</v>
      </c>
      <c r="O17" s="89" t="n">
        <v>1</v>
      </c>
    </row>
    <row r="18" customFormat="false" ht="15" hidden="false" customHeight="false" outlineLevel="0" collapsed="false">
      <c r="A18" s="90" t="s">
        <v>2437</v>
      </c>
      <c r="B18" s="89" t="s">
        <v>669</v>
      </c>
      <c r="C18" s="90" t="s">
        <v>670</v>
      </c>
      <c r="D18" s="89"/>
      <c r="E18" s="89" t="n">
        <v>1085281457</v>
      </c>
      <c r="F18" s="89" t="s">
        <v>671</v>
      </c>
      <c r="G18" s="89"/>
      <c r="H18" s="89" t="n">
        <v>3007504618</v>
      </c>
      <c r="I18" s="89" t="n">
        <v>403505</v>
      </c>
      <c r="J18" s="89" t="n">
        <v>0</v>
      </c>
      <c r="K18" s="89" t="s">
        <v>665</v>
      </c>
      <c r="L18" s="89" t="s">
        <v>461</v>
      </c>
      <c r="M18" s="10" t="n">
        <v>13934453</v>
      </c>
      <c r="N18" s="89" t="s">
        <v>673</v>
      </c>
      <c r="O18" s="89" t="n">
        <v>1</v>
      </c>
    </row>
    <row r="19" customFormat="false" ht="15" hidden="false" customHeight="false" outlineLevel="0" collapsed="false">
      <c r="A19" s="90" t="s">
        <v>2438</v>
      </c>
      <c r="B19" s="89" t="s">
        <v>439</v>
      </c>
      <c r="C19" s="90" t="s">
        <v>179</v>
      </c>
      <c r="D19" s="89"/>
      <c r="E19" s="89" t="n">
        <v>1090525431</v>
      </c>
      <c r="F19" s="89" t="s">
        <v>458</v>
      </c>
      <c r="G19" s="89"/>
      <c r="H19" s="89" t="n">
        <v>3123776942</v>
      </c>
      <c r="I19" s="89" t="n">
        <v>566427</v>
      </c>
      <c r="J19" s="89" t="n">
        <v>0</v>
      </c>
      <c r="K19" s="89" t="s">
        <v>676</v>
      </c>
      <c r="L19" s="89" t="s">
        <v>461</v>
      </c>
      <c r="M19" s="10" t="n">
        <v>13934382</v>
      </c>
      <c r="N19" s="89" t="s">
        <v>680</v>
      </c>
      <c r="O19" s="89" t="n">
        <v>1</v>
      </c>
    </row>
    <row r="20" customFormat="false" ht="15" hidden="false" customHeight="false" outlineLevel="0" collapsed="false">
      <c r="A20" s="90" t="s">
        <v>2439</v>
      </c>
      <c r="B20" s="89" t="s">
        <v>439</v>
      </c>
      <c r="C20" s="90" t="s">
        <v>179</v>
      </c>
      <c r="D20" s="89"/>
      <c r="E20" s="89" t="n">
        <v>1022360677</v>
      </c>
      <c r="F20" s="89" t="s">
        <v>458</v>
      </c>
      <c r="G20" s="89"/>
      <c r="H20" s="89" t="n">
        <v>3006103594</v>
      </c>
      <c r="I20" s="89" t="n">
        <v>435544</v>
      </c>
      <c r="J20" s="89" t="s">
        <v>686</v>
      </c>
      <c r="K20" s="89" t="s">
        <v>683</v>
      </c>
      <c r="L20" s="89" t="s">
        <v>461</v>
      </c>
      <c r="M20" s="10" t="n">
        <v>13934213</v>
      </c>
      <c r="N20" s="89" t="s">
        <v>688</v>
      </c>
      <c r="O20" s="89" t="n">
        <v>1</v>
      </c>
    </row>
    <row r="21" customFormat="false" ht="15" hidden="false" customHeight="false" outlineLevel="0" collapsed="false">
      <c r="A21" s="90" t="s">
        <v>2440</v>
      </c>
      <c r="B21" s="89" t="s">
        <v>439</v>
      </c>
      <c r="C21" s="90" t="s">
        <v>179</v>
      </c>
      <c r="D21" s="89"/>
      <c r="E21" s="89" t="n">
        <v>71752790</v>
      </c>
      <c r="F21" s="89" t="s">
        <v>458</v>
      </c>
      <c r="G21" s="89"/>
      <c r="H21" s="89" t="n">
        <v>3146655875</v>
      </c>
      <c r="I21" s="89" t="n">
        <v>570879</v>
      </c>
      <c r="J21" s="89" t="n">
        <v>0</v>
      </c>
      <c r="K21" s="89" t="s">
        <v>691</v>
      </c>
      <c r="L21" s="89" t="s">
        <v>461</v>
      </c>
      <c r="M21" s="10" t="n">
        <v>13934013</v>
      </c>
      <c r="N21" s="89" t="s">
        <v>695</v>
      </c>
      <c r="O21" s="89" t="n">
        <v>1</v>
      </c>
    </row>
    <row r="22" customFormat="false" ht="15" hidden="false" customHeight="false" outlineLevel="0" collapsed="false">
      <c r="A22" s="90" t="s">
        <v>2441</v>
      </c>
      <c r="B22" s="89" t="s">
        <v>439</v>
      </c>
      <c r="C22" s="90" t="s">
        <v>179</v>
      </c>
      <c r="D22" s="89"/>
      <c r="E22" s="89" t="n">
        <v>38941523</v>
      </c>
      <c r="F22" s="89" t="s">
        <v>458</v>
      </c>
      <c r="G22" s="89"/>
      <c r="H22" s="89" t="n">
        <v>3112083681</v>
      </c>
      <c r="I22" s="89" t="n">
        <v>566594</v>
      </c>
      <c r="J22" s="89" t="n">
        <v>0</v>
      </c>
      <c r="K22" s="89" t="s">
        <v>699</v>
      </c>
      <c r="L22" s="89" t="s">
        <v>461</v>
      </c>
      <c r="M22" s="10" t="n">
        <v>13933978</v>
      </c>
      <c r="N22" s="89" t="s">
        <v>705</v>
      </c>
      <c r="O22" s="89" t="n">
        <v>1</v>
      </c>
    </row>
    <row r="23" customFormat="false" ht="15" hidden="false" customHeight="false" outlineLevel="0" collapsed="false">
      <c r="A23" s="90" t="s">
        <v>2442</v>
      </c>
      <c r="B23" s="89" t="s">
        <v>439</v>
      </c>
      <c r="C23" s="90" t="s">
        <v>179</v>
      </c>
      <c r="D23" s="89"/>
      <c r="E23" s="89" t="n">
        <v>901826599</v>
      </c>
      <c r="F23" s="89" t="s">
        <v>458</v>
      </c>
      <c r="G23" s="89"/>
      <c r="H23" s="89" t="n">
        <v>3103012960</v>
      </c>
      <c r="I23" s="89" t="n">
        <v>478566</v>
      </c>
      <c r="J23" s="89" t="n">
        <v>0</v>
      </c>
      <c r="K23" s="89" t="s">
        <v>709</v>
      </c>
      <c r="L23" s="89" t="s">
        <v>461</v>
      </c>
      <c r="M23" s="10" t="n">
        <v>13933631</v>
      </c>
      <c r="N23" s="89" t="s">
        <v>715</v>
      </c>
      <c r="O23" s="89" t="n">
        <v>1</v>
      </c>
    </row>
    <row r="24" customFormat="false" ht="15" hidden="false" customHeight="false" outlineLevel="0" collapsed="false">
      <c r="A24" s="90" t="s">
        <v>2443</v>
      </c>
      <c r="B24" s="89" t="s">
        <v>143</v>
      </c>
      <c r="C24" s="90" t="s">
        <v>144</v>
      </c>
      <c r="D24" s="89"/>
      <c r="E24" s="89" t="n">
        <v>1049623827</v>
      </c>
      <c r="F24" s="89" t="s">
        <v>721</v>
      </c>
      <c r="G24" s="89"/>
      <c r="H24" s="89" t="n">
        <v>3123307019</v>
      </c>
      <c r="I24" s="89" t="n">
        <v>583364</v>
      </c>
      <c r="J24" s="89" t="s">
        <v>722</v>
      </c>
      <c r="K24" s="89" t="s">
        <v>718</v>
      </c>
      <c r="L24" s="89" t="s">
        <v>152</v>
      </c>
      <c r="M24" s="10" t="n">
        <v>13933614</v>
      </c>
      <c r="N24" s="89" t="s">
        <v>724</v>
      </c>
      <c r="O24" s="89" t="n">
        <v>1</v>
      </c>
    </row>
    <row r="25" customFormat="false" ht="15" hidden="false" customHeight="false" outlineLevel="0" collapsed="false">
      <c r="A25" s="90" t="s">
        <v>2444</v>
      </c>
      <c r="B25" s="89" t="s">
        <v>439</v>
      </c>
      <c r="C25" s="90" t="s">
        <v>179</v>
      </c>
      <c r="D25" s="89"/>
      <c r="E25" s="89" t="n">
        <v>1110446195</v>
      </c>
      <c r="F25" s="89" t="s">
        <v>458</v>
      </c>
      <c r="G25" s="89"/>
      <c r="H25" s="89" t="n">
        <v>3013162705</v>
      </c>
      <c r="I25" s="89" t="n">
        <v>555099</v>
      </c>
      <c r="J25" s="89" t="s">
        <v>733</v>
      </c>
      <c r="K25" s="89" t="s">
        <v>729</v>
      </c>
      <c r="L25" s="89" t="s">
        <v>461</v>
      </c>
      <c r="M25" s="10" t="n">
        <v>13932652</v>
      </c>
      <c r="N25" s="89" t="s">
        <v>735</v>
      </c>
      <c r="O25" s="89" t="n">
        <v>1</v>
      </c>
    </row>
    <row r="26" customFormat="false" ht="15" hidden="false" customHeight="false" outlineLevel="0" collapsed="false">
      <c r="A26" s="90" t="s">
        <v>2445</v>
      </c>
      <c r="B26" s="89" t="s">
        <v>746</v>
      </c>
      <c r="C26" s="90" t="s">
        <v>747</v>
      </c>
      <c r="D26" s="89"/>
      <c r="E26" s="89" t="n">
        <v>1121329239</v>
      </c>
      <c r="F26" s="89" t="s">
        <v>748</v>
      </c>
      <c r="G26" s="89"/>
      <c r="H26" s="89" t="n">
        <v>3112154225</v>
      </c>
      <c r="I26" s="89" t="n">
        <v>551319</v>
      </c>
      <c r="J26" s="89" t="n">
        <v>0</v>
      </c>
      <c r="K26" s="89" t="s">
        <v>743</v>
      </c>
      <c r="L26" s="89" t="s">
        <v>461</v>
      </c>
      <c r="M26" s="10" t="n">
        <v>13932136</v>
      </c>
      <c r="N26" s="89" t="s">
        <v>750</v>
      </c>
      <c r="O26" s="89" t="n">
        <v>1</v>
      </c>
    </row>
    <row r="27" customFormat="false" ht="15" hidden="false" customHeight="false" outlineLevel="0" collapsed="false">
      <c r="A27" s="90" t="s">
        <v>2446</v>
      </c>
      <c r="B27" s="89" t="s">
        <v>439</v>
      </c>
      <c r="C27" s="90" t="s">
        <v>179</v>
      </c>
      <c r="D27" s="89"/>
      <c r="E27" s="89" t="n">
        <v>52458414</v>
      </c>
      <c r="F27" s="89" t="s">
        <v>753</v>
      </c>
      <c r="G27" s="89"/>
      <c r="H27" s="89" t="n">
        <v>3112122490</v>
      </c>
      <c r="I27" s="89" t="n">
        <v>555174</v>
      </c>
      <c r="J27" s="89" t="n">
        <v>0</v>
      </c>
      <c r="K27" s="89" t="s">
        <v>304</v>
      </c>
      <c r="L27" s="89" t="s">
        <v>461</v>
      </c>
      <c r="M27" s="10" t="n">
        <v>13932083</v>
      </c>
      <c r="N27" s="89" t="s">
        <v>757</v>
      </c>
      <c r="O27" s="89" t="n">
        <v>1</v>
      </c>
    </row>
    <row r="28" customFormat="false" ht="15" hidden="false" customHeight="false" outlineLevel="0" collapsed="false">
      <c r="A28" s="90" t="s">
        <v>2447</v>
      </c>
      <c r="B28" s="89" t="s">
        <v>764</v>
      </c>
      <c r="C28" s="90" t="s">
        <v>765</v>
      </c>
      <c r="D28" s="89"/>
      <c r="E28" s="89" t="n">
        <v>817007510</v>
      </c>
      <c r="F28" s="89" t="s">
        <v>766</v>
      </c>
      <c r="G28" s="89"/>
      <c r="H28" s="89" t="n">
        <v>3225620672</v>
      </c>
      <c r="I28" s="89" t="s">
        <v>767</v>
      </c>
      <c r="J28" s="89" t="n">
        <v>0</v>
      </c>
      <c r="K28" s="89" t="s">
        <v>760</v>
      </c>
      <c r="L28" s="89" t="s">
        <v>461</v>
      </c>
      <c r="M28" s="10" t="n">
        <v>13928900</v>
      </c>
      <c r="N28" s="89" t="s">
        <v>769</v>
      </c>
      <c r="O28" s="89" t="n">
        <v>4</v>
      </c>
    </row>
    <row r="29" customFormat="false" ht="15" hidden="false" customHeight="false" outlineLevel="0" collapsed="false">
      <c r="A29" s="90" t="s">
        <v>2448</v>
      </c>
      <c r="B29" s="89" t="s">
        <v>439</v>
      </c>
      <c r="C29" s="90" t="s">
        <v>179</v>
      </c>
      <c r="D29" s="89"/>
      <c r="E29" s="89" t="n">
        <v>9009644186</v>
      </c>
      <c r="F29" s="89" t="s">
        <v>458</v>
      </c>
      <c r="G29" s="89"/>
      <c r="H29" s="89" t="n">
        <v>3136735652</v>
      </c>
      <c r="I29" s="89" t="n">
        <v>758868</v>
      </c>
      <c r="J29" s="89" t="n">
        <v>0</v>
      </c>
      <c r="K29" s="89" t="s">
        <v>639</v>
      </c>
      <c r="L29" s="89" t="s">
        <v>461</v>
      </c>
      <c r="M29" s="10" t="n">
        <v>13928149</v>
      </c>
      <c r="N29" s="89" t="s">
        <v>775</v>
      </c>
      <c r="O29" s="89" t="n">
        <v>2</v>
      </c>
    </row>
    <row r="30" customFormat="false" ht="15" hidden="false" customHeight="false" outlineLevel="0" collapsed="false">
      <c r="A30" s="90" t="s">
        <v>2449</v>
      </c>
      <c r="B30" s="89" t="s">
        <v>439</v>
      </c>
      <c r="C30" s="90" t="s">
        <v>179</v>
      </c>
      <c r="D30" s="89"/>
      <c r="E30" s="89" t="n">
        <v>7365315</v>
      </c>
      <c r="F30" s="89" t="s">
        <v>458</v>
      </c>
      <c r="G30" s="89"/>
      <c r="H30" s="89" t="n">
        <v>3008888883</v>
      </c>
      <c r="I30" s="89" t="n">
        <v>664945</v>
      </c>
      <c r="J30" s="89" t="n">
        <v>0</v>
      </c>
      <c r="K30" s="89" t="s">
        <v>778</v>
      </c>
      <c r="L30" s="89" t="s">
        <v>461</v>
      </c>
      <c r="M30" s="10" t="n">
        <v>13928097</v>
      </c>
      <c r="N30" s="89" t="s">
        <v>781</v>
      </c>
      <c r="O30" s="89" t="n">
        <v>1</v>
      </c>
    </row>
    <row r="31" customFormat="false" ht="15" hidden="false" customHeight="false" outlineLevel="0" collapsed="false">
      <c r="A31" s="90" t="s">
        <v>2450</v>
      </c>
      <c r="B31" s="89" t="s">
        <v>439</v>
      </c>
      <c r="C31" s="90" t="s">
        <v>179</v>
      </c>
      <c r="D31" s="89"/>
      <c r="E31" s="89" t="n">
        <v>1017266484</v>
      </c>
      <c r="F31" s="89" t="s">
        <v>458</v>
      </c>
      <c r="G31" s="89"/>
      <c r="H31" s="89" t="n">
        <v>3195961446</v>
      </c>
      <c r="I31" s="89" t="n">
        <v>372232</v>
      </c>
      <c r="J31" s="89" t="n">
        <v>0</v>
      </c>
      <c r="K31" s="89" t="s">
        <v>784</v>
      </c>
      <c r="L31" s="89" t="s">
        <v>461</v>
      </c>
      <c r="M31" s="10" t="n">
        <v>13927920</v>
      </c>
      <c r="N31" s="89" t="s">
        <v>788</v>
      </c>
      <c r="O31" s="89" t="n">
        <v>1</v>
      </c>
    </row>
    <row r="32" customFormat="false" ht="15" hidden="false" customHeight="false" outlineLevel="0" collapsed="false">
      <c r="A32" s="90" t="s">
        <v>2451</v>
      </c>
      <c r="B32" s="89" t="s">
        <v>794</v>
      </c>
      <c r="C32" s="90" t="s">
        <v>795</v>
      </c>
      <c r="D32" s="89"/>
      <c r="E32" s="89" t="n">
        <v>17357893</v>
      </c>
      <c r="F32" s="89" t="s">
        <v>796</v>
      </c>
      <c r="G32" s="89"/>
      <c r="H32" s="89" t="n">
        <v>3102930487</v>
      </c>
      <c r="I32" s="89" t="n">
        <v>525227</v>
      </c>
      <c r="J32" s="89" t="n">
        <v>0</v>
      </c>
      <c r="K32" s="89" t="s">
        <v>791</v>
      </c>
      <c r="L32" s="89" t="s">
        <v>461</v>
      </c>
      <c r="M32" s="10" t="n">
        <v>13927742</v>
      </c>
      <c r="N32" s="89" t="s">
        <v>798</v>
      </c>
      <c r="O32" s="89" t="n">
        <v>1</v>
      </c>
    </row>
    <row r="33" customFormat="false" ht="15" hidden="false" customHeight="false" outlineLevel="0" collapsed="false">
      <c r="A33" s="90" t="s">
        <v>2452</v>
      </c>
      <c r="B33" s="89" t="s">
        <v>439</v>
      </c>
      <c r="C33" s="90" t="s">
        <v>179</v>
      </c>
      <c r="D33" s="89"/>
      <c r="E33" s="89" t="n">
        <v>79897892</v>
      </c>
      <c r="F33" s="89" t="s">
        <v>458</v>
      </c>
      <c r="G33" s="89"/>
      <c r="H33" s="89" t="n">
        <v>3124675937</v>
      </c>
      <c r="I33" s="89" t="n">
        <v>525005</v>
      </c>
      <c r="J33" s="89" t="s">
        <v>803</v>
      </c>
      <c r="K33" s="89" t="s">
        <v>801</v>
      </c>
      <c r="L33" s="89" t="s">
        <v>461</v>
      </c>
      <c r="M33" s="10" t="n">
        <v>13927701</v>
      </c>
      <c r="N33" s="89" t="s">
        <v>805</v>
      </c>
      <c r="O33" s="89" t="n">
        <v>1</v>
      </c>
    </row>
    <row r="34" customFormat="false" ht="15" hidden="false" customHeight="false" outlineLevel="0" collapsed="false">
      <c r="A34" s="90" t="s">
        <v>2453</v>
      </c>
      <c r="B34" s="89" t="s">
        <v>439</v>
      </c>
      <c r="C34" s="90" t="s">
        <v>179</v>
      </c>
      <c r="D34" s="89"/>
      <c r="E34" s="89" t="n">
        <v>1072645493</v>
      </c>
      <c r="F34" s="89" t="s">
        <v>458</v>
      </c>
      <c r="G34" s="89"/>
      <c r="H34" s="89" t="n">
        <v>3186008620</v>
      </c>
      <c r="I34" s="89" t="n">
        <v>661732</v>
      </c>
      <c r="J34" s="89" t="s">
        <v>812</v>
      </c>
      <c r="K34" s="89" t="s">
        <v>808</v>
      </c>
      <c r="L34" s="89" t="s">
        <v>461</v>
      </c>
      <c r="M34" s="10" t="n">
        <v>13927611</v>
      </c>
      <c r="N34" s="89" t="s">
        <v>814</v>
      </c>
      <c r="O34" s="89" t="n">
        <v>1</v>
      </c>
    </row>
    <row r="35" customFormat="false" ht="15" hidden="false" customHeight="false" outlineLevel="0" collapsed="false">
      <c r="A35" s="90" t="s">
        <v>2454</v>
      </c>
      <c r="B35" s="89" t="s">
        <v>821</v>
      </c>
      <c r="C35" s="90" t="s">
        <v>202</v>
      </c>
      <c r="D35" s="89" t="n">
        <v>12763331482</v>
      </c>
      <c r="E35" s="89" t="n">
        <v>79752319</v>
      </c>
      <c r="F35" s="89" t="s">
        <v>822</v>
      </c>
      <c r="G35" s="89"/>
      <c r="H35" s="89" t="n">
        <v>3174410670</v>
      </c>
      <c r="I35" s="89" t="n">
        <v>32390460</v>
      </c>
      <c r="J35" s="89" t="n">
        <v>0</v>
      </c>
      <c r="K35" s="89" t="s">
        <v>818</v>
      </c>
      <c r="L35" s="89" t="s">
        <v>829</v>
      </c>
      <c r="M35" s="10" t="n">
        <v>7423970</v>
      </c>
      <c r="N35" s="89" t="s">
        <v>828</v>
      </c>
      <c r="O35" s="89" t="n">
        <v>1</v>
      </c>
    </row>
    <row r="36" customFormat="false" ht="15" hidden="false" customHeight="false" outlineLevel="0" collapsed="false">
      <c r="A36" s="90" t="s">
        <v>2455</v>
      </c>
      <c r="B36" s="89" t="s">
        <v>841</v>
      </c>
      <c r="C36" s="90" t="s">
        <v>202</v>
      </c>
      <c r="D36" s="89" t="n">
        <v>12763338481</v>
      </c>
      <c r="E36" s="89" t="n">
        <v>39782301</v>
      </c>
      <c r="F36" s="89" t="s">
        <v>842</v>
      </c>
      <c r="G36" s="89"/>
      <c r="H36" s="89" t="n">
        <v>3112871455</v>
      </c>
      <c r="I36" s="89" t="s">
        <v>843</v>
      </c>
      <c r="J36" s="89" t="n">
        <v>0</v>
      </c>
      <c r="K36" s="89" t="s">
        <v>839</v>
      </c>
      <c r="L36" s="89" t="s">
        <v>829</v>
      </c>
      <c r="M36" s="10" t="n">
        <v>7424054</v>
      </c>
      <c r="N36" s="89" t="s">
        <v>845</v>
      </c>
      <c r="O36" s="89" t="n">
        <v>1</v>
      </c>
    </row>
    <row r="37" customFormat="false" ht="15" hidden="false" customHeight="false" outlineLevel="0" collapsed="false">
      <c r="A37" s="90" t="s">
        <v>2456</v>
      </c>
      <c r="B37" s="89" t="s">
        <v>848</v>
      </c>
      <c r="C37" s="90" t="s">
        <v>202</v>
      </c>
      <c r="D37" s="89" t="n">
        <v>12763327881</v>
      </c>
      <c r="E37" s="89" t="n">
        <v>901731455</v>
      </c>
      <c r="F37" s="89" t="s">
        <v>849</v>
      </c>
      <c r="G37" s="89"/>
      <c r="H37" s="89" t="n">
        <v>3142956903</v>
      </c>
      <c r="I37" s="89" t="n">
        <v>34671154</v>
      </c>
      <c r="J37" s="89" t="n">
        <v>0</v>
      </c>
      <c r="K37" s="89" t="s">
        <v>676</v>
      </c>
      <c r="L37" s="89" t="s">
        <v>829</v>
      </c>
      <c r="M37" s="10" t="n">
        <v>7423917</v>
      </c>
      <c r="N37" s="89" t="s">
        <v>851</v>
      </c>
      <c r="O37" s="89" t="n">
        <v>1</v>
      </c>
    </row>
    <row r="38" customFormat="false" ht="15" hidden="false" customHeight="false" outlineLevel="0" collapsed="false">
      <c r="A38" s="90" t="s">
        <v>2457</v>
      </c>
      <c r="B38" s="89" t="s">
        <v>857</v>
      </c>
      <c r="C38" s="90" t="s">
        <v>858</v>
      </c>
      <c r="D38" s="89"/>
      <c r="E38" s="89" t="n">
        <v>1004756669</v>
      </c>
      <c r="F38" s="89" t="s">
        <v>859</v>
      </c>
      <c r="G38" s="89"/>
      <c r="H38" s="89" t="n">
        <v>3234966582</v>
      </c>
      <c r="I38" s="89" t="n">
        <v>559242</v>
      </c>
      <c r="J38" s="89" t="n">
        <v>0</v>
      </c>
      <c r="K38" s="89" t="s">
        <v>854</v>
      </c>
      <c r="L38" s="89" t="s">
        <v>461</v>
      </c>
      <c r="M38" s="10" t="n">
        <v>13927101</v>
      </c>
      <c r="N38" s="89" t="s">
        <v>861</v>
      </c>
      <c r="O38" s="89" t="n">
        <v>1</v>
      </c>
    </row>
    <row r="39" customFormat="false" ht="15" hidden="false" customHeight="false" outlineLevel="0" collapsed="false">
      <c r="A39" s="90" t="s">
        <v>2458</v>
      </c>
      <c r="B39" s="89" t="s">
        <v>439</v>
      </c>
      <c r="C39" s="90" t="s">
        <v>179</v>
      </c>
      <c r="D39" s="89"/>
      <c r="E39" s="89" t="n">
        <v>1014198199</v>
      </c>
      <c r="F39" s="89" t="s">
        <v>458</v>
      </c>
      <c r="G39" s="89"/>
      <c r="H39" s="89" t="n">
        <v>3004312817</v>
      </c>
      <c r="I39" s="89" t="n">
        <v>555166</v>
      </c>
      <c r="J39" s="89" t="n">
        <v>0</v>
      </c>
      <c r="K39" s="89" t="s">
        <v>871</v>
      </c>
      <c r="L39" s="89" t="s">
        <v>461</v>
      </c>
      <c r="M39" s="10" t="n">
        <v>13926966</v>
      </c>
      <c r="N39" s="89" t="s">
        <v>875</v>
      </c>
      <c r="O39" s="89" t="n">
        <v>1</v>
      </c>
    </row>
    <row r="40" customFormat="false" ht="15" hidden="false" customHeight="false" outlineLevel="0" collapsed="false">
      <c r="A40" s="90" t="s">
        <v>2459</v>
      </c>
      <c r="B40" s="89" t="s">
        <v>439</v>
      </c>
      <c r="C40" s="90" t="s">
        <v>179</v>
      </c>
      <c r="D40" s="89"/>
      <c r="E40" s="89" t="n">
        <v>80009436</v>
      </c>
      <c r="F40" s="89" t="s">
        <v>458</v>
      </c>
      <c r="G40" s="89"/>
      <c r="H40" s="89" t="n">
        <v>3008417338</v>
      </c>
      <c r="I40" s="89" t="n">
        <v>551307</v>
      </c>
      <c r="J40" s="89" t="n">
        <v>0</v>
      </c>
      <c r="K40" s="89" t="s">
        <v>878</v>
      </c>
      <c r="L40" s="89" t="s">
        <v>461</v>
      </c>
      <c r="M40" s="10" t="n">
        <v>13926868</v>
      </c>
      <c r="N40" s="89" t="s">
        <v>881</v>
      </c>
      <c r="O40" s="89" t="n">
        <v>1</v>
      </c>
    </row>
    <row r="41" customFormat="false" ht="15" hidden="false" customHeight="false" outlineLevel="0" collapsed="false">
      <c r="A41" s="90" t="s">
        <v>2460</v>
      </c>
      <c r="B41" s="89" t="s">
        <v>439</v>
      </c>
      <c r="C41" s="90" t="s">
        <v>179</v>
      </c>
      <c r="D41" s="89"/>
      <c r="E41" s="89" t="n">
        <v>32205876</v>
      </c>
      <c r="F41" s="89" t="s">
        <v>458</v>
      </c>
      <c r="G41" s="89"/>
      <c r="H41" s="89" t="n">
        <v>9301456877</v>
      </c>
      <c r="I41" s="89" t="n">
        <v>551321</v>
      </c>
      <c r="J41" s="89" t="s">
        <v>886</v>
      </c>
      <c r="K41" s="89" t="s">
        <v>884</v>
      </c>
      <c r="L41" s="89" t="s">
        <v>461</v>
      </c>
      <c r="M41" s="10" t="n">
        <v>13926866</v>
      </c>
      <c r="N41" s="89" t="s">
        <v>888</v>
      </c>
      <c r="O41" s="89" t="n">
        <v>1</v>
      </c>
    </row>
    <row r="42" customFormat="false" ht="15" hidden="false" customHeight="false" outlineLevel="0" collapsed="false">
      <c r="A42" s="90" t="s">
        <v>2461</v>
      </c>
      <c r="B42" s="89" t="s">
        <v>439</v>
      </c>
      <c r="C42" s="90" t="s">
        <v>179</v>
      </c>
      <c r="D42" s="89"/>
      <c r="E42" s="89" t="n">
        <v>1152189006</v>
      </c>
      <c r="F42" s="89" t="s">
        <v>458</v>
      </c>
      <c r="G42" s="89"/>
      <c r="H42" s="89" t="n">
        <v>3014732079</v>
      </c>
      <c r="I42" s="89" t="n">
        <v>711398</v>
      </c>
      <c r="J42" s="89" t="n">
        <v>0</v>
      </c>
      <c r="K42" s="89" t="s">
        <v>892</v>
      </c>
      <c r="L42" s="89" t="s">
        <v>461</v>
      </c>
      <c r="M42" s="10" t="n">
        <v>13926558</v>
      </c>
      <c r="N42" s="89" t="s">
        <v>897</v>
      </c>
      <c r="O42" s="89" t="n">
        <v>1</v>
      </c>
    </row>
    <row r="43" customFormat="false" ht="15" hidden="false" customHeight="false" outlineLevel="0" collapsed="false">
      <c r="A43" s="90" t="s">
        <v>2462</v>
      </c>
      <c r="B43" s="89" t="s">
        <v>439</v>
      </c>
      <c r="C43" s="90" t="s">
        <v>179</v>
      </c>
      <c r="D43" s="89"/>
      <c r="E43" s="89" t="n">
        <v>1014238779</v>
      </c>
      <c r="F43" s="89" t="s">
        <v>458</v>
      </c>
      <c r="G43" s="89"/>
      <c r="H43" s="89" t="n">
        <v>3004909989</v>
      </c>
      <c r="I43" s="89" t="n">
        <v>566428</v>
      </c>
      <c r="J43" s="89" t="s">
        <v>902</v>
      </c>
      <c r="K43" s="89" t="s">
        <v>900</v>
      </c>
      <c r="L43" s="89" t="s">
        <v>461</v>
      </c>
      <c r="M43" s="10" t="n">
        <v>13926437</v>
      </c>
      <c r="N43" s="89" t="s">
        <v>904</v>
      </c>
      <c r="O43" s="89" t="n">
        <v>1</v>
      </c>
    </row>
    <row r="44" customFormat="false" ht="15" hidden="false" customHeight="false" outlineLevel="0" collapsed="false">
      <c r="A44" s="90" t="s">
        <v>2463</v>
      </c>
      <c r="B44" s="89" t="s">
        <v>439</v>
      </c>
      <c r="C44" s="90" t="s">
        <v>179</v>
      </c>
      <c r="D44" s="89"/>
      <c r="E44" s="89" t="n">
        <v>900844775</v>
      </c>
      <c r="F44" s="89" t="s">
        <v>458</v>
      </c>
      <c r="G44" s="89"/>
      <c r="H44" s="89" t="n">
        <v>3115784207</v>
      </c>
      <c r="I44" s="89" t="n">
        <v>567976</v>
      </c>
      <c r="J44" s="89" t="s">
        <v>910</v>
      </c>
      <c r="K44" s="89" t="s">
        <v>907</v>
      </c>
      <c r="L44" s="89" t="s">
        <v>461</v>
      </c>
      <c r="M44" s="10" t="n">
        <v>13926357</v>
      </c>
      <c r="N44" s="89" t="s">
        <v>912</v>
      </c>
      <c r="O44" s="89" t="n">
        <v>1</v>
      </c>
    </row>
    <row r="45" customFormat="false" ht="15" hidden="false" customHeight="false" outlineLevel="0" collapsed="false">
      <c r="A45" s="90" t="s">
        <v>2464</v>
      </c>
      <c r="B45" s="89" t="s">
        <v>439</v>
      </c>
      <c r="C45" s="90" t="s">
        <v>179</v>
      </c>
      <c r="D45" s="89"/>
      <c r="E45" s="89" t="n">
        <v>19160483</v>
      </c>
      <c r="F45" s="89" t="s">
        <v>458</v>
      </c>
      <c r="G45" s="89"/>
      <c r="H45" s="89" t="n">
        <v>3125226003</v>
      </c>
      <c r="I45" s="89" t="n">
        <v>446464</v>
      </c>
      <c r="J45" s="89" t="n">
        <v>0</v>
      </c>
      <c r="K45" s="89" t="s">
        <v>916</v>
      </c>
      <c r="L45" s="89" t="s">
        <v>461</v>
      </c>
      <c r="M45" s="10" t="n">
        <v>13926316</v>
      </c>
      <c r="N45" s="89" t="s">
        <v>922</v>
      </c>
      <c r="O45" s="89" t="n">
        <v>1</v>
      </c>
    </row>
    <row r="46" customFormat="false" ht="15" hidden="false" customHeight="false" outlineLevel="0" collapsed="false">
      <c r="A46" s="90" t="s">
        <v>2465</v>
      </c>
      <c r="B46" s="89" t="s">
        <v>857</v>
      </c>
      <c r="C46" s="90" t="s">
        <v>858</v>
      </c>
      <c r="D46" s="89"/>
      <c r="E46" s="89" t="n">
        <v>32326653</v>
      </c>
      <c r="F46" s="89" t="s">
        <v>927</v>
      </c>
      <c r="G46" s="89"/>
      <c r="H46" s="89" t="n">
        <v>3104192269</v>
      </c>
      <c r="I46" s="89" t="n">
        <v>665365</v>
      </c>
      <c r="J46" s="89" t="n">
        <v>0</v>
      </c>
      <c r="K46" s="89" t="s">
        <v>925</v>
      </c>
      <c r="L46" s="89" t="s">
        <v>461</v>
      </c>
      <c r="M46" s="10" t="n">
        <v>13926107</v>
      </c>
      <c r="N46" s="89" t="s">
        <v>929</v>
      </c>
      <c r="O46" s="89" t="n">
        <v>1</v>
      </c>
    </row>
    <row r="47" customFormat="false" ht="15" hidden="false" customHeight="false" outlineLevel="0" collapsed="false">
      <c r="A47" s="90" t="s">
        <v>2466</v>
      </c>
      <c r="B47" s="89" t="s">
        <v>439</v>
      </c>
      <c r="C47" s="90" t="s">
        <v>179</v>
      </c>
      <c r="D47" s="89"/>
      <c r="E47" s="89" t="n">
        <v>1118070946</v>
      </c>
      <c r="F47" s="89" t="s">
        <v>458</v>
      </c>
      <c r="G47" s="89"/>
      <c r="H47" s="89" t="n">
        <v>3238079293</v>
      </c>
      <c r="I47" s="89" t="n">
        <v>629205</v>
      </c>
      <c r="J47" s="89" t="n">
        <v>0</v>
      </c>
      <c r="K47" s="89" t="s">
        <v>936</v>
      </c>
      <c r="L47" s="89" t="s">
        <v>461</v>
      </c>
      <c r="M47" s="10" t="n">
        <v>13926091</v>
      </c>
      <c r="N47" s="89" t="s">
        <v>941</v>
      </c>
      <c r="O47" s="89" t="n">
        <v>1</v>
      </c>
    </row>
    <row r="48" customFormat="false" ht="15" hidden="false" customHeight="false" outlineLevel="0" collapsed="false">
      <c r="A48" s="90" t="s">
        <v>2467</v>
      </c>
      <c r="B48" s="89" t="s">
        <v>948</v>
      </c>
      <c r="C48" s="90" t="s">
        <v>949</v>
      </c>
      <c r="D48" s="89"/>
      <c r="E48" s="89" t="n">
        <v>42883394</v>
      </c>
      <c r="F48" s="89" t="s">
        <v>950</v>
      </c>
      <c r="G48" s="89"/>
      <c r="H48" s="89" t="n">
        <v>3117113971</v>
      </c>
      <c r="I48" s="89" t="n">
        <v>553769</v>
      </c>
      <c r="J48" s="89" t="s">
        <v>951</v>
      </c>
      <c r="K48" s="89" t="s">
        <v>945</v>
      </c>
      <c r="L48" s="89" t="s">
        <v>461</v>
      </c>
      <c r="M48" s="10" t="n">
        <v>13926021</v>
      </c>
      <c r="N48" s="89" t="s">
        <v>953</v>
      </c>
      <c r="O48" s="89" t="n">
        <v>1</v>
      </c>
    </row>
    <row r="49" customFormat="false" ht="15" hidden="false" customHeight="false" outlineLevel="0" collapsed="false">
      <c r="A49" s="90" t="s">
        <v>2468</v>
      </c>
      <c r="B49" s="89" t="s">
        <v>961</v>
      </c>
      <c r="C49" s="90" t="s">
        <v>962</v>
      </c>
      <c r="D49" s="89"/>
      <c r="E49" s="89" t="n">
        <v>339964</v>
      </c>
      <c r="F49" s="89" t="s">
        <v>963</v>
      </c>
      <c r="G49" s="89"/>
      <c r="H49" s="89" t="n">
        <v>3166637796</v>
      </c>
      <c r="I49" s="89" t="n">
        <v>446452</v>
      </c>
      <c r="J49" s="89" t="n">
        <v>0</v>
      </c>
      <c r="K49" s="89" t="s">
        <v>957</v>
      </c>
      <c r="L49" s="89" t="s">
        <v>461</v>
      </c>
      <c r="M49" s="10" t="n">
        <v>13925960</v>
      </c>
      <c r="N49" s="89" t="s">
        <v>965</v>
      </c>
      <c r="O49" s="89" t="n">
        <v>1</v>
      </c>
    </row>
    <row r="50" customFormat="false" ht="15" hidden="false" customHeight="false" outlineLevel="0" collapsed="false">
      <c r="A50" s="90" t="s">
        <v>2469</v>
      </c>
      <c r="B50" s="89" t="s">
        <v>857</v>
      </c>
      <c r="C50" s="90" t="s">
        <v>858</v>
      </c>
      <c r="D50" s="89"/>
      <c r="E50" s="89" t="n">
        <v>1019067088</v>
      </c>
      <c r="F50" s="89" t="s">
        <v>971</v>
      </c>
      <c r="G50" s="89"/>
      <c r="H50" s="89" t="n">
        <v>3176586066</v>
      </c>
      <c r="I50" s="89" t="n">
        <v>690051</v>
      </c>
      <c r="J50" s="89" t="n">
        <v>0</v>
      </c>
      <c r="K50" s="89" t="s">
        <v>968</v>
      </c>
      <c r="L50" s="89" t="s">
        <v>461</v>
      </c>
      <c r="M50" s="10" t="n">
        <v>13925897</v>
      </c>
      <c r="N50" s="89" t="s">
        <v>973</v>
      </c>
      <c r="O50" s="89" t="n">
        <v>1</v>
      </c>
    </row>
    <row r="51" customFormat="false" ht="15" hidden="false" customHeight="false" outlineLevel="0" collapsed="false">
      <c r="A51" s="90" t="s">
        <v>2470</v>
      </c>
      <c r="B51" s="89" t="s">
        <v>439</v>
      </c>
      <c r="C51" s="90" t="s">
        <v>179</v>
      </c>
      <c r="D51" s="89"/>
      <c r="E51" s="89" t="n">
        <v>1033817566</v>
      </c>
      <c r="F51" s="89" t="s">
        <v>458</v>
      </c>
      <c r="G51" s="89"/>
      <c r="H51" s="89" t="n">
        <v>3238159092</v>
      </c>
      <c r="I51" s="89" t="n">
        <v>479777</v>
      </c>
      <c r="J51" s="89" t="s">
        <v>978</v>
      </c>
      <c r="K51" s="89" t="s">
        <v>976</v>
      </c>
      <c r="L51" s="89" t="s">
        <v>461</v>
      </c>
      <c r="M51" s="10" t="n">
        <v>13925871</v>
      </c>
      <c r="N51" s="89" t="s">
        <v>980</v>
      </c>
      <c r="O51" s="89" t="n">
        <v>1</v>
      </c>
    </row>
    <row r="52" customFormat="false" ht="15" hidden="false" customHeight="false" outlineLevel="0" collapsed="false">
      <c r="A52" s="90" t="s">
        <v>2471</v>
      </c>
      <c r="B52" s="89" t="s">
        <v>986</v>
      </c>
      <c r="C52" s="90" t="s">
        <v>202</v>
      </c>
      <c r="D52" s="89" t="n">
        <v>12763278657</v>
      </c>
      <c r="E52" s="89" t="n">
        <v>79465233</v>
      </c>
      <c r="F52" s="89" t="s">
        <v>987</v>
      </c>
      <c r="G52" s="89"/>
      <c r="H52" s="89" t="n">
        <v>3168770510</v>
      </c>
      <c r="I52" s="89" t="n">
        <v>34671148</v>
      </c>
      <c r="J52" s="89" t="n">
        <v>0</v>
      </c>
      <c r="K52" s="89" t="s">
        <v>983</v>
      </c>
      <c r="L52" s="89" t="s">
        <v>829</v>
      </c>
      <c r="M52" s="10" t="n">
        <v>7423292</v>
      </c>
      <c r="N52" s="89" t="s">
        <v>989</v>
      </c>
      <c r="O52" s="89" t="n">
        <v>1</v>
      </c>
    </row>
    <row r="53" customFormat="false" ht="15" hidden="false" customHeight="false" outlineLevel="0" collapsed="false">
      <c r="A53" s="90" t="s">
        <v>2472</v>
      </c>
      <c r="B53" s="89" t="s">
        <v>439</v>
      </c>
      <c r="C53" s="90" t="s">
        <v>179</v>
      </c>
      <c r="D53" s="89"/>
      <c r="E53" s="89" t="n">
        <v>15518880</v>
      </c>
      <c r="F53" s="89" t="s">
        <v>458</v>
      </c>
      <c r="G53" s="89"/>
      <c r="H53" s="89" t="n">
        <v>3116043318</v>
      </c>
      <c r="I53" s="89" t="n">
        <v>663533</v>
      </c>
      <c r="J53" s="89" t="n">
        <v>0</v>
      </c>
      <c r="K53" s="89" t="s">
        <v>992</v>
      </c>
      <c r="L53" s="89" t="s">
        <v>461</v>
      </c>
      <c r="M53" s="10" t="n">
        <v>13925521</v>
      </c>
      <c r="N53" s="89" t="s">
        <v>997</v>
      </c>
      <c r="O53" s="89" t="n">
        <v>1</v>
      </c>
    </row>
    <row r="54" customFormat="false" ht="15" hidden="false" customHeight="false" outlineLevel="0" collapsed="false">
      <c r="A54" s="90" t="s">
        <v>2473</v>
      </c>
      <c r="B54" s="89" t="s">
        <v>439</v>
      </c>
      <c r="C54" s="90" t="s">
        <v>179</v>
      </c>
      <c r="D54" s="89"/>
      <c r="E54" s="89" t="n">
        <v>901260067</v>
      </c>
      <c r="F54" s="89" t="s">
        <v>458</v>
      </c>
      <c r="G54" s="89"/>
      <c r="H54" s="89" t="n">
        <v>3148588077</v>
      </c>
      <c r="I54" s="89" t="n">
        <v>341493</v>
      </c>
      <c r="J54" s="89" t="n">
        <v>0</v>
      </c>
      <c r="K54" s="89" t="s">
        <v>831</v>
      </c>
      <c r="L54" s="89" t="s">
        <v>461</v>
      </c>
      <c r="M54" s="10" t="n">
        <v>13924861</v>
      </c>
      <c r="N54" s="89" t="s">
        <v>1001</v>
      </c>
      <c r="O54" s="89" t="n">
        <v>3</v>
      </c>
    </row>
    <row r="55" customFormat="false" ht="15" hidden="false" customHeight="false" outlineLevel="0" collapsed="false">
      <c r="A55" s="90" t="s">
        <v>2474</v>
      </c>
      <c r="B55" s="89" t="s">
        <v>1007</v>
      </c>
      <c r="C55" s="90" t="s">
        <v>949</v>
      </c>
      <c r="D55" s="89"/>
      <c r="E55" s="89" t="n">
        <v>70567389</v>
      </c>
      <c r="F55" s="89" t="s">
        <v>1008</v>
      </c>
      <c r="G55" s="89"/>
      <c r="H55" s="89" t="n">
        <v>3116191763</v>
      </c>
      <c r="I55" s="89" t="n">
        <v>629186</v>
      </c>
      <c r="J55" s="89" t="s">
        <v>1009</v>
      </c>
      <c r="K55" s="89" t="s">
        <v>1004</v>
      </c>
      <c r="L55" s="89" t="s">
        <v>461</v>
      </c>
      <c r="M55" s="10" t="n">
        <v>13921680</v>
      </c>
      <c r="N55" s="89" t="s">
        <v>1011</v>
      </c>
      <c r="O55" s="89" t="n">
        <v>1</v>
      </c>
    </row>
    <row r="56" customFormat="false" ht="15" hidden="false" customHeight="false" outlineLevel="0" collapsed="false">
      <c r="A56" s="90" t="s">
        <v>2475</v>
      </c>
      <c r="B56" s="89" t="s">
        <v>1017</v>
      </c>
      <c r="C56" s="90" t="s">
        <v>179</v>
      </c>
      <c r="D56" s="89"/>
      <c r="E56" s="89" t="n">
        <v>347667</v>
      </c>
      <c r="F56" s="89" t="s">
        <v>1018</v>
      </c>
      <c r="G56" s="89" t="s">
        <v>1019</v>
      </c>
      <c r="H56" s="89" t="s">
        <v>1019</v>
      </c>
      <c r="I56" s="89"/>
      <c r="J56" s="89" t="s">
        <v>1020</v>
      </c>
      <c r="K56" s="89" t="s">
        <v>1015</v>
      </c>
      <c r="L56" s="89" t="s">
        <v>186</v>
      </c>
      <c r="M56" s="10" t="s">
        <v>1013</v>
      </c>
      <c r="N56" s="89" t="s">
        <v>1022</v>
      </c>
      <c r="O56" s="89" t="n">
        <v>1</v>
      </c>
    </row>
    <row r="57" customFormat="false" ht="15" hidden="false" customHeight="false" outlineLevel="0" collapsed="false">
      <c r="A57" s="90" t="s">
        <v>2476</v>
      </c>
      <c r="B57" s="89" t="s">
        <v>143</v>
      </c>
      <c r="C57" s="90" t="s">
        <v>144</v>
      </c>
      <c r="D57" s="89"/>
      <c r="E57" s="89" t="n">
        <v>1049626695</v>
      </c>
      <c r="F57" s="89" t="s">
        <v>1030</v>
      </c>
      <c r="G57" s="89" t="s">
        <v>1031</v>
      </c>
      <c r="H57" s="89"/>
      <c r="I57" s="89"/>
      <c r="J57" s="89"/>
      <c r="K57" s="89" t="s">
        <v>683</v>
      </c>
      <c r="L57" s="89" t="s">
        <v>152</v>
      </c>
      <c r="M57" s="10" t="s">
        <v>1026</v>
      </c>
      <c r="N57" s="89" t="s">
        <v>1034</v>
      </c>
      <c r="O57" s="89" t="n">
        <v>1</v>
      </c>
    </row>
    <row r="58" customFormat="false" ht="15" hidden="false" customHeight="false" outlineLevel="0" collapsed="false">
      <c r="A58" s="90" t="s">
        <v>2477</v>
      </c>
      <c r="B58" s="89" t="s">
        <v>1050</v>
      </c>
      <c r="C58" s="90" t="s">
        <v>179</v>
      </c>
      <c r="D58" s="89"/>
      <c r="E58" s="89" t="n">
        <v>52871361</v>
      </c>
      <c r="F58" s="89" t="s">
        <v>1051</v>
      </c>
      <c r="G58" s="89"/>
      <c r="H58" s="89" t="n">
        <v>3002689795</v>
      </c>
      <c r="I58" s="89" t="n">
        <v>2210000920965</v>
      </c>
      <c r="J58" s="89" t="n">
        <v>0</v>
      </c>
      <c r="K58" s="89" t="s">
        <v>1048</v>
      </c>
      <c r="L58" s="89" t="s">
        <v>92</v>
      </c>
      <c r="M58" s="10" t="n">
        <v>1510498070900</v>
      </c>
      <c r="N58" s="89" t="s">
        <v>1054</v>
      </c>
      <c r="O58" s="89" t="n">
        <v>1</v>
      </c>
    </row>
    <row r="59" customFormat="false" ht="15" hidden="false" customHeight="false" outlineLevel="0" collapsed="false">
      <c r="A59" s="90" t="s">
        <v>2478</v>
      </c>
      <c r="B59" s="89" t="s">
        <v>439</v>
      </c>
      <c r="C59" s="90" t="s">
        <v>179</v>
      </c>
      <c r="D59" s="89"/>
      <c r="E59" s="89" t="n">
        <v>800151049</v>
      </c>
      <c r="F59" s="89" t="s">
        <v>458</v>
      </c>
      <c r="G59" s="89"/>
      <c r="H59" s="89" t="n">
        <v>3178169864</v>
      </c>
      <c r="I59" s="89" t="n">
        <v>524349</v>
      </c>
      <c r="J59" s="89" t="s">
        <v>1060</v>
      </c>
      <c r="K59" s="89" t="s">
        <v>1057</v>
      </c>
      <c r="L59" s="89" t="s">
        <v>461</v>
      </c>
      <c r="M59" s="10" t="n">
        <v>13919180</v>
      </c>
      <c r="N59" s="89" t="s">
        <v>1062</v>
      </c>
      <c r="O59" s="89" t="n">
        <v>1</v>
      </c>
    </row>
    <row r="60" customFormat="false" ht="15" hidden="false" customHeight="false" outlineLevel="0" collapsed="false">
      <c r="A60" s="90" t="s">
        <v>2479</v>
      </c>
      <c r="B60" s="89" t="s">
        <v>948</v>
      </c>
      <c r="C60" s="90" t="s">
        <v>949</v>
      </c>
      <c r="D60" s="89"/>
      <c r="E60" s="89" t="n">
        <v>1128464807</v>
      </c>
      <c r="F60" s="89" t="s">
        <v>1070</v>
      </c>
      <c r="G60" s="89"/>
      <c r="H60" s="89" t="n">
        <v>3007711741</v>
      </c>
      <c r="I60" s="89" t="n">
        <v>739120</v>
      </c>
      <c r="J60" s="89" t="n">
        <v>0</v>
      </c>
      <c r="K60" s="89" t="s">
        <v>1067</v>
      </c>
      <c r="L60" s="89" t="s">
        <v>461</v>
      </c>
      <c r="M60" s="10" t="n">
        <v>13918783</v>
      </c>
      <c r="N60" s="89" t="s">
        <v>1072</v>
      </c>
      <c r="O60" s="89" t="n">
        <v>1</v>
      </c>
    </row>
    <row r="61" customFormat="false" ht="15" hidden="false" customHeight="false" outlineLevel="0" collapsed="false">
      <c r="A61" s="90" t="s">
        <v>2480</v>
      </c>
      <c r="B61" s="89" t="s">
        <v>746</v>
      </c>
      <c r="C61" s="90" t="s">
        <v>747</v>
      </c>
      <c r="D61" s="89"/>
      <c r="E61" s="89" t="n">
        <v>1193575997</v>
      </c>
      <c r="F61" s="89" t="s">
        <v>1079</v>
      </c>
      <c r="G61" s="89"/>
      <c r="H61" s="89" t="n">
        <v>3135218341</v>
      </c>
      <c r="I61" s="89" t="n">
        <v>483409</v>
      </c>
      <c r="J61" s="89" t="s">
        <v>1080</v>
      </c>
      <c r="K61" s="89" t="s">
        <v>1077</v>
      </c>
      <c r="L61" s="89" t="s">
        <v>461</v>
      </c>
      <c r="M61" s="10" t="n">
        <v>13918120</v>
      </c>
      <c r="N61" s="89" t="s">
        <v>1082</v>
      </c>
      <c r="O61" s="89" t="n">
        <v>4</v>
      </c>
    </row>
    <row r="62" customFormat="false" ht="15" hidden="false" customHeight="false" outlineLevel="0" collapsed="false">
      <c r="A62" s="90" t="s">
        <v>2481</v>
      </c>
      <c r="B62" s="89" t="s">
        <v>746</v>
      </c>
      <c r="C62" s="90"/>
      <c r="D62" s="89" t="s">
        <v>1087</v>
      </c>
      <c r="E62" s="89"/>
      <c r="F62" s="89"/>
      <c r="G62" s="89"/>
      <c r="H62" s="89"/>
      <c r="I62" s="89" t="s">
        <v>1088</v>
      </c>
      <c r="J62" s="89"/>
      <c r="K62" s="89" t="s">
        <v>1087</v>
      </c>
      <c r="L62" s="89" t="s">
        <v>1091</v>
      </c>
      <c r="M62" s="10" t="s">
        <v>1084</v>
      </c>
      <c r="N62" s="89" t="s">
        <v>1090</v>
      </c>
      <c r="O62" s="89" t="n">
        <v>1</v>
      </c>
    </row>
    <row r="63" customFormat="false" ht="15" hidden="false" customHeight="false" outlineLevel="0" collapsed="false">
      <c r="A63" s="90" t="s">
        <v>2482</v>
      </c>
      <c r="B63" s="89" t="s">
        <v>746</v>
      </c>
      <c r="C63" s="90"/>
      <c r="D63" s="89" t="s">
        <v>1087</v>
      </c>
      <c r="E63" s="89"/>
      <c r="F63" s="89"/>
      <c r="G63" s="89"/>
      <c r="H63" s="89"/>
      <c r="I63" s="89" t="s">
        <v>1088</v>
      </c>
      <c r="J63" s="89"/>
      <c r="K63" s="89" t="s">
        <v>1087</v>
      </c>
      <c r="L63" s="89" t="s">
        <v>1091</v>
      </c>
      <c r="M63" s="10" t="s">
        <v>1093</v>
      </c>
      <c r="N63" s="89" t="s">
        <v>1095</v>
      </c>
      <c r="O63" s="89" t="n">
        <v>1</v>
      </c>
    </row>
    <row r="64" customFormat="false" ht="15" hidden="false" customHeight="false" outlineLevel="0" collapsed="false">
      <c r="A64" s="90" t="s">
        <v>2483</v>
      </c>
      <c r="B64" s="89" t="s">
        <v>1101</v>
      </c>
      <c r="C64" s="90" t="s">
        <v>949</v>
      </c>
      <c r="D64" s="89"/>
      <c r="E64" s="89" t="n">
        <v>1130613511</v>
      </c>
      <c r="F64" s="89" t="s">
        <v>1102</v>
      </c>
      <c r="G64" s="89"/>
      <c r="H64" s="89" t="n">
        <v>3172204519</v>
      </c>
      <c r="I64" s="89" t="n">
        <v>582515</v>
      </c>
      <c r="J64" s="89" t="s">
        <v>1103</v>
      </c>
      <c r="K64" s="89" t="s">
        <v>1098</v>
      </c>
      <c r="L64" s="89" t="s">
        <v>1106</v>
      </c>
      <c r="M64" s="10" t="n">
        <v>13914949</v>
      </c>
      <c r="N64" s="89" t="s">
        <v>1105</v>
      </c>
      <c r="O64" s="89" t="n">
        <v>2</v>
      </c>
    </row>
    <row r="65" customFormat="false" ht="15" hidden="false" customHeight="false" outlineLevel="0" collapsed="false">
      <c r="A65" s="90" t="s">
        <v>2484</v>
      </c>
      <c r="B65" s="89" t="s">
        <v>1112</v>
      </c>
      <c r="C65" s="90" t="s">
        <v>1113</v>
      </c>
      <c r="D65" s="89" t="n">
        <v>12763148660</v>
      </c>
      <c r="E65" s="89" t="n">
        <v>1047507785</v>
      </c>
      <c r="F65" s="89" t="s">
        <v>1114</v>
      </c>
      <c r="G65" s="89"/>
      <c r="H65" s="89" t="n">
        <v>3242740977</v>
      </c>
      <c r="I65" s="89" t="n">
        <v>24630124</v>
      </c>
      <c r="J65" s="89"/>
      <c r="K65" s="89" t="s">
        <v>1109</v>
      </c>
      <c r="L65" s="89" t="s">
        <v>829</v>
      </c>
      <c r="M65" s="10" t="n">
        <v>7421281</v>
      </c>
      <c r="N65" s="89" t="s">
        <v>1116</v>
      </c>
      <c r="O65" s="89" t="n">
        <v>1</v>
      </c>
    </row>
    <row r="66" customFormat="false" ht="15" hidden="false" customHeight="false" outlineLevel="0" collapsed="false">
      <c r="A66" s="90" t="s">
        <v>2485</v>
      </c>
      <c r="B66" s="89" t="s">
        <v>1121</v>
      </c>
      <c r="C66" s="90" t="s">
        <v>179</v>
      </c>
      <c r="D66" s="89" t="n">
        <v>12763148950</v>
      </c>
      <c r="E66" s="89" t="n">
        <v>98712242</v>
      </c>
      <c r="F66" s="89" t="s">
        <v>1122</v>
      </c>
      <c r="G66" s="89"/>
      <c r="H66" s="89" t="n">
        <v>3186614457</v>
      </c>
      <c r="I66" s="89" t="n">
        <v>5993439</v>
      </c>
      <c r="J66" s="89"/>
      <c r="K66" s="89" t="s">
        <v>1119</v>
      </c>
      <c r="L66" s="89" t="s">
        <v>829</v>
      </c>
      <c r="M66" s="10" t="n">
        <v>7421283</v>
      </c>
      <c r="N66" s="89" t="s">
        <v>1124</v>
      </c>
      <c r="O66" s="89" t="n">
        <v>1</v>
      </c>
    </row>
    <row r="67" customFormat="false" ht="15" hidden="false" customHeight="false" outlineLevel="0" collapsed="false">
      <c r="A67" s="90" t="s">
        <v>2486</v>
      </c>
      <c r="B67" s="89" t="s">
        <v>1130</v>
      </c>
      <c r="C67" s="90" t="s">
        <v>949</v>
      </c>
      <c r="D67" s="89" t="n">
        <v>12763122998</v>
      </c>
      <c r="E67" s="89" t="n">
        <v>1152451184</v>
      </c>
      <c r="F67" s="89" t="s">
        <v>1131</v>
      </c>
      <c r="G67" s="89"/>
      <c r="H67" s="89" t="n">
        <v>3218985959</v>
      </c>
      <c r="I67" s="89" t="n">
        <v>72748117</v>
      </c>
      <c r="J67" s="89"/>
      <c r="K67" s="89" t="s">
        <v>1127</v>
      </c>
      <c r="L67" s="89" t="s">
        <v>829</v>
      </c>
      <c r="M67" s="10" t="n">
        <v>7420940</v>
      </c>
      <c r="N67" s="89" t="s">
        <v>1133</v>
      </c>
      <c r="O67" s="89" t="n">
        <v>1</v>
      </c>
    </row>
    <row r="68" customFormat="false" ht="15" hidden="false" customHeight="false" outlineLevel="0" collapsed="false">
      <c r="A68" s="90" t="s">
        <v>2487</v>
      </c>
      <c r="B68" s="89" t="s">
        <v>1112</v>
      </c>
      <c r="C68" s="90" t="s">
        <v>1113</v>
      </c>
      <c r="D68" s="89" t="n">
        <v>12763131990</v>
      </c>
      <c r="E68" s="89" t="n">
        <v>31836256</v>
      </c>
      <c r="F68" s="89" t="s">
        <v>1138</v>
      </c>
      <c r="G68" s="89"/>
      <c r="H68" s="89" t="n">
        <v>3155650669</v>
      </c>
      <c r="I68" s="89" t="n">
        <v>21887549</v>
      </c>
      <c r="J68" s="89"/>
      <c r="K68" s="89" t="s">
        <v>1136</v>
      </c>
      <c r="L68" s="89" t="s">
        <v>829</v>
      </c>
      <c r="M68" s="10" t="n">
        <v>7421082</v>
      </c>
      <c r="N68" s="89" t="s">
        <v>1140</v>
      </c>
      <c r="O68" s="89" t="n">
        <v>1</v>
      </c>
    </row>
    <row r="69" customFormat="false" ht="15" hidden="false" customHeight="false" outlineLevel="0" collapsed="false">
      <c r="A69" s="90" t="s">
        <v>2488</v>
      </c>
      <c r="B69" s="89" t="s">
        <v>143</v>
      </c>
      <c r="C69" s="90" t="s">
        <v>144</v>
      </c>
      <c r="D69" s="89"/>
      <c r="E69" s="89" t="s">
        <v>1147</v>
      </c>
      <c r="F69" s="89" t="s">
        <v>1148</v>
      </c>
      <c r="G69" s="89" t="s">
        <v>1149</v>
      </c>
      <c r="H69" s="89"/>
      <c r="I69" s="89"/>
      <c r="J69" s="89" t="s">
        <v>1151</v>
      </c>
      <c r="K69" s="89" t="s">
        <v>1145</v>
      </c>
      <c r="L69" s="89" t="s">
        <v>152</v>
      </c>
      <c r="M69" s="10" t="s">
        <v>1142</v>
      </c>
      <c r="N69" s="89" t="s">
        <v>1154</v>
      </c>
      <c r="O69" s="89" t="n">
        <v>1</v>
      </c>
    </row>
    <row r="70" customFormat="false" ht="15" hidden="false" customHeight="false" outlineLevel="0" collapsed="false">
      <c r="A70" s="90" t="s">
        <v>2489</v>
      </c>
      <c r="B70" s="89" t="s">
        <v>223</v>
      </c>
      <c r="C70" s="90" t="s">
        <v>1199</v>
      </c>
      <c r="D70" s="89" t="s">
        <v>1200</v>
      </c>
      <c r="E70" s="89" t="n">
        <v>1049621288</v>
      </c>
      <c r="F70" s="89" t="s">
        <v>1201</v>
      </c>
      <c r="G70" s="89" t="s">
        <v>1202</v>
      </c>
      <c r="H70" s="89"/>
      <c r="I70" s="89"/>
      <c r="J70" s="89" t="s">
        <v>1204</v>
      </c>
      <c r="K70" s="89" t="s">
        <v>1195</v>
      </c>
      <c r="L70" s="89" t="s">
        <v>1208</v>
      </c>
      <c r="M70" s="10" t="s">
        <v>1192</v>
      </c>
      <c r="N70" s="89" t="s">
        <v>1207</v>
      </c>
      <c r="O70" s="89" t="n">
        <v>1</v>
      </c>
    </row>
    <row r="71" customFormat="false" ht="15" hidden="false" customHeight="false" outlineLevel="0" collapsed="false">
      <c r="A71" s="90" t="s">
        <v>2490</v>
      </c>
      <c r="B71" s="89" t="s">
        <v>178</v>
      </c>
      <c r="C71" s="90" t="s">
        <v>179</v>
      </c>
      <c r="D71" s="89"/>
      <c r="E71" s="89" t="n">
        <v>1019091376</v>
      </c>
      <c r="F71" s="89" t="s">
        <v>1216</v>
      </c>
      <c r="G71" s="89" t="s">
        <v>1217</v>
      </c>
      <c r="H71" s="89"/>
      <c r="I71" s="89"/>
      <c r="J71" s="89" t="s">
        <v>1219</v>
      </c>
      <c r="K71" s="89" t="s">
        <v>1214</v>
      </c>
      <c r="L71" s="89" t="s">
        <v>92</v>
      </c>
      <c r="M71" s="10" t="s">
        <v>1211</v>
      </c>
      <c r="N71" s="89" t="s">
        <v>1222</v>
      </c>
      <c r="O71" s="89" t="n">
        <v>1</v>
      </c>
    </row>
    <row r="72" customFormat="false" ht="15" hidden="false" customHeight="false" outlineLevel="0" collapsed="false">
      <c r="A72" s="90" t="s">
        <v>2491</v>
      </c>
      <c r="B72" s="89" t="s">
        <v>143</v>
      </c>
      <c r="C72" s="90" t="s">
        <v>144</v>
      </c>
      <c r="D72" s="89"/>
      <c r="E72" s="89" t="n">
        <v>1193095390</v>
      </c>
      <c r="F72" s="89" t="s">
        <v>1233</v>
      </c>
      <c r="G72" s="89" t="s">
        <v>1234</v>
      </c>
      <c r="H72" s="89"/>
      <c r="I72" s="89"/>
      <c r="J72" s="89" t="s">
        <v>1236</v>
      </c>
      <c r="K72" s="89" t="s">
        <v>1230</v>
      </c>
      <c r="L72" s="89" t="s">
        <v>152</v>
      </c>
      <c r="M72" s="10" t="s">
        <v>1228</v>
      </c>
      <c r="N72" s="89" t="s">
        <v>1238</v>
      </c>
      <c r="O72" s="89" t="n">
        <v>1</v>
      </c>
    </row>
    <row r="73" customFormat="false" ht="15" hidden="false" customHeight="false" outlineLevel="0" collapsed="false">
      <c r="A73" s="90" t="s">
        <v>2492</v>
      </c>
      <c r="B73" s="89" t="s">
        <v>1254</v>
      </c>
      <c r="C73" s="90" t="s">
        <v>144</v>
      </c>
      <c r="D73" s="89"/>
      <c r="E73" s="89" t="n">
        <v>4172975</v>
      </c>
      <c r="F73" s="89" t="s">
        <v>1255</v>
      </c>
      <c r="G73" s="89" t="s">
        <v>1256</v>
      </c>
      <c r="H73" s="89" t="s">
        <v>1257</v>
      </c>
      <c r="I73" s="89"/>
      <c r="J73" s="89" t="s">
        <v>1259</v>
      </c>
      <c r="K73" s="89" t="s">
        <v>1252</v>
      </c>
      <c r="L73" s="89" t="s">
        <v>152</v>
      </c>
      <c r="M73" s="10" t="s">
        <v>1249</v>
      </c>
      <c r="N73" s="89" t="s">
        <v>1261</v>
      </c>
      <c r="O73" s="89" t="n">
        <v>1</v>
      </c>
    </row>
    <row r="74" customFormat="false" ht="15" hidden="false" customHeight="false" outlineLevel="0" collapsed="false">
      <c r="A74" s="90" t="s">
        <v>2493</v>
      </c>
      <c r="B74" s="89" t="s">
        <v>79</v>
      </c>
      <c r="C74" s="90" t="s">
        <v>949</v>
      </c>
      <c r="D74" s="89"/>
      <c r="E74" s="89" t="n">
        <v>52158991</v>
      </c>
      <c r="F74" s="89" t="s">
        <v>1278</v>
      </c>
      <c r="G74" s="89" t="s">
        <v>1279</v>
      </c>
      <c r="H74" s="89" t="s">
        <v>1280</v>
      </c>
      <c r="I74" s="89"/>
      <c r="J74" s="89" t="s">
        <v>1281</v>
      </c>
      <c r="K74" s="89" t="s">
        <v>1275</v>
      </c>
      <c r="L74" s="89" t="s">
        <v>92</v>
      </c>
      <c r="M74" s="10" t="s">
        <v>1273</v>
      </c>
      <c r="N74" s="89" t="s">
        <v>1283</v>
      </c>
      <c r="O74" s="89" t="n">
        <v>1</v>
      </c>
    </row>
    <row r="75" customFormat="false" ht="15" hidden="false" customHeight="false" outlineLevel="0" collapsed="false">
      <c r="A75" s="90" t="s">
        <v>2494</v>
      </c>
      <c r="B75" s="89" t="s">
        <v>143</v>
      </c>
      <c r="C75" s="90" t="s">
        <v>144</v>
      </c>
      <c r="D75" s="89"/>
      <c r="E75" s="89" t="n">
        <v>1058817720</v>
      </c>
      <c r="F75" s="89" t="s">
        <v>1292</v>
      </c>
      <c r="G75" s="89" t="s">
        <v>1293</v>
      </c>
      <c r="H75" s="89" t="s">
        <v>1294</v>
      </c>
      <c r="I75" s="89"/>
      <c r="J75" s="89" t="s">
        <v>1296</v>
      </c>
      <c r="K75" s="89" t="s">
        <v>1289</v>
      </c>
      <c r="L75" s="89" t="s">
        <v>152</v>
      </c>
      <c r="M75" s="10" t="s">
        <v>1287</v>
      </c>
      <c r="N75" s="89" t="s">
        <v>1298</v>
      </c>
      <c r="O75" s="89" t="n">
        <v>1</v>
      </c>
    </row>
    <row r="76" customFormat="false" ht="15" hidden="false" customHeight="false" outlineLevel="0" collapsed="false">
      <c r="A76" s="90" t="s">
        <v>2495</v>
      </c>
      <c r="B76" s="89" t="s">
        <v>143</v>
      </c>
      <c r="C76" s="90" t="s">
        <v>144</v>
      </c>
      <c r="D76" s="89" t="s">
        <v>1308</v>
      </c>
      <c r="E76" s="89" t="n">
        <v>1052397592</v>
      </c>
      <c r="F76" s="89" t="s">
        <v>1309</v>
      </c>
      <c r="G76" s="89" t="s">
        <v>1310</v>
      </c>
      <c r="H76" s="89" t="s">
        <v>1311</v>
      </c>
      <c r="I76" s="89"/>
      <c r="J76" s="89" t="s">
        <v>1313</v>
      </c>
      <c r="K76" s="89" t="s">
        <v>1306</v>
      </c>
      <c r="L76" s="89" t="s">
        <v>152</v>
      </c>
      <c r="M76" s="10" t="s">
        <v>1304</v>
      </c>
      <c r="N76" s="89" t="s">
        <v>1315</v>
      </c>
      <c r="O76" s="89" t="n">
        <v>1</v>
      </c>
    </row>
    <row r="77" customFormat="false" ht="15" hidden="false" customHeight="false" outlineLevel="0" collapsed="false">
      <c r="A77" s="90" t="s">
        <v>2496</v>
      </c>
      <c r="B77" s="89" t="s">
        <v>444</v>
      </c>
      <c r="C77" s="90" t="s">
        <v>179</v>
      </c>
      <c r="D77" s="89"/>
      <c r="E77" s="89" t="n">
        <v>1030658560</v>
      </c>
      <c r="F77" s="89" t="s">
        <v>1337</v>
      </c>
      <c r="G77" s="89" t="s">
        <v>1338</v>
      </c>
      <c r="H77" s="89" t="s">
        <v>1339</v>
      </c>
      <c r="I77" s="89"/>
      <c r="J77" s="89" t="s">
        <v>1341</v>
      </c>
      <c r="K77" s="89" t="s">
        <v>1334</v>
      </c>
      <c r="L77" s="89" t="s">
        <v>92</v>
      </c>
      <c r="M77" s="10" t="s">
        <v>1332</v>
      </c>
      <c r="N77" s="89" t="s">
        <v>1344</v>
      </c>
      <c r="O77" s="89" t="n">
        <v>1</v>
      </c>
    </row>
    <row r="78" customFormat="false" ht="15" hidden="false" customHeight="false" outlineLevel="0" collapsed="false">
      <c r="A78" s="90" t="s">
        <v>2497</v>
      </c>
      <c r="B78" s="89" t="s">
        <v>1351</v>
      </c>
      <c r="C78" s="90" t="s">
        <v>202</v>
      </c>
      <c r="D78" s="89" t="n">
        <v>12763086986</v>
      </c>
      <c r="E78" s="89" t="n">
        <v>1024524902</v>
      </c>
      <c r="F78" s="89" t="s">
        <v>1352</v>
      </c>
      <c r="G78" s="89"/>
      <c r="H78" s="89" t="n">
        <v>3235874745</v>
      </c>
      <c r="I78" s="89" t="n">
        <v>72968833</v>
      </c>
      <c r="J78" s="89"/>
      <c r="K78" s="89" t="s">
        <v>1348</v>
      </c>
      <c r="L78" s="89" t="s">
        <v>829</v>
      </c>
      <c r="M78" s="10" t="n">
        <v>7420494</v>
      </c>
      <c r="N78" s="89" t="s">
        <v>1354</v>
      </c>
      <c r="O78" s="89" t="n">
        <v>2</v>
      </c>
    </row>
    <row r="79" customFormat="false" ht="15" hidden="false" customHeight="false" outlineLevel="0" collapsed="false">
      <c r="A79" s="90" t="s">
        <v>2498</v>
      </c>
      <c r="B79" s="89" t="s">
        <v>1357</v>
      </c>
      <c r="C79" s="90" t="s">
        <v>962</v>
      </c>
      <c r="D79" s="89" t="n">
        <v>12763096220</v>
      </c>
      <c r="E79" s="89" t="n">
        <v>1094935615</v>
      </c>
      <c r="F79" s="89" t="s">
        <v>1358</v>
      </c>
      <c r="G79" s="89"/>
      <c r="H79" s="89" t="n">
        <v>3122165263</v>
      </c>
      <c r="I79" s="89" t="n">
        <v>72924092</v>
      </c>
      <c r="J79" s="89" t="n">
        <v>0</v>
      </c>
      <c r="K79" s="89" t="s">
        <v>1214</v>
      </c>
      <c r="L79" s="89" t="s">
        <v>829</v>
      </c>
      <c r="M79" s="10" t="n">
        <v>7420573</v>
      </c>
      <c r="N79" s="89" t="s">
        <v>1360</v>
      </c>
      <c r="O79" s="89" t="n">
        <v>1</v>
      </c>
    </row>
    <row r="80" customFormat="false" ht="15" hidden="false" customHeight="false" outlineLevel="0" collapsed="false">
      <c r="A80" s="90" t="s">
        <v>2499</v>
      </c>
      <c r="B80" s="89" t="s">
        <v>1363</v>
      </c>
      <c r="C80" s="90" t="s">
        <v>949</v>
      </c>
      <c r="D80" s="89" t="n">
        <v>12763074112</v>
      </c>
      <c r="E80" s="89" t="n">
        <v>103766752</v>
      </c>
      <c r="F80" s="89" t="s">
        <v>1364</v>
      </c>
      <c r="G80" s="89"/>
      <c r="H80" s="89" t="n">
        <v>3022270700</v>
      </c>
      <c r="I80" s="89" t="n">
        <v>72748117</v>
      </c>
      <c r="J80" s="89" t="n">
        <v>0</v>
      </c>
      <c r="K80" s="89" t="s">
        <v>1127</v>
      </c>
      <c r="L80" s="89" t="s">
        <v>829</v>
      </c>
      <c r="M80" s="10" t="n">
        <v>7420340</v>
      </c>
      <c r="N80" s="89" t="s">
        <v>1366</v>
      </c>
      <c r="O80" s="89" t="n">
        <v>1</v>
      </c>
    </row>
    <row r="81" customFormat="false" ht="15" hidden="false" customHeight="false" outlineLevel="0" collapsed="false">
      <c r="A81" s="90" t="s">
        <v>2500</v>
      </c>
      <c r="B81" s="89" t="s">
        <v>178</v>
      </c>
      <c r="C81" s="90" t="s">
        <v>179</v>
      </c>
      <c r="D81" s="89"/>
      <c r="E81" s="89" t="n">
        <v>79854630</v>
      </c>
      <c r="F81" s="89" t="s">
        <v>1375</v>
      </c>
      <c r="G81" s="89" t="s">
        <v>1376</v>
      </c>
      <c r="H81" s="89"/>
      <c r="I81" s="89"/>
      <c r="J81" s="89" t="s">
        <v>1378</v>
      </c>
      <c r="K81" s="89" t="s">
        <v>1371</v>
      </c>
      <c r="L81" s="89" t="s">
        <v>186</v>
      </c>
      <c r="M81" s="10" t="s">
        <v>1368</v>
      </c>
      <c r="N81" s="89" t="s">
        <v>1381</v>
      </c>
      <c r="O81" s="89" t="n">
        <v>1</v>
      </c>
    </row>
    <row r="82" customFormat="false" ht="15" hidden="false" customHeight="false" outlineLevel="0" collapsed="false">
      <c r="A82" s="90" t="s">
        <v>2501</v>
      </c>
      <c r="B82" s="89" t="s">
        <v>1397</v>
      </c>
      <c r="C82" s="90" t="s">
        <v>962</v>
      </c>
      <c r="D82" s="89" t="s">
        <v>1398</v>
      </c>
      <c r="E82" s="89" t="n">
        <v>1094894293</v>
      </c>
      <c r="F82" s="89" t="s">
        <v>1399</v>
      </c>
      <c r="G82" s="89" t="s">
        <v>1400</v>
      </c>
      <c r="H82" s="89"/>
      <c r="I82" s="89"/>
      <c r="J82" s="89" t="s">
        <v>1402</v>
      </c>
      <c r="K82" s="89" t="s">
        <v>655</v>
      </c>
      <c r="L82" s="89" t="s">
        <v>92</v>
      </c>
      <c r="M82" s="10" t="s">
        <v>1395</v>
      </c>
      <c r="N82" s="89" t="s">
        <v>1404</v>
      </c>
      <c r="O82" s="89" t="n">
        <v>1</v>
      </c>
    </row>
    <row r="83" customFormat="false" ht="15" hidden="false" customHeight="false" outlineLevel="0" collapsed="false">
      <c r="A83" s="90" t="s">
        <v>2502</v>
      </c>
      <c r="B83" s="89" t="s">
        <v>143</v>
      </c>
      <c r="C83" s="90" t="s">
        <v>144</v>
      </c>
      <c r="D83" s="89" t="s">
        <v>1423</v>
      </c>
      <c r="E83" s="89" t="n">
        <v>1002564952</v>
      </c>
      <c r="F83" s="89" t="s">
        <v>1424</v>
      </c>
      <c r="G83" s="89" t="s">
        <v>1425</v>
      </c>
      <c r="H83" s="89"/>
      <c r="I83" s="89"/>
      <c r="J83" s="89" t="s">
        <v>1427</v>
      </c>
      <c r="K83" s="89" t="s">
        <v>1418</v>
      </c>
      <c r="L83" s="89" t="s">
        <v>152</v>
      </c>
      <c r="M83" s="10" t="s">
        <v>1416</v>
      </c>
      <c r="N83" s="89" t="s">
        <v>1430</v>
      </c>
      <c r="O83" s="89" t="n">
        <v>1</v>
      </c>
    </row>
    <row r="84" customFormat="false" ht="15" hidden="false" customHeight="false" outlineLevel="0" collapsed="false">
      <c r="A84" s="90" t="s">
        <v>2503</v>
      </c>
      <c r="B84" s="89" t="s">
        <v>178</v>
      </c>
      <c r="C84" s="90" t="s">
        <v>179</v>
      </c>
      <c r="D84" s="89"/>
      <c r="E84" s="89" t="n">
        <v>20202020</v>
      </c>
      <c r="F84" s="89" t="s">
        <v>1445</v>
      </c>
      <c r="G84" s="89" t="s">
        <v>1446</v>
      </c>
      <c r="H84" s="89" t="s">
        <v>1446</v>
      </c>
      <c r="I84" s="89"/>
      <c r="J84" s="89" t="s">
        <v>1448</v>
      </c>
      <c r="K84" s="89" t="s">
        <v>294</v>
      </c>
      <c r="L84" s="89" t="s">
        <v>186</v>
      </c>
      <c r="M84" s="10" t="s">
        <v>1443</v>
      </c>
      <c r="N84" s="89" t="s">
        <v>1451</v>
      </c>
      <c r="O84" s="89" t="n">
        <v>1</v>
      </c>
    </row>
    <row r="85" customFormat="false" ht="15" hidden="false" customHeight="false" outlineLevel="0" collapsed="false">
      <c r="A85" s="90" t="s">
        <v>2504</v>
      </c>
      <c r="B85" s="89" t="s">
        <v>178</v>
      </c>
      <c r="C85" s="90" t="s">
        <v>179</v>
      </c>
      <c r="D85" s="89"/>
      <c r="E85" s="89" t="n">
        <v>1019007909</v>
      </c>
      <c r="F85" s="89" t="s">
        <v>1632</v>
      </c>
      <c r="G85" s="89" t="s">
        <v>1633</v>
      </c>
      <c r="H85" s="89"/>
      <c r="I85" s="89"/>
      <c r="J85" s="89" t="s">
        <v>1635</v>
      </c>
      <c r="K85" s="89" t="s">
        <v>1629</v>
      </c>
      <c r="L85" s="89" t="s">
        <v>186</v>
      </c>
      <c r="M85" s="10" t="s">
        <v>1626</v>
      </c>
      <c r="N85" s="89" t="s">
        <v>1638</v>
      </c>
      <c r="O85" s="89" t="n">
        <v>2</v>
      </c>
    </row>
    <row r="86" customFormat="false" ht="15" hidden="false" customHeight="false" outlineLevel="0" collapsed="false">
      <c r="A86" s="90" t="s">
        <v>2505</v>
      </c>
      <c r="B86" s="89" t="s">
        <v>178</v>
      </c>
      <c r="C86" s="90" t="s">
        <v>179</v>
      </c>
      <c r="D86" s="89"/>
      <c r="E86" s="89" t="n">
        <v>1019086675</v>
      </c>
      <c r="F86" s="89" t="s">
        <v>1660</v>
      </c>
      <c r="G86" s="89" t="s">
        <v>1661</v>
      </c>
      <c r="H86" s="89" t="s">
        <v>1661</v>
      </c>
      <c r="I86" s="89"/>
      <c r="J86" s="89" t="s">
        <v>1663</v>
      </c>
      <c r="K86" s="89" t="s">
        <v>1657</v>
      </c>
      <c r="L86" s="89" t="s">
        <v>186</v>
      </c>
      <c r="M86" s="10" t="s">
        <v>1655</v>
      </c>
      <c r="N86" s="89" t="s">
        <v>1666</v>
      </c>
      <c r="O86" s="89" t="n">
        <v>1</v>
      </c>
    </row>
    <row r="87" customFormat="false" ht="15" hidden="false" customHeight="false" outlineLevel="0" collapsed="false">
      <c r="A87" s="90" t="s">
        <v>2506</v>
      </c>
      <c r="B87" s="89" t="s">
        <v>178</v>
      </c>
      <c r="C87" s="90" t="s">
        <v>179</v>
      </c>
      <c r="D87" s="89"/>
      <c r="E87" s="89" t="n">
        <v>1014210428</v>
      </c>
      <c r="F87" s="89" t="s">
        <v>1691</v>
      </c>
      <c r="G87" s="89" t="s">
        <v>1692</v>
      </c>
      <c r="H87" s="89"/>
      <c r="I87" s="89"/>
      <c r="J87" s="89" t="s">
        <v>1694</v>
      </c>
      <c r="K87" s="89" t="s">
        <v>1689</v>
      </c>
      <c r="L87" s="89" t="s">
        <v>186</v>
      </c>
      <c r="M87" s="10" t="s">
        <v>1687</v>
      </c>
      <c r="N87" s="89" t="s">
        <v>1696</v>
      </c>
      <c r="O87" s="89" t="n">
        <v>1</v>
      </c>
    </row>
    <row r="88" customFormat="false" ht="15" hidden="false" customHeight="false" outlineLevel="0" collapsed="false">
      <c r="A88" s="90" t="s">
        <v>2507</v>
      </c>
      <c r="B88" s="89" t="s">
        <v>1711</v>
      </c>
      <c r="C88" s="90" t="s">
        <v>179</v>
      </c>
      <c r="D88" s="89"/>
      <c r="E88" s="89" t="n">
        <v>79387684</v>
      </c>
      <c r="F88" s="89" t="s">
        <v>1712</v>
      </c>
      <c r="G88" s="89" t="s">
        <v>1713</v>
      </c>
      <c r="H88" s="89" t="s">
        <v>1713</v>
      </c>
      <c r="I88" s="89"/>
      <c r="J88" s="89" t="s">
        <v>1715</v>
      </c>
      <c r="K88" s="89" t="s">
        <v>1707</v>
      </c>
      <c r="L88" s="89" t="s">
        <v>92</v>
      </c>
      <c r="M88" s="10" t="s">
        <v>1705</v>
      </c>
      <c r="N88" s="89" t="s">
        <v>1717</v>
      </c>
      <c r="O88" s="89" t="n">
        <v>1</v>
      </c>
    </row>
    <row r="89" customFormat="false" ht="15" hidden="false" customHeight="false" outlineLevel="0" collapsed="false">
      <c r="A89" s="90" t="s">
        <v>2508</v>
      </c>
      <c r="B89" s="89" t="s">
        <v>178</v>
      </c>
      <c r="C89" s="90" t="s">
        <v>202</v>
      </c>
      <c r="D89" s="89"/>
      <c r="E89" s="89" t="n">
        <v>1090483033</v>
      </c>
      <c r="F89" s="89" t="s">
        <v>1731</v>
      </c>
      <c r="G89" s="89" t="s">
        <v>1732</v>
      </c>
      <c r="H89" s="89"/>
      <c r="I89" s="89"/>
      <c r="J89" s="89" t="s">
        <v>1734</v>
      </c>
      <c r="K89" s="89" t="s">
        <v>1728</v>
      </c>
      <c r="L89" s="89" t="s">
        <v>186</v>
      </c>
      <c r="M89" s="10" t="s">
        <v>1726</v>
      </c>
      <c r="N89" s="89" t="s">
        <v>1736</v>
      </c>
      <c r="O89" s="89" t="n">
        <v>1</v>
      </c>
    </row>
    <row r="90" customFormat="false" ht="15" hidden="false" customHeight="false" outlineLevel="0" collapsed="false">
      <c r="A90" s="90" t="s">
        <v>2509</v>
      </c>
      <c r="B90" s="89" t="s">
        <v>178</v>
      </c>
      <c r="C90" s="90" t="s">
        <v>179</v>
      </c>
      <c r="D90" s="89"/>
      <c r="E90" s="89" t="n">
        <v>52808425</v>
      </c>
      <c r="F90" s="89" t="s">
        <v>1748</v>
      </c>
      <c r="G90" s="89" t="s">
        <v>1749</v>
      </c>
      <c r="H90" s="89" t="s">
        <v>1750</v>
      </c>
      <c r="I90" s="89"/>
      <c r="J90" s="89" t="s">
        <v>1752</v>
      </c>
      <c r="K90" s="89" t="s">
        <v>1745</v>
      </c>
      <c r="L90" s="89" t="s">
        <v>186</v>
      </c>
      <c r="M90" s="10" t="s">
        <v>1743</v>
      </c>
      <c r="N90" s="89" t="s">
        <v>1754</v>
      </c>
      <c r="O90" s="89" t="n">
        <v>1</v>
      </c>
    </row>
    <row r="91" customFormat="false" ht="15" hidden="false" customHeight="false" outlineLevel="0" collapsed="false">
      <c r="A91" s="90" t="s">
        <v>2510</v>
      </c>
      <c r="B91" s="89" t="s">
        <v>178</v>
      </c>
      <c r="C91" s="90" t="s">
        <v>179</v>
      </c>
      <c r="D91" s="89"/>
      <c r="E91" s="89" t="n">
        <v>80076133</v>
      </c>
      <c r="F91" s="89" t="s">
        <v>1771</v>
      </c>
      <c r="G91" s="89" t="s">
        <v>1772</v>
      </c>
      <c r="H91" s="89" t="s">
        <v>1772</v>
      </c>
      <c r="I91" s="89"/>
      <c r="J91" s="89" t="s">
        <v>1774</v>
      </c>
      <c r="K91" s="89" t="s">
        <v>1768</v>
      </c>
      <c r="L91" s="89" t="s">
        <v>186</v>
      </c>
      <c r="M91" s="10" t="s">
        <v>1766</v>
      </c>
      <c r="N91" s="89" t="s">
        <v>1777</v>
      </c>
      <c r="O91" s="89" t="n">
        <v>1</v>
      </c>
    </row>
    <row r="92" customFormat="false" ht="15" hidden="false" customHeight="false" outlineLevel="0" collapsed="false">
      <c r="A92" s="90" t="s">
        <v>2511</v>
      </c>
      <c r="B92" s="89" t="s">
        <v>143</v>
      </c>
      <c r="C92" s="90" t="s">
        <v>144</v>
      </c>
      <c r="D92" s="89" t="s">
        <v>1792</v>
      </c>
      <c r="E92" s="89" t="n">
        <v>1049652144</v>
      </c>
      <c r="F92" s="89" t="s">
        <v>1793</v>
      </c>
      <c r="G92" s="89" t="s">
        <v>1794</v>
      </c>
      <c r="H92" s="89" t="s">
        <v>1795</v>
      </c>
      <c r="I92" s="89"/>
      <c r="J92" s="89" t="s">
        <v>1797</v>
      </c>
      <c r="K92" s="89" t="s">
        <v>1789</v>
      </c>
      <c r="L92" s="89" t="s">
        <v>152</v>
      </c>
      <c r="M92" s="10" t="s">
        <v>1787</v>
      </c>
      <c r="N92" s="89" t="s">
        <v>1800</v>
      </c>
      <c r="O92" s="89" t="n">
        <v>1</v>
      </c>
    </row>
    <row r="93" customFormat="false" ht="15" hidden="false" customHeight="false" outlineLevel="0" collapsed="false">
      <c r="A93" s="90" t="s">
        <v>2512</v>
      </c>
      <c r="B93" s="89" t="s">
        <v>178</v>
      </c>
      <c r="C93" s="90" t="s">
        <v>179</v>
      </c>
      <c r="D93" s="89"/>
      <c r="E93" s="89" t="n">
        <v>1020808348</v>
      </c>
      <c r="F93" s="89" t="s">
        <v>1813</v>
      </c>
      <c r="G93" s="89" t="s">
        <v>1814</v>
      </c>
      <c r="H93" s="89"/>
      <c r="I93" s="89"/>
      <c r="J93" s="89" t="s">
        <v>1816</v>
      </c>
      <c r="K93" s="89" t="s">
        <v>1810</v>
      </c>
      <c r="L93" s="89" t="s">
        <v>186</v>
      </c>
      <c r="M93" s="10" t="s">
        <v>1808</v>
      </c>
      <c r="N93" s="89" t="s">
        <v>1819</v>
      </c>
      <c r="O93" s="89" t="n">
        <v>1</v>
      </c>
    </row>
    <row r="94" customFormat="false" ht="15" hidden="false" customHeight="false" outlineLevel="0" collapsed="false">
      <c r="A94" s="90" t="s">
        <v>2513</v>
      </c>
      <c r="B94" s="89" t="s">
        <v>143</v>
      </c>
      <c r="C94" s="90" t="s">
        <v>144</v>
      </c>
      <c r="D94" s="89" t="s">
        <v>1842</v>
      </c>
      <c r="E94" s="89" t="n">
        <v>52774446</v>
      </c>
      <c r="F94" s="89" t="s">
        <v>1843</v>
      </c>
      <c r="G94" s="89" t="s">
        <v>1844</v>
      </c>
      <c r="H94" s="89"/>
      <c r="I94" s="89"/>
      <c r="J94" s="89" t="s">
        <v>1846</v>
      </c>
      <c r="K94" s="89" t="s">
        <v>1840</v>
      </c>
      <c r="L94" s="89" t="s">
        <v>152</v>
      </c>
      <c r="M94" s="10" t="s">
        <v>1838</v>
      </c>
      <c r="N94" s="89" t="s">
        <v>1849</v>
      </c>
      <c r="O94" s="89" t="n">
        <v>1</v>
      </c>
    </row>
    <row r="95" customFormat="false" ht="15" hidden="false" customHeight="false" outlineLevel="0" collapsed="false">
      <c r="A95" s="90" t="s">
        <v>2514</v>
      </c>
      <c r="B95" s="89" t="s">
        <v>178</v>
      </c>
      <c r="C95" s="90" t="s">
        <v>202</v>
      </c>
      <c r="D95" s="89"/>
      <c r="E95" s="89" t="n">
        <v>35536900</v>
      </c>
      <c r="F95" s="89" t="s">
        <v>1869</v>
      </c>
      <c r="G95" s="89" t="s">
        <v>1870</v>
      </c>
      <c r="H95" s="89"/>
      <c r="I95" s="89"/>
      <c r="J95" s="89" t="s">
        <v>1872</v>
      </c>
      <c r="K95" s="89" t="s">
        <v>1866</v>
      </c>
      <c r="L95" s="89" t="s">
        <v>92</v>
      </c>
      <c r="M95" s="10" t="s">
        <v>1864</v>
      </c>
      <c r="N95" s="89" t="s">
        <v>1874</v>
      </c>
      <c r="O95" s="89" t="n">
        <v>1</v>
      </c>
    </row>
    <row r="96" customFormat="false" ht="15" hidden="false" customHeight="false" outlineLevel="0" collapsed="false">
      <c r="A96" s="90" t="s">
        <v>2515</v>
      </c>
      <c r="B96" s="89" t="s">
        <v>439</v>
      </c>
      <c r="C96" s="90" t="s">
        <v>179</v>
      </c>
      <c r="D96" s="89"/>
      <c r="E96" s="89" t="n">
        <v>8002081463001</v>
      </c>
      <c r="F96" s="89" t="s">
        <v>1894</v>
      </c>
      <c r="G96" s="89"/>
      <c r="H96" s="89" t="n">
        <v>0</v>
      </c>
      <c r="I96" s="89" t="s">
        <v>1895</v>
      </c>
      <c r="J96" s="89" t="n">
        <v>0</v>
      </c>
      <c r="K96" s="89" t="s">
        <v>1892</v>
      </c>
      <c r="L96" s="89" t="s">
        <v>1898</v>
      </c>
      <c r="M96" s="10" t="n">
        <v>13899400</v>
      </c>
      <c r="N96" s="89" t="s">
        <v>1897</v>
      </c>
      <c r="O96" s="89" t="n">
        <v>16</v>
      </c>
    </row>
    <row r="97" customFormat="false" ht="15" hidden="false" customHeight="false" outlineLevel="0" collapsed="false">
      <c r="A97" s="90" t="s">
        <v>2516</v>
      </c>
      <c r="B97" s="89" t="s">
        <v>1906</v>
      </c>
      <c r="C97" s="90" t="s">
        <v>224</v>
      </c>
      <c r="D97" s="89"/>
      <c r="E97" s="89" t="n">
        <v>1096645781</v>
      </c>
      <c r="F97" s="89" t="s">
        <v>1907</v>
      </c>
      <c r="G97" s="89"/>
      <c r="H97" s="89" t="n">
        <v>3133932870</v>
      </c>
      <c r="I97" s="89" t="n">
        <v>576401</v>
      </c>
      <c r="J97" s="89" t="s">
        <v>1908</v>
      </c>
      <c r="K97" s="89" t="s">
        <v>1904</v>
      </c>
      <c r="L97" s="89" t="s">
        <v>461</v>
      </c>
      <c r="M97" s="10" t="n">
        <v>13894897</v>
      </c>
      <c r="N97" s="89" t="s">
        <v>1910</v>
      </c>
      <c r="O97" s="89" t="n">
        <v>1</v>
      </c>
    </row>
    <row r="98" customFormat="false" ht="15" hidden="false" customHeight="false" outlineLevel="0" collapsed="false">
      <c r="A98" s="90" t="s">
        <v>2517</v>
      </c>
      <c r="B98" s="89" t="s">
        <v>178</v>
      </c>
      <c r="C98" s="90" t="s">
        <v>179</v>
      </c>
      <c r="D98" s="89" t="s">
        <v>1917</v>
      </c>
      <c r="E98" s="89" t="n">
        <v>1072712180</v>
      </c>
      <c r="F98" s="89" t="s">
        <v>1918</v>
      </c>
      <c r="G98" s="89" t="s">
        <v>1919</v>
      </c>
      <c r="H98" s="89"/>
      <c r="I98" s="89"/>
      <c r="J98" s="89" t="s">
        <v>1921</v>
      </c>
      <c r="K98" s="89" t="s">
        <v>1914</v>
      </c>
      <c r="L98" s="89" t="s">
        <v>186</v>
      </c>
      <c r="M98" s="10" t="s">
        <v>1912</v>
      </c>
      <c r="N98" s="89" t="s">
        <v>1923</v>
      </c>
      <c r="O98" s="89" t="n">
        <v>1</v>
      </c>
    </row>
    <row r="99" customFormat="false" ht="15" hidden="false" customHeight="false" outlineLevel="0" collapsed="false">
      <c r="A99" s="90" t="s">
        <v>2518</v>
      </c>
      <c r="B99" s="89" t="s">
        <v>439</v>
      </c>
      <c r="C99" s="90" t="s">
        <v>179</v>
      </c>
      <c r="D99" s="89"/>
      <c r="E99" s="89" t="n">
        <v>35504683</v>
      </c>
      <c r="F99" s="89" t="s">
        <v>1934</v>
      </c>
      <c r="G99" s="89"/>
      <c r="H99" s="89" t="n">
        <v>3015672397</v>
      </c>
      <c r="I99" s="89" t="n">
        <v>566595</v>
      </c>
      <c r="J99" s="89" t="s">
        <v>1935</v>
      </c>
      <c r="K99" s="89" t="s">
        <v>1418</v>
      </c>
      <c r="L99" s="89" t="s">
        <v>461</v>
      </c>
      <c r="M99" s="10" t="n">
        <v>13893898</v>
      </c>
      <c r="N99" s="89" t="s">
        <v>1937</v>
      </c>
      <c r="O99" s="89" t="n">
        <v>1</v>
      </c>
    </row>
    <row r="100" customFormat="false" ht="15" hidden="false" customHeight="false" outlineLevel="0" collapsed="false">
      <c r="A100" s="90" t="s">
        <v>2519</v>
      </c>
      <c r="B100" s="89" t="s">
        <v>1940</v>
      </c>
      <c r="C100" s="90" t="s">
        <v>949</v>
      </c>
      <c r="D100" s="89"/>
      <c r="E100" s="89" t="n">
        <v>93393820</v>
      </c>
      <c r="F100" s="89" t="s">
        <v>1941</v>
      </c>
      <c r="G100" s="89"/>
      <c r="H100" s="89" t="n">
        <v>573165363541</v>
      </c>
      <c r="I100" s="89" t="n">
        <v>136469539</v>
      </c>
      <c r="J100" s="89" t="s">
        <v>1942</v>
      </c>
      <c r="K100" s="89" t="s">
        <v>1668</v>
      </c>
      <c r="L100" s="89" t="s">
        <v>92</v>
      </c>
      <c r="M100" s="10" t="n">
        <v>2717717646</v>
      </c>
      <c r="N100" s="89" t="s">
        <v>1944</v>
      </c>
      <c r="O100" s="89" t="n">
        <v>1</v>
      </c>
    </row>
    <row r="101" customFormat="false" ht="15" hidden="false" customHeight="false" outlineLevel="0" collapsed="false">
      <c r="A101" s="90" t="s">
        <v>2520</v>
      </c>
      <c r="B101" s="89" t="s">
        <v>1949</v>
      </c>
      <c r="C101" s="90" t="s">
        <v>1950</v>
      </c>
      <c r="D101" s="89"/>
      <c r="E101" s="89" t="n">
        <v>1077476209</v>
      </c>
      <c r="F101" s="89" t="s">
        <v>1951</v>
      </c>
      <c r="G101" s="89"/>
      <c r="H101" s="89" t="n">
        <v>3207042152</v>
      </c>
      <c r="I101" s="89" t="n">
        <v>474665</v>
      </c>
      <c r="J101" s="89" t="n">
        <v>0</v>
      </c>
      <c r="K101" s="89" t="s">
        <v>1947</v>
      </c>
      <c r="L101" s="89" t="s">
        <v>461</v>
      </c>
      <c r="M101" s="10" t="n">
        <v>13890440</v>
      </c>
      <c r="N101" s="89" t="s">
        <v>1953</v>
      </c>
      <c r="O101" s="89" t="n">
        <v>1</v>
      </c>
    </row>
    <row r="102" customFormat="false" ht="15" hidden="false" customHeight="false" outlineLevel="0" collapsed="false">
      <c r="A102" s="90" t="s">
        <v>2521</v>
      </c>
      <c r="B102" s="89" t="s">
        <v>1958</v>
      </c>
      <c r="C102" s="90" t="s">
        <v>1959</v>
      </c>
      <c r="D102" s="89"/>
      <c r="E102" s="89" t="n">
        <v>1095838999</v>
      </c>
      <c r="F102" s="89" t="s">
        <v>1960</v>
      </c>
      <c r="G102" s="89"/>
      <c r="H102" s="89" t="n">
        <v>573176808377</v>
      </c>
      <c r="I102" s="89" t="n">
        <v>7709283712886</v>
      </c>
      <c r="J102" s="89" t="n">
        <v>0</v>
      </c>
      <c r="K102" s="89" t="s">
        <v>1956</v>
      </c>
      <c r="L102" s="89" t="s">
        <v>92</v>
      </c>
      <c r="M102" s="10" t="n">
        <v>1508168005740</v>
      </c>
      <c r="N102" s="89" t="s">
        <v>1962</v>
      </c>
      <c r="O102" s="89" t="n">
        <v>1</v>
      </c>
    </row>
    <row r="103" customFormat="false" ht="15" hidden="false" customHeight="false" outlineLevel="0" collapsed="false">
      <c r="A103" s="90" t="s">
        <v>2522</v>
      </c>
      <c r="B103" s="89" t="s">
        <v>143</v>
      </c>
      <c r="C103" s="90" t="s">
        <v>144</v>
      </c>
      <c r="D103" s="89"/>
      <c r="E103" s="89" t="n">
        <v>1049614644</v>
      </c>
      <c r="F103" s="89" t="s">
        <v>1969</v>
      </c>
      <c r="G103" s="89" t="s">
        <v>1970</v>
      </c>
      <c r="H103" s="89"/>
      <c r="I103" s="89"/>
      <c r="J103" s="89" t="s">
        <v>1972</v>
      </c>
      <c r="K103" s="89" t="s">
        <v>1966</v>
      </c>
      <c r="L103" s="89" t="s">
        <v>152</v>
      </c>
      <c r="M103" s="10" t="s">
        <v>1964</v>
      </c>
      <c r="N103" s="89" t="s">
        <v>1975</v>
      </c>
      <c r="O103" s="89" t="n">
        <v>1</v>
      </c>
    </row>
    <row r="104" customFormat="false" ht="15" hidden="false" customHeight="false" outlineLevel="0" collapsed="false">
      <c r="A104" s="90" t="s">
        <v>2523</v>
      </c>
      <c r="B104" s="89" t="s">
        <v>178</v>
      </c>
      <c r="C104" s="90" t="s">
        <v>179</v>
      </c>
      <c r="D104" s="89"/>
      <c r="E104" s="89" t="n">
        <v>51933745</v>
      </c>
      <c r="F104" s="89" t="s">
        <v>1981</v>
      </c>
      <c r="G104" s="89" t="s">
        <v>1982</v>
      </c>
      <c r="H104" s="89"/>
      <c r="I104" s="89"/>
      <c r="J104" s="89" t="s">
        <v>1984</v>
      </c>
      <c r="K104" s="89" t="s">
        <v>1979</v>
      </c>
      <c r="L104" s="89" t="s">
        <v>152</v>
      </c>
      <c r="M104" s="10" t="s">
        <v>1977</v>
      </c>
      <c r="N104" s="89" t="s">
        <v>1986</v>
      </c>
      <c r="O104" s="89" t="n">
        <v>1</v>
      </c>
    </row>
    <row r="105" customFormat="false" ht="15" hidden="false" customHeight="false" outlineLevel="0" collapsed="false">
      <c r="A105" s="90" t="s">
        <v>2524</v>
      </c>
      <c r="B105" s="89" t="s">
        <v>143</v>
      </c>
      <c r="C105" s="90" t="s">
        <v>144</v>
      </c>
      <c r="D105" s="89" t="s">
        <v>1992</v>
      </c>
      <c r="E105" s="89" t="s">
        <v>1993</v>
      </c>
      <c r="F105" s="89" t="s">
        <v>1994</v>
      </c>
      <c r="G105" s="89" t="s">
        <v>1995</v>
      </c>
      <c r="H105" s="89" t="s">
        <v>1996</v>
      </c>
      <c r="I105" s="89"/>
      <c r="J105" s="89" t="s">
        <v>1998</v>
      </c>
      <c r="K105" s="89" t="s">
        <v>1990</v>
      </c>
      <c r="L105" s="89" t="s">
        <v>152</v>
      </c>
      <c r="M105" s="10" t="s">
        <v>1988</v>
      </c>
      <c r="N105" s="89" t="s">
        <v>2001</v>
      </c>
      <c r="O105" s="89" t="n">
        <v>1</v>
      </c>
    </row>
    <row r="106" customFormat="false" ht="15" hidden="false" customHeight="false" outlineLevel="0" collapsed="false">
      <c r="A106" s="90" t="s">
        <v>2525</v>
      </c>
      <c r="B106" s="89" t="s">
        <v>143</v>
      </c>
      <c r="C106" s="90" t="s">
        <v>144</v>
      </c>
      <c r="D106" s="89" t="s">
        <v>2031</v>
      </c>
      <c r="E106" s="89" t="n">
        <v>1049604633</v>
      </c>
      <c r="F106" s="89" t="s">
        <v>2032</v>
      </c>
      <c r="G106" s="89" t="s">
        <v>2033</v>
      </c>
      <c r="H106" s="89" t="s">
        <v>2034</v>
      </c>
      <c r="I106" s="89"/>
      <c r="J106" s="89" t="s">
        <v>2036</v>
      </c>
      <c r="K106" s="89" t="s">
        <v>2029</v>
      </c>
      <c r="L106" s="89" t="s">
        <v>152</v>
      </c>
      <c r="M106" s="10" t="s">
        <v>2027</v>
      </c>
      <c r="N106" s="89" t="s">
        <v>2038</v>
      </c>
      <c r="O106" s="89" t="n">
        <v>1</v>
      </c>
    </row>
    <row r="107" customFormat="false" ht="15" hidden="false" customHeight="false" outlineLevel="0" collapsed="false">
      <c r="A107" s="90" t="s">
        <v>2526</v>
      </c>
      <c r="B107" s="89" t="s">
        <v>143</v>
      </c>
      <c r="C107" s="90"/>
      <c r="D107" s="89" t="s">
        <v>2048</v>
      </c>
      <c r="E107" s="89"/>
      <c r="F107" s="89"/>
      <c r="G107" s="89"/>
      <c r="H107" s="89"/>
      <c r="I107" s="89" t="s">
        <v>2049</v>
      </c>
      <c r="J107" s="89"/>
      <c r="K107" s="89" t="s">
        <v>2048</v>
      </c>
      <c r="L107" s="89" t="s">
        <v>1091</v>
      </c>
      <c r="M107" s="10" t="s">
        <v>2046</v>
      </c>
      <c r="N107" s="89" t="s">
        <v>2051</v>
      </c>
      <c r="O107" s="89" t="n">
        <v>1</v>
      </c>
    </row>
    <row r="108" customFormat="false" ht="15" hidden="false" customHeight="false" outlineLevel="0" collapsed="false">
      <c r="A108" s="90" t="s">
        <v>2527</v>
      </c>
      <c r="B108" s="89" t="s">
        <v>143</v>
      </c>
      <c r="C108" s="90"/>
      <c r="D108" s="89" t="s">
        <v>2055</v>
      </c>
      <c r="E108" s="89"/>
      <c r="F108" s="89"/>
      <c r="G108" s="89"/>
      <c r="H108" s="89"/>
      <c r="I108" s="89" t="s">
        <v>2056</v>
      </c>
      <c r="J108" s="89"/>
      <c r="K108" s="89" t="s">
        <v>2055</v>
      </c>
      <c r="L108" s="89" t="s">
        <v>1091</v>
      </c>
      <c r="M108" s="10" t="s">
        <v>2053</v>
      </c>
      <c r="N108" s="89" t="s">
        <v>2058</v>
      </c>
      <c r="O108" s="89" t="n">
        <v>1</v>
      </c>
    </row>
    <row r="109" customFormat="false" ht="15" hidden="false" customHeight="false" outlineLevel="0" collapsed="false">
      <c r="A109" s="90" t="s">
        <v>2528</v>
      </c>
      <c r="B109" s="89" t="s">
        <v>143</v>
      </c>
      <c r="C109" s="90"/>
      <c r="D109" s="89" t="s">
        <v>2055</v>
      </c>
      <c r="E109" s="89"/>
      <c r="F109" s="89"/>
      <c r="G109" s="89"/>
      <c r="H109" s="89"/>
      <c r="I109" s="89" t="s">
        <v>2056</v>
      </c>
      <c r="J109" s="89"/>
      <c r="K109" s="89" t="s">
        <v>2055</v>
      </c>
      <c r="L109" s="89" t="s">
        <v>1091</v>
      </c>
      <c r="M109" s="10" t="s">
        <v>2060</v>
      </c>
      <c r="N109" s="89" t="s">
        <v>2062</v>
      </c>
      <c r="O109" s="89" t="n">
        <v>1</v>
      </c>
    </row>
    <row r="110" customFormat="false" ht="15" hidden="false" customHeight="false" outlineLevel="0" collapsed="false">
      <c r="A110" s="90" t="s">
        <v>2529</v>
      </c>
      <c r="B110" s="89" t="s">
        <v>143</v>
      </c>
      <c r="C110" s="90"/>
      <c r="D110" s="89" t="s">
        <v>2066</v>
      </c>
      <c r="E110" s="89"/>
      <c r="F110" s="89"/>
      <c r="G110" s="89"/>
      <c r="H110" s="89"/>
      <c r="I110" s="89" t="s">
        <v>2068</v>
      </c>
      <c r="J110" s="89"/>
      <c r="K110" s="89" t="s">
        <v>2066</v>
      </c>
      <c r="L110" s="89" t="s">
        <v>1091</v>
      </c>
      <c r="M110" s="10" t="s">
        <v>2064</v>
      </c>
      <c r="N110" s="89" t="s">
        <v>2070</v>
      </c>
      <c r="O110" s="89" t="n">
        <v>1</v>
      </c>
    </row>
    <row r="111" customFormat="false" ht="15" hidden="false" customHeight="false" outlineLevel="0" collapsed="false">
      <c r="A111" s="90" t="s">
        <v>2530</v>
      </c>
      <c r="B111" s="89" t="s">
        <v>143</v>
      </c>
      <c r="C111" s="90"/>
      <c r="D111" s="89" t="s">
        <v>2074</v>
      </c>
      <c r="E111" s="89"/>
      <c r="F111" s="89"/>
      <c r="G111" s="89"/>
      <c r="H111" s="89"/>
      <c r="I111" s="89" t="s">
        <v>2075</v>
      </c>
      <c r="J111" s="89"/>
      <c r="K111" s="89" t="s">
        <v>2074</v>
      </c>
      <c r="L111" s="89" t="s">
        <v>1091</v>
      </c>
      <c r="M111" s="10" t="s">
        <v>2072</v>
      </c>
      <c r="N111" s="89" t="s">
        <v>2077</v>
      </c>
      <c r="O111" s="89" t="n">
        <v>1</v>
      </c>
    </row>
    <row r="112" customFormat="false" ht="15" hidden="false" customHeight="false" outlineLevel="0" collapsed="false">
      <c r="A112" s="90" t="s">
        <v>2531</v>
      </c>
      <c r="B112" s="89" t="s">
        <v>143</v>
      </c>
      <c r="C112" s="90"/>
      <c r="D112" s="89" t="s">
        <v>2074</v>
      </c>
      <c r="E112" s="89"/>
      <c r="F112" s="89"/>
      <c r="G112" s="89"/>
      <c r="H112" s="89"/>
      <c r="I112" s="89" t="s">
        <v>2075</v>
      </c>
      <c r="J112" s="89"/>
      <c r="K112" s="89" t="s">
        <v>2074</v>
      </c>
      <c r="L112" s="89" t="s">
        <v>1091</v>
      </c>
      <c r="M112" s="10" t="s">
        <v>2079</v>
      </c>
      <c r="N112" s="89" t="s">
        <v>2081</v>
      </c>
      <c r="O112" s="89" t="n">
        <v>1</v>
      </c>
    </row>
    <row r="113" customFormat="false" ht="15" hidden="false" customHeight="false" outlineLevel="0" collapsed="false">
      <c r="A113" s="90" t="s">
        <v>2532</v>
      </c>
      <c r="B113" s="89" t="s">
        <v>143</v>
      </c>
      <c r="C113" s="90"/>
      <c r="D113" s="89" t="s">
        <v>2074</v>
      </c>
      <c r="E113" s="89"/>
      <c r="F113" s="89"/>
      <c r="G113" s="89"/>
      <c r="H113" s="89"/>
      <c r="I113" s="89" t="s">
        <v>2075</v>
      </c>
      <c r="J113" s="89"/>
      <c r="K113" s="89" t="s">
        <v>2074</v>
      </c>
      <c r="L113" s="89" t="s">
        <v>1091</v>
      </c>
      <c r="M113" s="10" t="s">
        <v>2083</v>
      </c>
      <c r="N113" s="89" t="s">
        <v>2085</v>
      </c>
      <c r="O113" s="89" t="n">
        <v>1</v>
      </c>
    </row>
    <row r="114" customFormat="false" ht="15" hidden="false" customHeight="false" outlineLevel="0" collapsed="false">
      <c r="A114" s="90" t="s">
        <v>2533</v>
      </c>
      <c r="B114" s="89" t="s">
        <v>143</v>
      </c>
      <c r="C114" s="90"/>
      <c r="D114" s="89" t="s">
        <v>2074</v>
      </c>
      <c r="E114" s="89"/>
      <c r="F114" s="89"/>
      <c r="G114" s="89"/>
      <c r="H114" s="89"/>
      <c r="I114" s="89" t="s">
        <v>2075</v>
      </c>
      <c r="J114" s="89"/>
      <c r="K114" s="89" t="s">
        <v>2074</v>
      </c>
      <c r="L114" s="89" t="s">
        <v>1091</v>
      </c>
      <c r="M114" s="10" t="s">
        <v>2087</v>
      </c>
      <c r="N114" s="89" t="s">
        <v>2089</v>
      </c>
      <c r="O114" s="89" t="n">
        <v>1</v>
      </c>
    </row>
    <row r="115" customFormat="false" ht="15" hidden="false" customHeight="false" outlineLevel="0" collapsed="false">
      <c r="A115" s="90" t="s">
        <v>2534</v>
      </c>
      <c r="B115" s="89" t="s">
        <v>143</v>
      </c>
      <c r="C115" s="90"/>
      <c r="D115" s="89" t="s">
        <v>2094</v>
      </c>
      <c r="E115" s="89"/>
      <c r="F115" s="89"/>
      <c r="G115" s="89"/>
      <c r="H115" s="89"/>
      <c r="I115" s="89" t="s">
        <v>2095</v>
      </c>
      <c r="J115" s="89"/>
      <c r="K115" s="89" t="s">
        <v>2093</v>
      </c>
      <c r="L115" s="89" t="s">
        <v>1091</v>
      </c>
      <c r="M115" s="10" t="s">
        <v>2091</v>
      </c>
      <c r="N115" s="89" t="s">
        <v>2097</v>
      </c>
      <c r="O115" s="89" t="n">
        <v>1</v>
      </c>
    </row>
    <row r="116" customFormat="false" ht="15" hidden="false" customHeight="false" outlineLevel="0" collapsed="false">
      <c r="A116" s="90" t="s">
        <v>2535</v>
      </c>
      <c r="B116" s="89" t="s">
        <v>143</v>
      </c>
      <c r="C116" s="90"/>
      <c r="D116" s="89" t="s">
        <v>2094</v>
      </c>
      <c r="E116" s="89"/>
      <c r="F116" s="89"/>
      <c r="G116" s="89"/>
      <c r="H116" s="89"/>
      <c r="I116" s="89" t="s">
        <v>2095</v>
      </c>
      <c r="J116" s="89"/>
      <c r="K116" s="89" t="s">
        <v>2093</v>
      </c>
      <c r="L116" s="89" t="s">
        <v>1091</v>
      </c>
      <c r="M116" s="10" t="s">
        <v>2101</v>
      </c>
      <c r="N116" s="89" t="s">
        <v>2103</v>
      </c>
      <c r="O116" s="89" t="n">
        <v>1</v>
      </c>
    </row>
    <row r="117" customFormat="false" ht="15" hidden="false" customHeight="false" outlineLevel="0" collapsed="false">
      <c r="A117" s="90" t="s">
        <v>2536</v>
      </c>
      <c r="B117" s="89" t="s">
        <v>143</v>
      </c>
      <c r="C117" s="90"/>
      <c r="D117" s="89" t="s">
        <v>2107</v>
      </c>
      <c r="E117" s="89"/>
      <c r="F117" s="89"/>
      <c r="G117" s="89"/>
      <c r="H117" s="89"/>
      <c r="I117" s="89" t="s">
        <v>2108</v>
      </c>
      <c r="J117" s="89"/>
      <c r="K117" s="89" t="s">
        <v>2107</v>
      </c>
      <c r="L117" s="89" t="s">
        <v>1091</v>
      </c>
      <c r="M117" s="10" t="s">
        <v>2105</v>
      </c>
      <c r="N117" s="89" t="s">
        <v>2110</v>
      </c>
      <c r="O117" s="89" t="n">
        <v>1</v>
      </c>
    </row>
    <row r="118" customFormat="false" ht="15" hidden="false" customHeight="false" outlineLevel="0" collapsed="false">
      <c r="A118" s="90" t="s">
        <v>2537</v>
      </c>
      <c r="B118" s="89" t="s">
        <v>143</v>
      </c>
      <c r="C118" s="90"/>
      <c r="D118" s="89" t="s">
        <v>2107</v>
      </c>
      <c r="E118" s="89"/>
      <c r="F118" s="89"/>
      <c r="G118" s="89"/>
      <c r="H118" s="89"/>
      <c r="I118" s="89" t="s">
        <v>2108</v>
      </c>
      <c r="J118" s="89"/>
      <c r="K118" s="89" t="s">
        <v>2107</v>
      </c>
      <c r="L118" s="89" t="s">
        <v>1091</v>
      </c>
      <c r="M118" s="10" t="s">
        <v>2112</v>
      </c>
      <c r="N118" s="89" t="s">
        <v>2114</v>
      </c>
      <c r="O118" s="89" t="n">
        <v>1</v>
      </c>
    </row>
    <row r="119" customFormat="false" ht="15" hidden="false" customHeight="false" outlineLevel="0" collapsed="false">
      <c r="A119" s="90" t="s">
        <v>2538</v>
      </c>
      <c r="B119" s="89" t="s">
        <v>143</v>
      </c>
      <c r="C119" s="90"/>
      <c r="D119" s="89" t="s">
        <v>2107</v>
      </c>
      <c r="E119" s="89"/>
      <c r="F119" s="89"/>
      <c r="G119" s="89"/>
      <c r="H119" s="89"/>
      <c r="I119" s="89" t="s">
        <v>2108</v>
      </c>
      <c r="J119" s="89"/>
      <c r="K119" s="89" t="s">
        <v>2107</v>
      </c>
      <c r="L119" s="89" t="s">
        <v>1091</v>
      </c>
      <c r="M119" s="10" t="s">
        <v>2116</v>
      </c>
      <c r="N119" s="89" t="s">
        <v>2118</v>
      </c>
      <c r="O119" s="89" t="n">
        <v>1</v>
      </c>
    </row>
    <row r="120" customFormat="false" ht="15" hidden="false" customHeight="false" outlineLevel="0" collapsed="false">
      <c r="A120" s="90" t="s">
        <v>2539</v>
      </c>
      <c r="B120" s="89" t="s">
        <v>143</v>
      </c>
      <c r="C120" s="90"/>
      <c r="D120" s="89" t="s">
        <v>2107</v>
      </c>
      <c r="E120" s="89"/>
      <c r="F120" s="89"/>
      <c r="G120" s="89"/>
      <c r="H120" s="89"/>
      <c r="I120" s="89" t="s">
        <v>2108</v>
      </c>
      <c r="J120" s="89"/>
      <c r="K120" s="89" t="s">
        <v>2107</v>
      </c>
      <c r="L120" s="89" t="s">
        <v>1091</v>
      </c>
      <c r="M120" s="10" t="s">
        <v>2120</v>
      </c>
      <c r="N120" s="89" t="s">
        <v>2122</v>
      </c>
      <c r="O120" s="89" t="n">
        <v>1</v>
      </c>
    </row>
    <row r="121" customFormat="false" ht="15" hidden="false" customHeight="false" outlineLevel="0" collapsed="false">
      <c r="A121" s="90" t="s">
        <v>2540</v>
      </c>
      <c r="B121" s="89" t="s">
        <v>143</v>
      </c>
      <c r="C121" s="90"/>
      <c r="D121" s="89" t="s">
        <v>2107</v>
      </c>
      <c r="E121" s="89"/>
      <c r="F121" s="89"/>
      <c r="G121" s="89"/>
      <c r="H121" s="89"/>
      <c r="I121" s="89" t="s">
        <v>2108</v>
      </c>
      <c r="J121" s="89"/>
      <c r="K121" s="89" t="s">
        <v>2107</v>
      </c>
      <c r="L121" s="89" t="s">
        <v>1091</v>
      </c>
      <c r="M121" s="10" t="s">
        <v>2124</v>
      </c>
      <c r="N121" s="89" t="s">
        <v>2126</v>
      </c>
      <c r="O121" s="89" t="n">
        <v>1</v>
      </c>
    </row>
    <row r="122" customFormat="false" ht="15" hidden="false" customHeight="false" outlineLevel="0" collapsed="false">
      <c r="A122" s="90" t="s">
        <v>2541</v>
      </c>
      <c r="B122" s="89" t="s">
        <v>143</v>
      </c>
      <c r="C122" s="90"/>
      <c r="D122" s="89" t="s">
        <v>983</v>
      </c>
      <c r="E122" s="89"/>
      <c r="F122" s="89"/>
      <c r="G122" s="89"/>
      <c r="H122" s="89"/>
      <c r="I122" s="89" t="s">
        <v>2129</v>
      </c>
      <c r="J122" s="89"/>
      <c r="K122" s="89" t="s">
        <v>983</v>
      </c>
      <c r="L122" s="89" t="s">
        <v>1091</v>
      </c>
      <c r="M122" s="10" t="s">
        <v>2128</v>
      </c>
      <c r="N122" s="89" t="s">
        <v>2131</v>
      </c>
      <c r="O122" s="89" t="n">
        <v>1</v>
      </c>
    </row>
    <row r="123" customFormat="false" ht="15" hidden="false" customHeight="false" outlineLevel="0" collapsed="false">
      <c r="A123" s="90" t="s">
        <v>2542</v>
      </c>
      <c r="B123" s="89" t="s">
        <v>143</v>
      </c>
      <c r="C123" s="90"/>
      <c r="D123" s="89" t="s">
        <v>983</v>
      </c>
      <c r="E123" s="89"/>
      <c r="F123" s="89"/>
      <c r="G123" s="89"/>
      <c r="H123" s="89"/>
      <c r="I123" s="89" t="s">
        <v>2129</v>
      </c>
      <c r="J123" s="89"/>
      <c r="K123" s="89" t="s">
        <v>983</v>
      </c>
      <c r="L123" s="89" t="s">
        <v>1091</v>
      </c>
      <c r="M123" s="10" t="s">
        <v>2133</v>
      </c>
      <c r="N123" s="89" t="s">
        <v>2135</v>
      </c>
      <c r="O123" s="89" t="n">
        <v>1</v>
      </c>
    </row>
    <row r="124" customFormat="false" ht="15" hidden="false" customHeight="false" outlineLevel="0" collapsed="false">
      <c r="A124" s="90" t="s">
        <v>2543</v>
      </c>
      <c r="B124" s="89" t="s">
        <v>143</v>
      </c>
      <c r="C124" s="90"/>
      <c r="D124" s="89" t="s">
        <v>2138</v>
      </c>
      <c r="E124" s="89"/>
      <c r="F124" s="89"/>
      <c r="G124" s="89"/>
      <c r="H124" s="89"/>
      <c r="I124" s="89" t="s">
        <v>2139</v>
      </c>
      <c r="J124" s="89"/>
      <c r="K124" s="89" t="s">
        <v>2055</v>
      </c>
      <c r="L124" s="89" t="s">
        <v>1091</v>
      </c>
      <c r="M124" s="10" t="s">
        <v>2137</v>
      </c>
      <c r="N124" s="89" t="s">
        <v>2141</v>
      </c>
      <c r="O124" s="89" t="n">
        <v>1</v>
      </c>
    </row>
    <row r="125" customFormat="false" ht="15" hidden="false" customHeight="false" outlineLevel="0" collapsed="false">
      <c r="A125" s="90" t="s">
        <v>2544</v>
      </c>
      <c r="B125" s="89" t="s">
        <v>143</v>
      </c>
      <c r="C125" s="90"/>
      <c r="D125" s="89" t="s">
        <v>2138</v>
      </c>
      <c r="E125" s="89"/>
      <c r="F125" s="89"/>
      <c r="G125" s="89"/>
      <c r="H125" s="89"/>
      <c r="I125" s="89" t="s">
        <v>2139</v>
      </c>
      <c r="J125" s="89"/>
      <c r="K125" s="89" t="s">
        <v>2055</v>
      </c>
      <c r="L125" s="89" t="s">
        <v>1091</v>
      </c>
      <c r="M125" s="10" t="s">
        <v>2147</v>
      </c>
      <c r="N125" s="89" t="s">
        <v>2149</v>
      </c>
      <c r="O125" s="89" t="n">
        <v>1</v>
      </c>
    </row>
    <row r="126" customFormat="false" ht="15" hidden="false" customHeight="false" outlineLevel="0" collapsed="false">
      <c r="A126" s="90" t="s">
        <v>2545</v>
      </c>
      <c r="B126" s="89" t="s">
        <v>143</v>
      </c>
      <c r="C126" s="90"/>
      <c r="D126" s="89" t="s">
        <v>2138</v>
      </c>
      <c r="E126" s="89"/>
      <c r="F126" s="89"/>
      <c r="G126" s="89"/>
      <c r="H126" s="89"/>
      <c r="I126" s="89" t="s">
        <v>2139</v>
      </c>
      <c r="J126" s="89"/>
      <c r="K126" s="89" t="s">
        <v>2055</v>
      </c>
      <c r="L126" s="89" t="s">
        <v>1091</v>
      </c>
      <c r="M126" s="10" t="s">
        <v>2151</v>
      </c>
      <c r="N126" s="89" t="s">
        <v>2153</v>
      </c>
      <c r="O126" s="89" t="n">
        <v>1</v>
      </c>
    </row>
    <row r="127" customFormat="false" ht="15" hidden="false" customHeight="false" outlineLevel="0" collapsed="false">
      <c r="A127" s="90" t="s">
        <v>2546</v>
      </c>
      <c r="B127" s="89" t="s">
        <v>143</v>
      </c>
      <c r="C127" s="90"/>
      <c r="D127" s="89" t="s">
        <v>2158</v>
      </c>
      <c r="E127" s="89"/>
      <c r="F127" s="89"/>
      <c r="G127" s="89"/>
      <c r="H127" s="89"/>
      <c r="I127" s="89" t="s">
        <v>2159</v>
      </c>
      <c r="J127" s="89"/>
      <c r="K127" s="89" t="s">
        <v>2157</v>
      </c>
      <c r="L127" s="89" t="s">
        <v>1091</v>
      </c>
      <c r="M127" s="10" t="s">
        <v>2155</v>
      </c>
      <c r="N127" s="89" t="s">
        <v>2161</v>
      </c>
      <c r="O127" s="89" t="n">
        <v>1</v>
      </c>
    </row>
    <row r="128" customFormat="false" ht="15" hidden="false" customHeight="false" outlineLevel="0" collapsed="false">
      <c r="A128" s="90" t="s">
        <v>2547</v>
      </c>
      <c r="B128" s="89" t="s">
        <v>143</v>
      </c>
      <c r="C128" s="90"/>
      <c r="D128" s="89" t="s">
        <v>2158</v>
      </c>
      <c r="E128" s="89"/>
      <c r="F128" s="89"/>
      <c r="G128" s="89"/>
      <c r="H128" s="89"/>
      <c r="I128" s="89" t="s">
        <v>2159</v>
      </c>
      <c r="J128" s="89"/>
      <c r="K128" s="89" t="s">
        <v>2157</v>
      </c>
      <c r="L128" s="89" t="s">
        <v>1091</v>
      </c>
      <c r="M128" s="10" t="s">
        <v>2165</v>
      </c>
      <c r="N128" s="89" t="s">
        <v>2167</v>
      </c>
      <c r="O128" s="89" t="n">
        <v>1</v>
      </c>
    </row>
    <row r="129" customFormat="false" ht="15" hidden="false" customHeight="false" outlineLevel="0" collapsed="false">
      <c r="A129" s="90" t="s">
        <v>2548</v>
      </c>
      <c r="B129" s="89" t="s">
        <v>143</v>
      </c>
      <c r="C129" s="90"/>
      <c r="D129" s="89" t="s">
        <v>2158</v>
      </c>
      <c r="E129" s="89"/>
      <c r="F129" s="89"/>
      <c r="G129" s="89"/>
      <c r="H129" s="89"/>
      <c r="I129" s="89" t="s">
        <v>2159</v>
      </c>
      <c r="J129" s="89"/>
      <c r="K129" s="89" t="s">
        <v>2157</v>
      </c>
      <c r="L129" s="89" t="s">
        <v>1091</v>
      </c>
      <c r="M129" s="10" t="s">
        <v>2169</v>
      </c>
      <c r="N129" s="89" t="s">
        <v>2171</v>
      </c>
      <c r="O129" s="89" t="n">
        <v>1</v>
      </c>
    </row>
    <row r="130" customFormat="false" ht="15" hidden="false" customHeight="false" outlineLevel="0" collapsed="false">
      <c r="A130" s="90" t="s">
        <v>2549</v>
      </c>
      <c r="B130" s="89" t="s">
        <v>143</v>
      </c>
      <c r="C130" s="90"/>
      <c r="D130" s="89" t="s">
        <v>2175</v>
      </c>
      <c r="E130" s="89"/>
      <c r="F130" s="89"/>
      <c r="G130" s="89"/>
      <c r="H130" s="89"/>
      <c r="I130" s="89" t="s">
        <v>2176</v>
      </c>
      <c r="J130" s="89"/>
      <c r="K130" s="89" t="s">
        <v>2175</v>
      </c>
      <c r="L130" s="89" t="s">
        <v>1091</v>
      </c>
      <c r="M130" s="10" t="s">
        <v>2173</v>
      </c>
      <c r="N130" s="89" t="s">
        <v>2178</v>
      </c>
      <c r="O130" s="89" t="n">
        <v>1</v>
      </c>
    </row>
    <row r="131" customFormat="false" ht="15" hidden="false" customHeight="false" outlineLevel="0" collapsed="false">
      <c r="A131" s="90" t="s">
        <v>2550</v>
      </c>
      <c r="B131" s="89" t="s">
        <v>143</v>
      </c>
      <c r="C131" s="90"/>
      <c r="D131" s="89" t="s">
        <v>2175</v>
      </c>
      <c r="E131" s="89"/>
      <c r="F131" s="89"/>
      <c r="G131" s="89"/>
      <c r="H131" s="89"/>
      <c r="I131" s="89" t="s">
        <v>2176</v>
      </c>
      <c r="J131" s="89"/>
      <c r="K131" s="89" t="s">
        <v>2175</v>
      </c>
      <c r="L131" s="89" t="s">
        <v>1091</v>
      </c>
      <c r="M131" s="10" t="s">
        <v>2180</v>
      </c>
      <c r="N131" s="89" t="s">
        <v>2182</v>
      </c>
      <c r="O131" s="89" t="n">
        <v>1</v>
      </c>
    </row>
    <row r="132" customFormat="false" ht="15" hidden="false" customHeight="false" outlineLevel="0" collapsed="false">
      <c r="A132" s="90" t="s">
        <v>2551</v>
      </c>
      <c r="B132" s="89" t="s">
        <v>143</v>
      </c>
      <c r="C132" s="90"/>
      <c r="D132" s="89" t="s">
        <v>2175</v>
      </c>
      <c r="E132" s="89"/>
      <c r="F132" s="89"/>
      <c r="G132" s="89"/>
      <c r="H132" s="89"/>
      <c r="I132" s="89" t="s">
        <v>2176</v>
      </c>
      <c r="J132" s="89"/>
      <c r="K132" s="89" t="s">
        <v>2175</v>
      </c>
      <c r="L132" s="89" t="s">
        <v>1091</v>
      </c>
      <c r="M132" s="10" t="s">
        <v>2184</v>
      </c>
      <c r="N132" s="89" t="s">
        <v>2186</v>
      </c>
      <c r="O132" s="89" t="n">
        <v>1</v>
      </c>
    </row>
    <row r="133" customFormat="false" ht="15" hidden="false" customHeight="false" outlineLevel="0" collapsed="false">
      <c r="A133" s="90" t="s">
        <v>2552</v>
      </c>
      <c r="B133" s="89" t="s">
        <v>143</v>
      </c>
      <c r="C133" s="90"/>
      <c r="D133" s="89" t="s">
        <v>2175</v>
      </c>
      <c r="E133" s="89"/>
      <c r="F133" s="89"/>
      <c r="G133" s="89"/>
      <c r="H133" s="89"/>
      <c r="I133" s="89" t="s">
        <v>2176</v>
      </c>
      <c r="J133" s="89"/>
      <c r="K133" s="89" t="s">
        <v>2175</v>
      </c>
      <c r="L133" s="89" t="s">
        <v>1091</v>
      </c>
      <c r="M133" s="10" t="s">
        <v>2188</v>
      </c>
      <c r="N133" s="89" t="s">
        <v>2190</v>
      </c>
      <c r="O133" s="89" t="n">
        <v>1</v>
      </c>
    </row>
    <row r="134" customFormat="false" ht="15" hidden="false" customHeight="false" outlineLevel="0" collapsed="false">
      <c r="A134" s="90" t="s">
        <v>2553</v>
      </c>
      <c r="B134" s="89" t="s">
        <v>143</v>
      </c>
      <c r="C134" s="90"/>
      <c r="D134" s="89" t="s">
        <v>2175</v>
      </c>
      <c r="E134" s="89"/>
      <c r="F134" s="89"/>
      <c r="G134" s="89"/>
      <c r="H134" s="89"/>
      <c r="I134" s="89" t="s">
        <v>2176</v>
      </c>
      <c r="J134" s="89"/>
      <c r="K134" s="89" t="s">
        <v>2175</v>
      </c>
      <c r="L134" s="89" t="s">
        <v>1091</v>
      </c>
      <c r="M134" s="10" t="s">
        <v>2192</v>
      </c>
      <c r="N134" s="89" t="s">
        <v>2194</v>
      </c>
      <c r="O134" s="89" t="n">
        <v>1</v>
      </c>
    </row>
    <row r="135" customFormat="false" ht="15" hidden="false" customHeight="false" outlineLevel="0" collapsed="false">
      <c r="A135" s="90" t="s">
        <v>2554</v>
      </c>
      <c r="B135" s="89" t="s">
        <v>143</v>
      </c>
      <c r="C135" s="90"/>
      <c r="D135" s="89" t="s">
        <v>1087</v>
      </c>
      <c r="E135" s="89"/>
      <c r="F135" s="89"/>
      <c r="G135" s="89"/>
      <c r="H135" s="89"/>
      <c r="I135" s="89" t="s">
        <v>1088</v>
      </c>
      <c r="J135" s="89"/>
      <c r="K135" s="89" t="s">
        <v>1087</v>
      </c>
      <c r="L135" s="89" t="s">
        <v>1091</v>
      </c>
      <c r="M135" s="10" t="s">
        <v>2196</v>
      </c>
      <c r="N135" s="89" t="s">
        <v>2198</v>
      </c>
      <c r="O135" s="89" t="n">
        <v>1</v>
      </c>
    </row>
    <row r="136" customFormat="false" ht="15" hidden="false" customHeight="false" outlineLevel="0" collapsed="false">
      <c r="A136" s="90" t="s">
        <v>2555</v>
      </c>
      <c r="B136" s="89" t="s">
        <v>143</v>
      </c>
      <c r="C136" s="90"/>
      <c r="D136" s="89" t="s">
        <v>1087</v>
      </c>
      <c r="E136" s="89"/>
      <c r="F136" s="89"/>
      <c r="G136" s="89"/>
      <c r="H136" s="89"/>
      <c r="I136" s="89" t="s">
        <v>1088</v>
      </c>
      <c r="J136" s="89"/>
      <c r="K136" s="89" t="s">
        <v>1087</v>
      </c>
      <c r="L136" s="89" t="s">
        <v>1091</v>
      </c>
      <c r="M136" s="10" t="s">
        <v>2200</v>
      </c>
      <c r="N136" s="89" t="s">
        <v>2202</v>
      </c>
      <c r="O136" s="89" t="n">
        <v>1</v>
      </c>
    </row>
    <row r="137" customFormat="false" ht="15" hidden="false" customHeight="false" outlineLevel="0" collapsed="false">
      <c r="A137" s="90" t="s">
        <v>2556</v>
      </c>
      <c r="B137" s="89" t="s">
        <v>143</v>
      </c>
      <c r="C137" s="90"/>
      <c r="D137" s="89" t="s">
        <v>1087</v>
      </c>
      <c r="E137" s="89"/>
      <c r="F137" s="89"/>
      <c r="G137" s="89"/>
      <c r="H137" s="89"/>
      <c r="I137" s="89" t="s">
        <v>1088</v>
      </c>
      <c r="J137" s="89"/>
      <c r="K137" s="89" t="s">
        <v>1087</v>
      </c>
      <c r="L137" s="89" t="s">
        <v>1091</v>
      </c>
      <c r="M137" s="10" t="s">
        <v>2204</v>
      </c>
      <c r="N137" s="89" t="s">
        <v>2206</v>
      </c>
      <c r="O137" s="89" t="n">
        <v>1</v>
      </c>
    </row>
    <row r="138" customFormat="false" ht="15" hidden="false" customHeight="false" outlineLevel="0" collapsed="false">
      <c r="A138" s="90" t="s">
        <v>2557</v>
      </c>
      <c r="B138" s="89" t="s">
        <v>143</v>
      </c>
      <c r="C138" s="90"/>
      <c r="D138" s="89" t="s">
        <v>1087</v>
      </c>
      <c r="E138" s="89"/>
      <c r="F138" s="89"/>
      <c r="G138" s="89"/>
      <c r="H138" s="89"/>
      <c r="I138" s="89" t="s">
        <v>1088</v>
      </c>
      <c r="J138" s="89"/>
      <c r="K138" s="89" t="s">
        <v>1087</v>
      </c>
      <c r="L138" s="89" t="s">
        <v>1091</v>
      </c>
      <c r="M138" s="10" t="s">
        <v>2208</v>
      </c>
      <c r="N138" s="89" t="s">
        <v>2210</v>
      </c>
      <c r="O138" s="89" t="n">
        <v>1</v>
      </c>
    </row>
    <row r="139" customFormat="false" ht="15" hidden="false" customHeight="false" outlineLevel="0" collapsed="false">
      <c r="A139" s="90" t="s">
        <v>2558</v>
      </c>
      <c r="B139" s="89" t="s">
        <v>143</v>
      </c>
      <c r="C139" s="90"/>
      <c r="D139" s="89" t="s">
        <v>1087</v>
      </c>
      <c r="E139" s="89"/>
      <c r="F139" s="89"/>
      <c r="G139" s="89"/>
      <c r="H139" s="89"/>
      <c r="I139" s="89" t="s">
        <v>1088</v>
      </c>
      <c r="J139" s="89"/>
      <c r="K139" s="89" t="s">
        <v>1087</v>
      </c>
      <c r="L139" s="89" t="s">
        <v>1091</v>
      </c>
      <c r="M139" s="10" t="s">
        <v>2212</v>
      </c>
      <c r="N139" s="89" t="s">
        <v>2214</v>
      </c>
      <c r="O139" s="89" t="n">
        <v>1</v>
      </c>
    </row>
    <row r="140" customFormat="false" ht="15" hidden="false" customHeight="false" outlineLevel="0" collapsed="false">
      <c r="A140" s="90" t="s">
        <v>2559</v>
      </c>
      <c r="B140" s="89" t="s">
        <v>2221</v>
      </c>
      <c r="C140" s="90" t="s">
        <v>179</v>
      </c>
      <c r="D140" s="89"/>
      <c r="E140" s="89" t="n">
        <v>20865980</v>
      </c>
      <c r="F140" s="89" t="s">
        <v>2222</v>
      </c>
      <c r="G140" s="89" t="s">
        <v>2223</v>
      </c>
      <c r="H140" s="89" t="s">
        <v>2223</v>
      </c>
      <c r="I140" s="89"/>
      <c r="J140" s="89" t="s">
        <v>2224</v>
      </c>
      <c r="K140" s="89" t="s">
        <v>2218</v>
      </c>
      <c r="L140" s="89" t="s">
        <v>186</v>
      </c>
      <c r="M140" s="10" t="s">
        <v>2216</v>
      </c>
      <c r="N140" s="89" t="s">
        <v>2226</v>
      </c>
      <c r="O140" s="89" t="n">
        <v>1</v>
      </c>
    </row>
    <row r="141" customFormat="false" ht="15" hidden="false" customHeight="false" outlineLevel="0" collapsed="false">
      <c r="A141" s="90" t="s">
        <v>2560</v>
      </c>
      <c r="B141" s="89" t="s">
        <v>143</v>
      </c>
      <c r="C141" s="90" t="s">
        <v>144</v>
      </c>
      <c r="D141" s="89"/>
      <c r="E141" s="89" t="n">
        <v>7170875</v>
      </c>
      <c r="F141" s="89" t="s">
        <v>2238</v>
      </c>
      <c r="G141" s="89" t="s">
        <v>2239</v>
      </c>
      <c r="H141" s="89" t="s">
        <v>2240</v>
      </c>
      <c r="I141" s="89"/>
      <c r="J141" s="89" t="s">
        <v>2242</v>
      </c>
      <c r="K141" s="89" t="s">
        <v>2236</v>
      </c>
      <c r="L141" s="89" t="s">
        <v>152</v>
      </c>
      <c r="M141" s="10" t="s">
        <v>2234</v>
      </c>
      <c r="N141" s="89" t="s">
        <v>2244</v>
      </c>
      <c r="O141" s="89" t="n">
        <v>3</v>
      </c>
    </row>
    <row r="142" customFormat="false" ht="15" hidden="false" customHeight="false" outlineLevel="0" collapsed="false">
      <c r="A142" s="90" t="s">
        <v>2561</v>
      </c>
      <c r="B142" s="89" t="s">
        <v>178</v>
      </c>
      <c r="C142" s="90" t="s">
        <v>179</v>
      </c>
      <c r="D142" s="89"/>
      <c r="E142" s="89" t="n">
        <v>1080292518</v>
      </c>
      <c r="F142" s="89" t="s">
        <v>2250</v>
      </c>
      <c r="G142" s="89" t="s">
        <v>2251</v>
      </c>
      <c r="H142" s="89" t="s">
        <v>2251</v>
      </c>
      <c r="I142" s="89"/>
      <c r="J142" s="89" t="s">
        <v>2253</v>
      </c>
      <c r="K142" s="89" t="s">
        <v>2248</v>
      </c>
      <c r="L142" s="89" t="s">
        <v>186</v>
      </c>
      <c r="M142" s="10" t="s">
        <v>2246</v>
      </c>
      <c r="N142" s="89" t="s">
        <v>2255</v>
      </c>
      <c r="O142" s="89" t="n">
        <v>1</v>
      </c>
    </row>
    <row r="143" customFormat="false" ht="15" hidden="false" customHeight="false" outlineLevel="0" collapsed="false">
      <c r="A143" s="90" t="s">
        <v>2562</v>
      </c>
      <c r="B143" s="89" t="s">
        <v>468</v>
      </c>
      <c r="C143" s="90" t="s">
        <v>144</v>
      </c>
      <c r="D143" s="89"/>
      <c r="E143" s="89" t="n">
        <v>1002397654</v>
      </c>
      <c r="F143" s="89" t="s">
        <v>2275</v>
      </c>
      <c r="G143" s="89" t="s">
        <v>2276</v>
      </c>
      <c r="H143" s="89"/>
      <c r="I143" s="89"/>
      <c r="J143" s="89" t="s">
        <v>2278</v>
      </c>
      <c r="K143" s="89" t="s">
        <v>2273</v>
      </c>
      <c r="L143" s="89" t="s">
        <v>152</v>
      </c>
      <c r="M143" s="10" t="s">
        <v>2271</v>
      </c>
      <c r="N143" s="89" t="s">
        <v>2280</v>
      </c>
      <c r="O143" s="89" t="n">
        <v>1</v>
      </c>
    </row>
    <row r="144" customFormat="false" ht="15" hidden="false" customHeight="false" outlineLevel="0" collapsed="false">
      <c r="A144" s="90" t="s">
        <v>2563</v>
      </c>
      <c r="B144" s="89" t="s">
        <v>2221</v>
      </c>
      <c r="C144" s="90" t="s">
        <v>179</v>
      </c>
      <c r="D144" s="89"/>
      <c r="E144" s="89" t="n">
        <v>52106770</v>
      </c>
      <c r="F144" s="89" t="s">
        <v>2291</v>
      </c>
      <c r="G144" s="89" t="s">
        <v>2292</v>
      </c>
      <c r="H144" s="89" t="s">
        <v>2292</v>
      </c>
      <c r="I144" s="89"/>
      <c r="J144" s="89" t="s">
        <v>2294</v>
      </c>
      <c r="K144" s="89" t="s">
        <v>2015</v>
      </c>
      <c r="L144" s="89" t="s">
        <v>92</v>
      </c>
      <c r="M144" s="10" t="s">
        <v>2289</v>
      </c>
      <c r="N144" s="89" t="s">
        <v>2297</v>
      </c>
      <c r="O144" s="89" t="n">
        <v>2</v>
      </c>
    </row>
    <row r="145" customFormat="false" ht="15" hidden="false" customHeight="false" outlineLevel="0" collapsed="false">
      <c r="A145" s="90" t="s">
        <v>2564</v>
      </c>
      <c r="B145" s="89" t="s">
        <v>143</v>
      </c>
      <c r="C145" s="90" t="s">
        <v>144</v>
      </c>
      <c r="D145" s="89"/>
      <c r="E145" s="89" t="n">
        <v>52886521</v>
      </c>
      <c r="F145" s="89" t="s">
        <v>2305</v>
      </c>
      <c r="G145" s="89" t="s">
        <v>2306</v>
      </c>
      <c r="H145" s="89"/>
      <c r="I145" s="89"/>
      <c r="J145" s="89" t="s">
        <v>2308</v>
      </c>
      <c r="K145" s="89" t="s">
        <v>2157</v>
      </c>
      <c r="L145" s="89" t="s">
        <v>152</v>
      </c>
      <c r="M145" s="10" t="s">
        <v>2303</v>
      </c>
      <c r="N145" s="89" t="s">
        <v>2310</v>
      </c>
      <c r="O145" s="89" t="n">
        <v>1</v>
      </c>
    </row>
    <row r="146" customFormat="false" ht="15" hidden="false" customHeight="false" outlineLevel="0" collapsed="false">
      <c r="A146" s="90" t="s">
        <v>2565</v>
      </c>
      <c r="B146" s="89" t="s">
        <v>143</v>
      </c>
      <c r="C146" s="90"/>
      <c r="D146" s="89"/>
      <c r="E146" s="89" t="n">
        <v>1057185462</v>
      </c>
      <c r="F146" s="89" t="s">
        <v>2338</v>
      </c>
      <c r="G146" s="89" t="s">
        <v>2339</v>
      </c>
      <c r="H146" s="89" t="s">
        <v>2340</v>
      </c>
      <c r="I146" s="89"/>
      <c r="J146" s="89" t="s">
        <v>2342</v>
      </c>
      <c r="K146" s="89" t="s">
        <v>2336</v>
      </c>
      <c r="L146" s="89" t="s">
        <v>152</v>
      </c>
      <c r="M146" s="10" t="s">
        <v>2334</v>
      </c>
      <c r="N146" s="89" t="s">
        <v>2344</v>
      </c>
      <c r="O146" s="89" t="n">
        <v>1</v>
      </c>
    </row>
    <row r="147" customFormat="false" ht="15" hidden="false" customHeight="false" outlineLevel="0" collapsed="false">
      <c r="A147" s="90" t="s">
        <v>2566</v>
      </c>
      <c r="B147" s="89" t="s">
        <v>2383</v>
      </c>
      <c r="C147" s="90" t="s">
        <v>179</v>
      </c>
      <c r="D147" s="89"/>
      <c r="E147" s="89" t="n">
        <v>1033791061</v>
      </c>
      <c r="F147" s="89" t="s">
        <v>2384</v>
      </c>
      <c r="G147" s="89" t="s">
        <v>2385</v>
      </c>
      <c r="H147" s="89" t="s">
        <v>2385</v>
      </c>
      <c r="I147" s="89"/>
      <c r="J147" s="89" t="s">
        <v>2386</v>
      </c>
      <c r="K147" s="89" t="s">
        <v>2379</v>
      </c>
      <c r="L147" s="89" t="s">
        <v>186</v>
      </c>
      <c r="M147" s="10" t="s">
        <v>2377</v>
      </c>
      <c r="N147" s="89" t="s">
        <v>2389</v>
      </c>
      <c r="O147" s="89" t="n"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CommandButton1">
              <controlPr defaultSize="0" print="true" autoFill="0" autoPict="0">
                <anchor moveWithCells="true" sizeWithCells="false">
                  <from>
                    <xdr:col>0</xdr:col>
                    <xdr:colOff>2352240</xdr:colOff>
                    <xdr:row>0</xdr:row>
                    <xdr:rowOff>66600</xdr:rowOff>
                  </from>
                  <to>
                    <xdr:col>1</xdr:col>
                    <xdr:colOff>-2528640</xdr:colOff>
                    <xdr:row>1</xdr:row>
                    <xdr:rowOff>-76320</xdr:rowOff>
                  </to>
                </anchor>
              </controlPr>
            </control>
          </mc:Choice>
        </mc:AlternateContent>
      </controls>
    </mc:Choice>
  </mc:AlternateContent>
  <tableParts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39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0.16015625" defaultRowHeight="12.8" customHeight="true" zeroHeight="false" outlineLevelRow="0" outlineLevelCol="0"/>
  <sheetData>
    <row r="1" customFormat="false" ht="13.8" hidden="false" customHeight="false" outlineLevel="0" collapsed="false">
      <c r="A1" s="0" t="s">
        <v>0</v>
      </c>
    </row>
    <row r="2" customFormat="false" ht="13.8" hidden="false" customHeight="false" outlineLevel="0" collapsed="false">
      <c r="A2" s="0" t="s">
        <v>9</v>
      </c>
    </row>
    <row r="3" customFormat="false" ht="13.8" hidden="false" customHeight="false" outlineLevel="0" collapsed="false">
      <c r="A3" s="0" t="s">
        <v>10</v>
      </c>
    </row>
    <row r="4" customFormat="false" ht="13.8" hidden="false" customHeight="false" outlineLevel="0" collapsed="false"/>
    <row r="5" customFormat="false" ht="13.8" hidden="false" customHeight="false" outlineLevel="0" collapsed="false">
      <c r="A5" s="0" t="s">
        <v>10</v>
      </c>
    </row>
    <row r="6" customFormat="false" ht="13.8" hidden="false" customHeight="false" outlineLevel="0" collapsed="false"/>
    <row r="7" customFormat="false" ht="13.8" hidden="false" customHeight="false" outlineLevel="0" collapsed="false">
      <c r="A7" s="0" t="s">
        <v>10</v>
      </c>
    </row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>
      <c r="A10" s="0" t="s">
        <v>7</v>
      </c>
    </row>
    <row r="11" customFormat="false" ht="13.8" hidden="false" customHeight="false" outlineLevel="0" collapsed="false">
      <c r="A11" s="0" t="s">
        <v>2</v>
      </c>
    </row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>
      <c r="A16" s="0" t="s">
        <v>10</v>
      </c>
    </row>
    <row r="17" customFormat="false" ht="13.8" hidden="false" customHeight="false" outlineLevel="0" collapsed="false">
      <c r="A17" s="0" t="s">
        <v>10</v>
      </c>
    </row>
    <row r="18" customFormat="false" ht="13.8" hidden="false" customHeight="false" outlineLevel="0" collapsed="false">
      <c r="A18" s="0" t="s">
        <v>10</v>
      </c>
    </row>
    <row r="19" customFormat="false" ht="13.8" hidden="false" customHeight="false" outlineLevel="0" collapsed="false">
      <c r="A19" s="0" t="s">
        <v>10</v>
      </c>
    </row>
    <row r="20" customFormat="false" ht="13.8" hidden="false" customHeight="false" outlineLevel="0" collapsed="false">
      <c r="A20" s="0" t="s">
        <v>10</v>
      </c>
    </row>
    <row r="21" customFormat="false" ht="13.8" hidden="false" customHeight="false" outlineLevel="0" collapsed="false">
      <c r="A21" s="0" t="s">
        <v>10</v>
      </c>
    </row>
    <row r="22" customFormat="false" ht="13.8" hidden="false" customHeight="false" outlineLevel="0" collapsed="false">
      <c r="A22" s="0" t="s">
        <v>10</v>
      </c>
    </row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>
      <c r="A26" s="0" t="s">
        <v>10</v>
      </c>
    </row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>
      <c r="A32" s="0" t="s">
        <v>10</v>
      </c>
    </row>
    <row r="33" customFormat="false" ht="13.8" hidden="false" customHeight="false" outlineLevel="0" collapsed="false"/>
    <row r="34" customFormat="false" ht="13.8" hidden="false" customHeight="false" outlineLevel="0" collapsed="false">
      <c r="A34" s="0" t="s">
        <v>10</v>
      </c>
    </row>
    <row r="35" customFormat="false" ht="13.8" hidden="false" customHeight="false" outlineLevel="0" collapsed="false"/>
    <row r="36" customFormat="false" ht="13.8" hidden="false" customHeight="false" outlineLevel="0" collapsed="false"/>
    <row r="37" customFormat="false" ht="13.8" hidden="false" customHeight="false" outlineLevel="0" collapsed="false"/>
    <row r="38" customFormat="false" ht="13.8" hidden="false" customHeight="false" outlineLevel="0" collapsed="false">
      <c r="A38" s="0" t="s">
        <v>10</v>
      </c>
    </row>
    <row r="39" customFormat="false" ht="13.8" hidden="false" customHeight="false" outlineLevel="0" collapsed="false"/>
    <row r="40" customFormat="false" ht="13.8" hidden="false" customHeight="false" outlineLevel="0" collapsed="false"/>
    <row r="41" customFormat="false" ht="13.8" hidden="false" customHeight="false" outlineLevel="0" collapsed="false">
      <c r="A41" s="0" t="s">
        <v>10</v>
      </c>
    </row>
    <row r="42" customFormat="false" ht="13.8" hidden="false" customHeight="false" outlineLevel="0" collapsed="false"/>
    <row r="43" customFormat="false" ht="13.8" hidden="false" customHeight="false" outlineLevel="0" collapsed="false"/>
    <row r="44" customFormat="false" ht="13.8" hidden="false" customHeight="false" outlineLevel="0" collapsed="false">
      <c r="A44" s="0" t="s">
        <v>10</v>
      </c>
    </row>
    <row r="45" customFormat="false" ht="13.8" hidden="false" customHeight="false" outlineLevel="0" collapsed="false">
      <c r="A45" s="0" t="s">
        <v>8</v>
      </c>
    </row>
    <row r="46" customFormat="false" ht="13.8" hidden="false" customHeight="false" outlineLevel="0" collapsed="false"/>
    <row r="47" customFormat="false" ht="13.8" hidden="false" customHeight="false" outlineLevel="0" collapsed="false">
      <c r="A47" s="0" t="s">
        <v>10</v>
      </c>
    </row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3.8" hidden="false" customHeight="false" outlineLevel="0" collapsed="false">
      <c r="A51" s="0" t="s">
        <v>10</v>
      </c>
    </row>
    <row r="52" customFormat="false" ht="13.8" hidden="false" customHeight="false" outlineLevel="0" collapsed="false"/>
    <row r="53" customFormat="false" ht="13.8" hidden="false" customHeight="false" outlineLevel="0" collapsed="false"/>
    <row r="54" customFormat="false" ht="13.8" hidden="false" customHeight="false" outlineLevel="0" collapsed="false"/>
    <row r="55" customFormat="false" ht="13.8" hidden="false" customHeight="false" outlineLevel="0" collapsed="false">
      <c r="A55" s="0" t="s">
        <v>10</v>
      </c>
    </row>
    <row r="56" customFormat="false" ht="13.8" hidden="false" customHeight="false" outlineLevel="0" collapsed="false"/>
    <row r="57" customFormat="false" ht="13.8" hidden="false" customHeight="false" outlineLevel="0" collapsed="false"/>
    <row r="58" customFormat="false" ht="13.8" hidden="false" customHeight="false" outlineLevel="0" collapsed="false"/>
    <row r="59" customFormat="false" ht="13.8" hidden="false" customHeight="false" outlineLevel="0" collapsed="false"/>
    <row r="60" customFormat="false" ht="13.8" hidden="false" customHeight="false" outlineLevel="0" collapsed="false"/>
    <row r="61" customFormat="false" ht="13.8" hidden="false" customHeight="false" outlineLevel="0" collapsed="false">
      <c r="A61" s="0" t="s">
        <v>10</v>
      </c>
    </row>
    <row r="62" customFormat="false" ht="13.8" hidden="false" customHeight="false" outlineLevel="0" collapsed="false"/>
    <row r="63" customFormat="false" ht="13.8" hidden="false" customHeight="false" outlineLevel="0" collapsed="false"/>
    <row r="64" customFormat="false" ht="13.8" hidden="false" customHeight="false" outlineLevel="0" collapsed="false">
      <c r="A64" s="0" t="s">
        <v>10</v>
      </c>
    </row>
    <row r="65" customFormat="false" ht="13.8" hidden="false" customHeight="false" outlineLevel="0" collapsed="false"/>
    <row r="66" customFormat="false" ht="13.8" hidden="false" customHeight="false" outlineLevel="0" collapsed="false">
      <c r="A66" s="0" t="s">
        <v>10</v>
      </c>
    </row>
    <row r="67" customFormat="false" ht="13.8" hidden="false" customHeight="false" outlineLevel="0" collapsed="false"/>
    <row r="68" customFormat="false" ht="13.8" hidden="false" customHeight="false" outlineLevel="0" collapsed="false"/>
    <row r="69" customFormat="false" ht="13.8" hidden="false" customHeight="false" outlineLevel="0" collapsed="false"/>
    <row r="70" customFormat="false" ht="13.8" hidden="false" customHeight="false" outlineLevel="0" collapsed="false"/>
    <row r="71" customFormat="false" ht="13.8" hidden="false" customHeight="false" outlineLevel="0" collapsed="false"/>
    <row r="72" customFormat="false" ht="13.8" hidden="false" customHeight="false" outlineLevel="0" collapsed="false"/>
    <row r="73" customFormat="false" ht="13.8" hidden="false" customHeight="false" outlineLevel="0" collapsed="false">
      <c r="A73" s="0" t="s">
        <v>10</v>
      </c>
    </row>
    <row r="74" customFormat="false" ht="13.8" hidden="false" customHeight="false" outlineLevel="0" collapsed="false"/>
    <row r="75" customFormat="false" ht="13.8" hidden="false" customHeight="false" outlineLevel="0" collapsed="false"/>
    <row r="76" customFormat="false" ht="13.8" hidden="false" customHeight="false" outlineLevel="0" collapsed="false">
      <c r="A76" s="0" t="s">
        <v>10</v>
      </c>
    </row>
    <row r="77" customFormat="false" ht="13.8" hidden="false" customHeight="false" outlineLevel="0" collapsed="false"/>
    <row r="78" customFormat="false" ht="13.8" hidden="false" customHeight="false" outlineLevel="0" collapsed="false">
      <c r="A78" s="0" t="s">
        <v>10</v>
      </c>
    </row>
    <row r="79" customFormat="false" ht="13.8" hidden="false" customHeight="false" outlineLevel="0" collapsed="false"/>
    <row r="80" customFormat="false" ht="13.8" hidden="false" customHeight="false" outlineLevel="0" collapsed="false">
      <c r="A80" s="0" t="s">
        <v>10</v>
      </c>
    </row>
    <row r="81" customFormat="false" ht="13.8" hidden="false" customHeight="false" outlineLevel="0" collapsed="false"/>
    <row r="82" customFormat="false" ht="13.8" hidden="false" customHeight="false" outlineLevel="0" collapsed="false">
      <c r="A82" s="0" t="s">
        <v>10</v>
      </c>
    </row>
    <row r="83" customFormat="false" ht="13.8" hidden="false" customHeight="false" outlineLevel="0" collapsed="false"/>
    <row r="84" customFormat="false" ht="13.8" hidden="false" customHeight="false" outlineLevel="0" collapsed="false"/>
    <row r="85" customFormat="false" ht="13.8" hidden="false" customHeight="false" outlineLevel="0" collapsed="false">
      <c r="A85" s="0" t="s">
        <v>10</v>
      </c>
    </row>
    <row r="86" customFormat="false" ht="13.8" hidden="false" customHeight="false" outlineLevel="0" collapsed="false"/>
    <row r="87" customFormat="false" ht="13.8" hidden="false" customHeight="false" outlineLevel="0" collapsed="false">
      <c r="A87" s="0" t="s">
        <v>10</v>
      </c>
    </row>
    <row r="88" customFormat="false" ht="13.8" hidden="false" customHeight="false" outlineLevel="0" collapsed="false"/>
    <row r="89" customFormat="false" ht="13.8" hidden="false" customHeight="false" outlineLevel="0" collapsed="false"/>
    <row r="90" customFormat="false" ht="13.8" hidden="false" customHeight="false" outlineLevel="0" collapsed="false"/>
    <row r="91" customFormat="false" ht="13.8" hidden="false" customHeight="false" outlineLevel="0" collapsed="false">
      <c r="A91" s="0" t="s">
        <v>10</v>
      </c>
    </row>
    <row r="92" customFormat="false" ht="13.8" hidden="false" customHeight="false" outlineLevel="0" collapsed="false"/>
    <row r="93" customFormat="false" ht="13.8" hidden="false" customHeight="false" outlineLevel="0" collapsed="false"/>
    <row r="94" customFormat="false" ht="13.8" hidden="false" customHeight="false" outlineLevel="0" collapsed="false">
      <c r="A94" s="0" t="s">
        <v>10</v>
      </c>
    </row>
    <row r="95" customFormat="false" ht="13.8" hidden="false" customHeight="false" outlineLevel="0" collapsed="false"/>
    <row r="96" customFormat="false" ht="13.8" hidden="false" customHeight="false" outlineLevel="0" collapsed="false"/>
    <row r="97" customFormat="false" ht="13.8" hidden="false" customHeight="false" outlineLevel="0" collapsed="false"/>
    <row r="98" customFormat="false" ht="13.8" hidden="false" customHeight="false" outlineLevel="0" collapsed="false">
      <c r="A98" s="0" t="s">
        <v>10</v>
      </c>
    </row>
    <row r="99" customFormat="false" ht="13.8" hidden="false" customHeight="false" outlineLevel="0" collapsed="false"/>
    <row r="100" customFormat="false" ht="13.8" hidden="false" customHeight="false" outlineLevel="0" collapsed="false"/>
    <row r="101" customFormat="false" ht="13.8" hidden="false" customHeight="false" outlineLevel="0" collapsed="false"/>
    <row r="102" customFormat="false" ht="13.8" hidden="false" customHeight="false" outlineLevel="0" collapsed="false">
      <c r="A102" s="0" t="s">
        <v>7</v>
      </c>
    </row>
    <row r="103" customFormat="false" ht="13.8" hidden="false" customHeight="false" outlineLevel="0" collapsed="false"/>
    <row r="104" customFormat="false" ht="13.8" hidden="false" customHeight="false" outlineLevel="0" collapsed="false"/>
    <row r="105" customFormat="false" ht="13.8" hidden="false" customHeight="false" outlineLevel="0" collapsed="false">
      <c r="A105" s="0" t="s">
        <v>10</v>
      </c>
    </row>
    <row r="106" customFormat="false" ht="13.8" hidden="false" customHeight="false" outlineLevel="0" collapsed="false"/>
    <row r="107" customFormat="false" ht="13.8" hidden="false" customHeight="false" outlineLevel="0" collapsed="false"/>
    <row r="108" customFormat="false" ht="13.8" hidden="false" customHeight="false" outlineLevel="0" collapsed="false"/>
    <row r="109" customFormat="false" ht="13.8" hidden="false" customHeight="false" outlineLevel="0" collapsed="false"/>
    <row r="110" customFormat="false" ht="13.8" hidden="false" customHeight="false" outlineLevel="0" collapsed="false">
      <c r="A110" s="0" t="s">
        <v>10</v>
      </c>
    </row>
    <row r="111" customFormat="false" ht="13.8" hidden="false" customHeight="false" outlineLevel="0" collapsed="false"/>
    <row r="112" customFormat="false" ht="13.8" hidden="false" customHeight="false" outlineLevel="0" collapsed="false"/>
    <row r="113" customFormat="false" ht="13.8" hidden="false" customHeight="false" outlineLevel="0" collapsed="false">
      <c r="A113" s="0" t="s">
        <v>10</v>
      </c>
    </row>
    <row r="114" customFormat="false" ht="13.8" hidden="false" customHeight="false" outlineLevel="0" collapsed="false"/>
    <row r="115" customFormat="false" ht="13.8" hidden="false" customHeight="false" outlineLevel="0" collapsed="false"/>
    <row r="116" customFormat="false" ht="13.8" hidden="false" customHeight="false" outlineLevel="0" collapsed="false"/>
    <row r="117" customFormat="false" ht="13.8" hidden="false" customHeight="false" outlineLevel="0" collapsed="false">
      <c r="A117" s="0" t="s">
        <v>10</v>
      </c>
    </row>
    <row r="118" customFormat="false" ht="13.8" hidden="false" customHeight="false" outlineLevel="0" collapsed="false"/>
    <row r="119" customFormat="false" ht="13.8" hidden="false" customHeight="false" outlineLevel="0" collapsed="false">
      <c r="A119" s="0" t="s">
        <v>10</v>
      </c>
    </row>
    <row r="120" customFormat="false" ht="13.8" hidden="false" customHeight="false" outlineLevel="0" collapsed="false"/>
    <row r="121" customFormat="false" ht="13.8" hidden="false" customHeight="false" outlineLevel="0" collapsed="false">
      <c r="A121" s="0" t="s">
        <v>10</v>
      </c>
    </row>
    <row r="122" customFormat="false" ht="13.8" hidden="false" customHeight="false" outlineLevel="0" collapsed="false"/>
    <row r="123" customFormat="false" ht="13.8" hidden="false" customHeight="false" outlineLevel="0" collapsed="false">
      <c r="A123" s="0" t="s">
        <v>4</v>
      </c>
    </row>
    <row r="124" customFormat="false" ht="13.8" hidden="false" customHeight="false" outlineLevel="0" collapsed="false"/>
    <row r="125" customFormat="false" ht="13.8" hidden="false" customHeight="false" outlineLevel="0" collapsed="false">
      <c r="A125" s="0" t="s">
        <v>2</v>
      </c>
    </row>
    <row r="126" customFormat="false" ht="13.8" hidden="false" customHeight="false" outlineLevel="0" collapsed="false"/>
    <row r="127" customFormat="false" ht="13.8" hidden="false" customHeight="false" outlineLevel="0" collapsed="false"/>
    <row r="128" customFormat="false" ht="13.8" hidden="false" customHeight="false" outlineLevel="0" collapsed="false">
      <c r="A128" s="0" t="s">
        <v>10</v>
      </c>
    </row>
    <row r="129" customFormat="false" ht="13.8" hidden="false" customHeight="false" outlineLevel="0" collapsed="false">
      <c r="A129" s="0" t="s">
        <v>10</v>
      </c>
    </row>
    <row r="130" customFormat="false" ht="13.8" hidden="false" customHeight="false" outlineLevel="0" collapsed="false">
      <c r="A130" s="0" t="s">
        <v>10</v>
      </c>
    </row>
    <row r="131" customFormat="false" ht="13.8" hidden="false" customHeight="false" outlineLevel="0" collapsed="false">
      <c r="A131" s="0" t="s">
        <v>10</v>
      </c>
    </row>
    <row r="132" customFormat="false" ht="13.8" hidden="false" customHeight="false" outlineLevel="0" collapsed="false">
      <c r="A132" s="0" t="s">
        <v>11</v>
      </c>
    </row>
    <row r="133" customFormat="false" ht="13.8" hidden="false" customHeight="false" outlineLevel="0" collapsed="false"/>
    <row r="134" customFormat="false" ht="13.8" hidden="false" customHeight="false" outlineLevel="0" collapsed="false"/>
    <row r="135" customFormat="false" ht="13.8" hidden="false" customHeight="false" outlineLevel="0" collapsed="false"/>
    <row r="136" customFormat="false" ht="13.8" hidden="false" customHeight="false" outlineLevel="0" collapsed="false"/>
    <row r="137" customFormat="false" ht="13.8" hidden="false" customHeight="false" outlineLevel="0" collapsed="false"/>
    <row r="138" customFormat="false" ht="13.8" hidden="false" customHeight="false" outlineLevel="0" collapsed="false"/>
    <row r="139" customFormat="false" ht="13.8" hidden="false" customHeight="false" outlineLevel="0" collapsed="false"/>
    <row r="140" customFormat="false" ht="13.8" hidden="false" customHeight="false" outlineLevel="0" collapsed="false"/>
    <row r="141" customFormat="false" ht="13.8" hidden="false" customHeight="false" outlineLevel="0" collapsed="false"/>
    <row r="142" customFormat="false" ht="13.8" hidden="false" customHeight="false" outlineLevel="0" collapsed="false"/>
    <row r="143" customFormat="false" ht="13.8" hidden="false" customHeight="false" outlineLevel="0" collapsed="false"/>
    <row r="144" customFormat="false" ht="13.8" hidden="false" customHeight="false" outlineLevel="0" collapsed="false">
      <c r="A144" s="0" t="s">
        <v>10</v>
      </c>
    </row>
    <row r="145" customFormat="false" ht="13.8" hidden="false" customHeight="false" outlineLevel="0" collapsed="false"/>
    <row r="146" customFormat="false" ht="13.8" hidden="false" customHeight="false" outlineLevel="0" collapsed="false"/>
    <row r="147" customFormat="false" ht="13.8" hidden="false" customHeight="false" outlineLevel="0" collapsed="false">
      <c r="A147" s="0" t="s">
        <v>10</v>
      </c>
    </row>
    <row r="148" customFormat="false" ht="13.8" hidden="false" customHeight="false" outlineLevel="0" collapsed="false"/>
    <row r="149" customFormat="false" ht="13.8" hidden="false" customHeight="false" outlineLevel="0" collapsed="false">
      <c r="A149" s="0" t="s">
        <v>10</v>
      </c>
    </row>
    <row r="150" customFormat="false" ht="13.8" hidden="false" customHeight="false" outlineLevel="0" collapsed="false"/>
    <row r="151" customFormat="false" ht="13.8" hidden="false" customHeight="false" outlineLevel="0" collapsed="false"/>
    <row r="152" customFormat="false" ht="13.8" hidden="false" customHeight="false" outlineLevel="0" collapsed="false"/>
    <row r="153" customFormat="false" ht="13.8" hidden="false" customHeight="false" outlineLevel="0" collapsed="false"/>
    <row r="154" customFormat="false" ht="13.8" hidden="false" customHeight="false" outlineLevel="0" collapsed="false">
      <c r="A154" s="0" t="s">
        <v>10</v>
      </c>
    </row>
    <row r="155" customFormat="false" ht="13.8" hidden="false" customHeight="false" outlineLevel="0" collapsed="false"/>
    <row r="156" customFormat="false" ht="13.8" hidden="false" customHeight="false" outlineLevel="0" collapsed="false"/>
    <row r="157" customFormat="false" ht="13.8" hidden="false" customHeight="false" outlineLevel="0" collapsed="false"/>
    <row r="158" customFormat="false" ht="13.8" hidden="false" customHeight="false" outlineLevel="0" collapsed="false">
      <c r="A158" s="0" t="s">
        <v>3</v>
      </c>
    </row>
    <row r="159" customFormat="false" ht="13.8" hidden="false" customHeight="false" outlineLevel="0" collapsed="false"/>
    <row r="160" customFormat="false" ht="13.8" hidden="false" customHeight="false" outlineLevel="0" collapsed="false"/>
    <row r="161" customFormat="false" ht="13.8" hidden="false" customHeight="false" outlineLevel="0" collapsed="false">
      <c r="A161" s="0" t="s">
        <v>10</v>
      </c>
    </row>
    <row r="162" customFormat="false" ht="13.8" hidden="false" customHeight="false" outlineLevel="0" collapsed="false"/>
    <row r="163" customFormat="false" ht="13.8" hidden="false" customHeight="false" outlineLevel="0" collapsed="false"/>
    <row r="164" customFormat="false" ht="13.8" hidden="false" customHeight="false" outlineLevel="0" collapsed="false">
      <c r="A164" s="0" t="s">
        <v>4</v>
      </c>
    </row>
    <row r="165" customFormat="false" ht="13.8" hidden="false" customHeight="false" outlineLevel="0" collapsed="false"/>
    <row r="166" customFormat="false" ht="13.8" hidden="false" customHeight="false" outlineLevel="0" collapsed="false"/>
    <row r="167" customFormat="false" ht="13.8" hidden="false" customHeight="false" outlineLevel="0" collapsed="false"/>
    <row r="168" customFormat="false" ht="13.8" hidden="false" customHeight="false" outlineLevel="0" collapsed="false"/>
    <row r="169" customFormat="false" ht="13.8" hidden="false" customHeight="false" outlineLevel="0" collapsed="false"/>
    <row r="170" customFormat="false" ht="13.8" hidden="false" customHeight="false" outlineLevel="0" collapsed="false"/>
    <row r="171" customFormat="false" ht="13.8" hidden="false" customHeight="false" outlineLevel="0" collapsed="false"/>
    <row r="172" customFormat="false" ht="13.8" hidden="false" customHeight="false" outlineLevel="0" collapsed="false"/>
    <row r="173" customFormat="false" ht="13.8" hidden="false" customHeight="false" outlineLevel="0" collapsed="false"/>
    <row r="174" customFormat="false" ht="13.8" hidden="false" customHeight="false" outlineLevel="0" collapsed="false">
      <c r="A174" s="0" t="s">
        <v>10</v>
      </c>
    </row>
    <row r="175" customFormat="false" ht="13.8" hidden="false" customHeight="false" outlineLevel="0" collapsed="false"/>
    <row r="176" customFormat="false" ht="13.8" hidden="false" customHeight="false" outlineLevel="0" collapsed="false"/>
    <row r="177" customFormat="false" ht="13.8" hidden="false" customHeight="false" outlineLevel="0" collapsed="false">
      <c r="A177" s="0" t="s">
        <v>6</v>
      </c>
    </row>
    <row r="178" customFormat="false" ht="13.8" hidden="false" customHeight="false" outlineLevel="0" collapsed="false">
      <c r="A178" s="0" t="s">
        <v>10</v>
      </c>
    </row>
    <row r="179" customFormat="false" ht="13.8" hidden="false" customHeight="false" outlineLevel="0" collapsed="false"/>
    <row r="180" customFormat="false" ht="13.8" hidden="false" customHeight="false" outlineLevel="0" collapsed="false"/>
    <row r="181" customFormat="false" ht="13.8" hidden="false" customHeight="false" outlineLevel="0" collapsed="false"/>
    <row r="182" customFormat="false" ht="13.8" hidden="false" customHeight="false" outlineLevel="0" collapsed="false"/>
    <row r="183" customFormat="false" ht="13.8" hidden="false" customHeight="false" outlineLevel="0" collapsed="false"/>
    <row r="184" customFormat="false" ht="13.8" hidden="false" customHeight="false" outlineLevel="0" collapsed="false"/>
    <row r="185" customFormat="false" ht="13.8" hidden="false" customHeight="false" outlineLevel="0" collapsed="false"/>
    <row r="186" customFormat="false" ht="13.8" hidden="false" customHeight="false" outlineLevel="0" collapsed="false"/>
    <row r="187" customFormat="false" ht="13.8" hidden="false" customHeight="false" outlineLevel="0" collapsed="false">
      <c r="A187" s="0" t="s">
        <v>10</v>
      </c>
    </row>
    <row r="188" customFormat="false" ht="13.8" hidden="false" customHeight="false" outlineLevel="0" collapsed="false"/>
    <row r="189" customFormat="false" ht="13.8" hidden="false" customHeight="false" outlineLevel="0" collapsed="false">
      <c r="A189" s="0" t="s">
        <v>2</v>
      </c>
    </row>
    <row r="190" customFormat="false" ht="13.8" hidden="false" customHeight="false" outlineLevel="0" collapsed="false"/>
    <row r="191" customFormat="false" ht="13.8" hidden="false" customHeight="false" outlineLevel="0" collapsed="false"/>
    <row r="192" customFormat="false" ht="13.8" hidden="false" customHeight="false" outlineLevel="0" collapsed="false"/>
    <row r="193" customFormat="false" ht="13.8" hidden="false" customHeight="false" outlineLevel="0" collapsed="false"/>
    <row r="194" customFormat="false" ht="13.8" hidden="false" customHeight="false" outlineLevel="0" collapsed="false">
      <c r="A194" s="0" t="s">
        <v>10</v>
      </c>
    </row>
    <row r="195" customFormat="false" ht="13.8" hidden="false" customHeight="false" outlineLevel="0" collapsed="false"/>
    <row r="196" customFormat="false" ht="13.8" hidden="false" customHeight="false" outlineLevel="0" collapsed="false"/>
    <row r="197" customFormat="false" ht="13.8" hidden="false" customHeight="false" outlineLevel="0" collapsed="false"/>
    <row r="198" customFormat="false" ht="13.8" hidden="false" customHeight="false" outlineLevel="0" collapsed="false"/>
    <row r="199" customFormat="false" ht="13.8" hidden="false" customHeight="false" outlineLevel="0" collapsed="false"/>
    <row r="200" customFormat="false" ht="13.8" hidden="false" customHeight="false" outlineLevel="0" collapsed="false"/>
    <row r="201" customFormat="false" ht="13.8" hidden="false" customHeight="false" outlineLevel="0" collapsed="false"/>
    <row r="202" customFormat="false" ht="13.8" hidden="false" customHeight="false" outlineLevel="0" collapsed="false"/>
    <row r="203" customFormat="false" ht="13.8" hidden="false" customHeight="false" outlineLevel="0" collapsed="false"/>
    <row r="204" customFormat="false" ht="13.8" hidden="false" customHeight="false" outlineLevel="0" collapsed="false"/>
    <row r="205" customFormat="false" ht="13.8" hidden="false" customHeight="false" outlineLevel="0" collapsed="false"/>
    <row r="206" customFormat="false" ht="13.8" hidden="false" customHeight="false" outlineLevel="0" collapsed="false"/>
    <row r="207" customFormat="false" ht="13.8" hidden="false" customHeight="false" outlineLevel="0" collapsed="false"/>
    <row r="208" customFormat="false" ht="13.8" hidden="false" customHeight="false" outlineLevel="0" collapsed="false"/>
    <row r="209" customFormat="false" ht="13.8" hidden="false" customHeight="false" outlineLevel="0" collapsed="false"/>
    <row r="210" customFormat="false" ht="13.8" hidden="false" customHeight="false" outlineLevel="0" collapsed="false"/>
    <row r="211" customFormat="false" ht="13.8" hidden="false" customHeight="false" outlineLevel="0" collapsed="false"/>
    <row r="212" customFormat="false" ht="13.8" hidden="false" customHeight="false" outlineLevel="0" collapsed="false"/>
    <row r="213" customFormat="false" ht="13.8" hidden="false" customHeight="false" outlineLevel="0" collapsed="false">
      <c r="A213" s="0" t="s">
        <v>10</v>
      </c>
    </row>
    <row r="214" customFormat="false" ht="13.8" hidden="false" customHeight="false" outlineLevel="0" collapsed="false"/>
    <row r="215" customFormat="false" ht="13.8" hidden="false" customHeight="false" outlineLevel="0" collapsed="false"/>
    <row r="216" customFormat="false" ht="13.8" hidden="false" customHeight="false" outlineLevel="0" collapsed="false"/>
    <row r="217" customFormat="false" ht="13.8" hidden="false" customHeight="false" outlineLevel="0" collapsed="false">
      <c r="A217" s="0" t="s">
        <v>10</v>
      </c>
    </row>
    <row r="218" customFormat="false" ht="13.8" hidden="false" customHeight="false" outlineLevel="0" collapsed="false"/>
    <row r="219" customFormat="false" ht="13.8" hidden="false" customHeight="false" outlineLevel="0" collapsed="false"/>
    <row r="220" customFormat="false" ht="13.8" hidden="false" customHeight="false" outlineLevel="0" collapsed="false">
      <c r="A220" s="0" t="s">
        <v>10</v>
      </c>
    </row>
    <row r="221" customFormat="false" ht="13.8" hidden="false" customHeight="false" outlineLevel="0" collapsed="false"/>
    <row r="222" customFormat="false" ht="13.8" hidden="false" customHeight="false" outlineLevel="0" collapsed="false">
      <c r="A222" s="0" t="s">
        <v>10</v>
      </c>
    </row>
    <row r="223" customFormat="false" ht="13.8" hidden="false" customHeight="false" outlineLevel="0" collapsed="false"/>
    <row r="224" customFormat="false" ht="13.8" hidden="false" customHeight="false" outlineLevel="0" collapsed="false">
      <c r="A224" s="0" t="s">
        <v>10</v>
      </c>
    </row>
    <row r="225" customFormat="false" ht="13.8" hidden="false" customHeight="false" outlineLevel="0" collapsed="false"/>
    <row r="226" customFormat="false" ht="13.8" hidden="false" customHeight="false" outlineLevel="0" collapsed="false"/>
    <row r="227" customFormat="false" ht="13.8" hidden="false" customHeight="false" outlineLevel="0" collapsed="false"/>
    <row r="228" customFormat="false" ht="13.8" hidden="false" customHeight="false" outlineLevel="0" collapsed="false"/>
    <row r="229" customFormat="false" ht="13.8" hidden="false" customHeight="false" outlineLevel="0" collapsed="false"/>
    <row r="230" customFormat="false" ht="13.8" hidden="false" customHeight="false" outlineLevel="0" collapsed="false"/>
    <row r="231" customFormat="false" ht="13.8" hidden="false" customHeight="false" outlineLevel="0" collapsed="false"/>
    <row r="232" customFormat="false" ht="13.8" hidden="false" customHeight="false" outlineLevel="0" collapsed="false"/>
    <row r="233" customFormat="false" ht="13.8" hidden="false" customHeight="false" outlineLevel="0" collapsed="false"/>
    <row r="234" customFormat="false" ht="13.8" hidden="false" customHeight="false" outlineLevel="0" collapsed="false"/>
    <row r="235" customFormat="false" ht="13.8" hidden="false" customHeight="false" outlineLevel="0" collapsed="false"/>
    <row r="236" customFormat="false" ht="13.8" hidden="false" customHeight="false" outlineLevel="0" collapsed="false"/>
    <row r="237" customFormat="false" ht="13.8" hidden="false" customHeight="false" outlineLevel="0" collapsed="false"/>
    <row r="238" customFormat="false" ht="13.8" hidden="false" customHeight="false" outlineLevel="0" collapsed="false"/>
    <row r="239" customFormat="false" ht="13.8" hidden="false" customHeight="false" outlineLevel="0" collapsed="false"/>
    <row r="240" customFormat="false" ht="13.8" hidden="false" customHeight="false" outlineLevel="0" collapsed="false"/>
    <row r="241" customFormat="false" ht="13.8" hidden="false" customHeight="false" outlineLevel="0" collapsed="false"/>
    <row r="242" customFormat="false" ht="13.8" hidden="false" customHeight="false" outlineLevel="0" collapsed="false"/>
    <row r="243" customFormat="false" ht="13.8" hidden="false" customHeight="false" outlineLevel="0" collapsed="false"/>
    <row r="244" customFormat="false" ht="13.8" hidden="false" customHeight="false" outlineLevel="0" collapsed="false"/>
    <row r="245" customFormat="false" ht="13.8" hidden="false" customHeight="false" outlineLevel="0" collapsed="false">
      <c r="A245" s="0" t="s">
        <v>11</v>
      </c>
    </row>
    <row r="246" customFormat="false" ht="13.8" hidden="false" customHeight="false" outlineLevel="0" collapsed="false"/>
    <row r="247" customFormat="false" ht="13.8" hidden="false" customHeight="false" outlineLevel="0" collapsed="false"/>
    <row r="248" customFormat="false" ht="13.8" hidden="false" customHeight="false" outlineLevel="0" collapsed="false">
      <c r="A248" s="0" t="s">
        <v>8</v>
      </c>
    </row>
    <row r="249" customFormat="false" ht="13.8" hidden="false" customHeight="false" outlineLevel="0" collapsed="false"/>
    <row r="250" customFormat="false" ht="13.8" hidden="false" customHeight="false" outlineLevel="0" collapsed="false"/>
    <row r="251" customFormat="false" ht="13.8" hidden="false" customHeight="false" outlineLevel="0" collapsed="false">
      <c r="A251" s="0" t="s">
        <v>2</v>
      </c>
    </row>
    <row r="252" customFormat="false" ht="13.8" hidden="false" customHeight="false" outlineLevel="0" collapsed="false"/>
    <row r="253" customFormat="false" ht="13.8" hidden="false" customHeight="false" outlineLevel="0" collapsed="false"/>
    <row r="254" customFormat="false" ht="13.8" hidden="false" customHeight="false" outlineLevel="0" collapsed="false"/>
    <row r="255" customFormat="false" ht="13.8" hidden="false" customHeight="false" outlineLevel="0" collapsed="false"/>
    <row r="256" customFormat="false" ht="13.8" hidden="false" customHeight="false" outlineLevel="0" collapsed="false"/>
    <row r="257" customFormat="false" ht="13.8" hidden="false" customHeight="false" outlineLevel="0" collapsed="false"/>
    <row r="258" customFormat="false" ht="13.8" hidden="false" customHeight="false" outlineLevel="0" collapsed="false">
      <c r="A258" s="0" t="s">
        <v>10</v>
      </c>
    </row>
    <row r="259" customFormat="false" ht="13.8" hidden="false" customHeight="false" outlineLevel="0" collapsed="false"/>
    <row r="260" customFormat="false" ht="13.8" hidden="false" customHeight="false" outlineLevel="0" collapsed="false">
      <c r="A260" s="0" t="s">
        <v>10</v>
      </c>
    </row>
    <row r="261" customFormat="false" ht="13.8" hidden="false" customHeight="false" outlineLevel="0" collapsed="false"/>
    <row r="262" customFormat="false" ht="13.8" hidden="false" customHeight="false" outlineLevel="0" collapsed="false"/>
    <row r="263" customFormat="false" ht="13.8" hidden="false" customHeight="false" outlineLevel="0" collapsed="false"/>
    <row r="264" customFormat="false" ht="13.8" hidden="false" customHeight="false" outlineLevel="0" collapsed="false"/>
    <row r="265" customFormat="false" ht="13.8" hidden="false" customHeight="false" outlineLevel="0" collapsed="false">
      <c r="A265" s="0" t="s">
        <v>10</v>
      </c>
    </row>
    <row r="266" customFormat="false" ht="13.8" hidden="false" customHeight="false" outlineLevel="0" collapsed="false"/>
    <row r="267" customFormat="false" ht="13.8" hidden="false" customHeight="false" outlineLevel="0" collapsed="false"/>
    <row r="268" customFormat="false" ht="13.8" hidden="false" customHeight="false" outlineLevel="0" collapsed="false"/>
    <row r="269" customFormat="false" ht="13.8" hidden="false" customHeight="false" outlineLevel="0" collapsed="false"/>
    <row r="270" customFormat="false" ht="13.8" hidden="false" customHeight="false" outlineLevel="0" collapsed="false"/>
    <row r="271" customFormat="false" ht="13.8" hidden="false" customHeight="false" outlineLevel="0" collapsed="false"/>
    <row r="272" customFormat="false" ht="13.8" hidden="false" customHeight="false" outlineLevel="0" collapsed="false">
      <c r="A272" s="0" t="s">
        <v>10</v>
      </c>
    </row>
    <row r="273" customFormat="false" ht="13.8" hidden="false" customHeight="false" outlineLevel="0" collapsed="false"/>
    <row r="274" customFormat="false" ht="13.8" hidden="false" customHeight="false" outlineLevel="0" collapsed="false"/>
    <row r="275" customFormat="false" ht="13.8" hidden="false" customHeight="false" outlineLevel="0" collapsed="false"/>
    <row r="276" customFormat="false" ht="13.8" hidden="false" customHeight="false" outlineLevel="0" collapsed="false"/>
    <row r="277" customFormat="false" ht="13.8" hidden="false" customHeight="false" outlineLevel="0" collapsed="false"/>
    <row r="278" customFormat="false" ht="13.8" hidden="false" customHeight="false" outlineLevel="0" collapsed="false"/>
    <row r="279" customFormat="false" ht="13.8" hidden="false" customHeight="false" outlineLevel="0" collapsed="false"/>
    <row r="280" customFormat="false" ht="13.8" hidden="false" customHeight="false" outlineLevel="0" collapsed="false"/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>
      <c r="A290" s="0" t="s">
        <v>10</v>
      </c>
    </row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>
      <c r="A293" s="0" t="s">
        <v>11</v>
      </c>
    </row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>
      <c r="A296" s="0" t="s">
        <v>11</v>
      </c>
    </row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>
      <c r="A306" s="0" t="s">
        <v>10</v>
      </c>
    </row>
    <row r="307" customFormat="false" ht="13.8" hidden="false" customHeight="false" outlineLevel="0" collapsed="false"/>
    <row r="308" customFormat="false" ht="13.8" hidden="false" customHeight="false" outlineLevel="0" collapsed="false">
      <c r="A308" s="0" t="s">
        <v>8</v>
      </c>
    </row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>
      <c r="A314" s="0" t="s">
        <v>11</v>
      </c>
    </row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>
      <c r="A325" s="0" t="s">
        <v>11</v>
      </c>
    </row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>
      <c r="A330" s="0" t="s">
        <v>11</v>
      </c>
    </row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>
      <c r="A342" s="0" t="s">
        <v>10</v>
      </c>
    </row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>
      <c r="A345" s="0" t="s">
        <v>10</v>
      </c>
    </row>
    <row r="346" customFormat="false" ht="13.8" hidden="false" customHeight="false" outlineLevel="0" collapsed="false">
      <c r="A346" s="0" t="s">
        <v>10</v>
      </c>
    </row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>
      <c r="A350" s="0" t="s">
        <v>5</v>
      </c>
    </row>
    <row r="351" customFormat="false" ht="13.8" hidden="false" customHeight="false" outlineLevel="0" collapsed="false">
      <c r="A351" s="0" t="s">
        <v>11</v>
      </c>
    </row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>
      <c r="A357" s="0" t="s">
        <v>3</v>
      </c>
    </row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>
      <c r="A363" s="0" t="s">
        <v>10</v>
      </c>
    </row>
    <row r="364" customFormat="false" ht="13.8" hidden="false" customHeight="false" outlineLevel="0" collapsed="false"/>
    <row r="365" customFormat="false" ht="13.8" hidden="false" customHeight="false" outlineLevel="0" collapsed="false">
      <c r="A365" s="0" t="s">
        <v>10</v>
      </c>
    </row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>
      <c r="A368" s="0" t="s">
        <v>11</v>
      </c>
    </row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>
      <c r="A373" s="0" t="s">
        <v>2</v>
      </c>
    </row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>
      <c r="A380" s="0" t="s">
        <v>11</v>
      </c>
    </row>
    <row r="381" customFormat="false" ht="13.8" hidden="false" customHeight="false" outlineLevel="0" collapsed="false"/>
    <row r="382" customFormat="false" ht="13.8" hidden="false" customHeight="false" outlineLevel="0" collapsed="false"/>
    <row r="383" customFormat="false" ht="13.8" hidden="false" customHeight="false" outlineLevel="0" collapsed="false"/>
    <row r="384" customFormat="false" ht="13.8" hidden="false" customHeight="false" outlineLevel="0" collapsed="false">
      <c r="A384" s="0" t="s">
        <v>10</v>
      </c>
    </row>
    <row r="385" customFormat="false" ht="13.8" hidden="false" customHeight="false" outlineLevel="0" collapsed="false"/>
    <row r="386" customFormat="false" ht="13.8" hidden="false" customHeight="false" outlineLevel="0" collapsed="false">
      <c r="A386" s="0" t="s">
        <v>10</v>
      </c>
    </row>
    <row r="387" customFormat="false" ht="13.8" hidden="false" customHeight="false" outlineLevel="0" collapsed="false"/>
    <row r="388" customFormat="false" ht="13.8" hidden="false" customHeight="false" outlineLevel="0" collapsed="false">
      <c r="A388" s="0" t="s">
        <v>10</v>
      </c>
    </row>
    <row r="389" customFormat="false" ht="13.8" hidden="false" customHeight="false" outlineLevel="0" collapsed="false"/>
    <row r="390" customFormat="false" ht="13.8" hidden="false" customHeight="false" outlineLevel="0" collapsed="false">
      <c r="A390" s="0" t="s">
        <v>10</v>
      </c>
    </row>
    <row r="391" customFormat="false" ht="13.8" hidden="false" customHeight="false" outlineLevel="0" collapsed="false"/>
    <row r="392" customFormat="false" ht="13.8" hidden="false" customHeight="false" outlineLevel="0" collapsed="false">
      <c r="A392" s="0" t="s">
        <v>10</v>
      </c>
    </row>
    <row r="393" customFormat="false" ht="13.8" hidden="false" customHeight="false" outlineLevel="0" collapsed="false"/>
    <row r="394" customFormat="false" ht="13.8" hidden="false" customHeight="false" outlineLevel="0" collapsed="false">
      <c r="A394" s="0" t="s">
        <v>10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</TotalTime>
  <Application>LibreOffice/25.2.1.2$Linux_X86_64 LibreOffice_project/520$Build-2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2025-02-16T19:50:46Z</dcterms:created>
  <dc:creator>Yenny Galindo</dc:creator>
  <dc:description/>
  <dc:language>es-CO</dc:language>
  <cp:lastModifiedBy/>
  <dcterms:modified xsi:type="dcterms:W3CDTF">2025-03-19T10:11:46Z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